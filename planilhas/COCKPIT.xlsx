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mpartilhado\GoogleDrive\REICHE\Planilhas REICHE\Ferramentas\"/>
    </mc:Choice>
  </mc:AlternateContent>
  <xr:revisionPtr revIDLastSave="0" documentId="8_{8BAF4475-CCDA-4D38-BAED-298BF3301FEC}" xr6:coauthVersionLast="47" xr6:coauthVersionMax="47" xr10:uidLastSave="{00000000-0000-0000-0000-000000000000}"/>
  <bookViews>
    <workbookView xWindow="-120" yWindow="-120" windowWidth="20730" windowHeight="11160" tabRatio="811" activeTab="1" xr2:uid="{EFF8D4E0-1033-4973-A14B-B0DFA077C364}"/>
  </bookViews>
  <sheets>
    <sheet name="HOME" sheetId="31" r:id="rId1"/>
    <sheet name="1." sheetId="32" r:id="rId2"/>
    <sheet name="2." sheetId="45" r:id="rId3"/>
    <sheet name="3." sheetId="13" r:id="rId4"/>
    <sheet name="4." sheetId="30" r:id="rId5"/>
    <sheet name="5." sheetId="33" r:id="rId6"/>
    <sheet name="1" sheetId="10" r:id="rId7"/>
    <sheet name="2" sheetId="21" r:id="rId8"/>
    <sheet name="3" sheetId="22" r:id="rId9"/>
    <sheet name="4" sheetId="23" r:id="rId10"/>
    <sheet name="5" sheetId="24" r:id="rId11"/>
    <sheet name="6" sheetId="25" r:id="rId12"/>
    <sheet name="7" sheetId="26" r:id="rId13"/>
    <sheet name="8" sheetId="27" r:id="rId14"/>
    <sheet name="9" sheetId="28" r:id="rId15"/>
    <sheet name="10" sheetId="34" r:id="rId16"/>
    <sheet name="11" sheetId="35" r:id="rId17"/>
    <sheet name="12" sheetId="36" r:id="rId18"/>
    <sheet name="13" sheetId="37" r:id="rId19"/>
    <sheet name="14" sheetId="38" r:id="rId20"/>
    <sheet name="15" sheetId="39" r:id="rId21"/>
    <sheet name="16" sheetId="40" r:id="rId22"/>
    <sheet name="17" sheetId="41" r:id="rId23"/>
    <sheet name="18" sheetId="42" r:id="rId24"/>
    <sheet name="19" sheetId="43" r:id="rId25"/>
    <sheet name="20" sheetId="44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____KEY2" localSheetId="4" hidden="1">[1]COMPPROD!#REF!</definedName>
    <definedName name="______KEY2" hidden="1">[1]COMPPROD!#REF!</definedName>
    <definedName name="_____KEY2" localSheetId="4" hidden="1">[1]COMPPROD!#REF!</definedName>
    <definedName name="_____KEY2" hidden="1">[1]COMPPROD!#REF!</definedName>
    <definedName name="___KEY2" localSheetId="4" hidden="1">[1]COMPPROD!#REF!</definedName>
    <definedName name="___KEY2" hidden="1">[1]COMPPROD!#REF!</definedName>
    <definedName name="___thinkcellWUMAAAAAAAAAAAAA7Bc7ZHo6d0e5LJFBo3Hg9g" hidden="1">[2]Link!$A$20:$C$23</definedName>
    <definedName name="___thinkcellWUMAAAAAAAAAAAAAKKRynGzK50G1rFxZa_HDxA" hidden="1">[2]Link!$A$38:$D$45</definedName>
    <definedName name="___thinkcellWUMAAAAAAAACAAAAegWaRZ6Vo0CKr.kcUzmglA" hidden="1">[2]Link!$A$12:$C$15</definedName>
    <definedName name="___thinkcellWUMAAAAAAAADAAAA3noVFmgFpUGVRRVKeaEs5w" hidden="1">[2]Link!$A$47:$B$48</definedName>
    <definedName name="___thinkcellWUMAAAAAAAAEAAAAr5ktaG6.40Wx2AzkgkL_zg" hidden="1">[2]Link!$A$27:$G$33</definedName>
    <definedName name="___thinkcellWUMAAAEAAAAAAAAA3TTb3XQgTEmiRjIURXRuew" hidden="1">[2]Link!$A$2:$D$5</definedName>
    <definedName name="___thinkcellWUMAAAEAAAAAAAAA656ESEq_lEu6K35KDqB5MQ" hidden="1">[2]Link!$A$51:$B$54</definedName>
    <definedName name="___thinkcellWUMAAAEAAAAAAAAAHioTx9KWm0KPZOjXlIyOnA" hidden="1">[2]Link!$A$61:$B$64</definedName>
    <definedName name="___thinkcellWUMAAAEAAAAAAAAAnt_BkBjK8EC8NnYJV4n.Yg" hidden="1">[2]Link!$A$56:$B$59</definedName>
    <definedName name="___thinkcellWUMAAAEAAAACAAAAD0gF2f.tiU69n5bpFCvCaA" hidden="1">[2]Link!$A$51:$B$54</definedName>
    <definedName name="___thinkcellWUMAAAEAAAACAAAAOFPmKCo_7km37ujhJRhMTw" hidden="1">[2]Link!$A$56:$B$59</definedName>
    <definedName name="__KEY2" localSheetId="1" hidden="1">[1]COMPPROD!#REF!</definedName>
    <definedName name="__KEY2" localSheetId="4" hidden="1">[1]COMPPROD!#REF!</definedName>
    <definedName name="__KEY2" localSheetId="5" hidden="1">[1]COMPPROD!#REF!</definedName>
    <definedName name="__KEY2" hidden="1">[1]COMPPROD!#REF!</definedName>
    <definedName name="_2" localSheetId="4" hidden="1">'[3]RESUMO DO DBASE PARA O VIVEIRO'!#REF!</definedName>
    <definedName name="_2" hidden="1">'[3]RESUMO DO DBASE PARA O VIVEIRO'!#REF!</definedName>
    <definedName name="_bat67" localSheetId="1" hidden="1">{#N/A,#N/A,FALSE,"Tabl. D1";#N/A,#N/A,FALSE,"Tabl. D1 b";#N/A,#N/A,FALSE,"Tabl. D2";#N/A,#N/A,FALSE,"Tabl. D2 b";#N/A,#N/A,FALSE,"Tabl. D3";#N/A,#N/A,FALSE,"Tabl. D4";#N/A,#N/A,FALSE,"Tabl. D5"}</definedName>
    <definedName name="_bat67" localSheetId="4" hidden="1">{#N/A,#N/A,FALSE,"Tabl. D1";#N/A,#N/A,FALSE,"Tabl. D1 b";#N/A,#N/A,FALSE,"Tabl. D2";#N/A,#N/A,FALSE,"Tabl. D2 b";#N/A,#N/A,FALSE,"Tabl. D3";#N/A,#N/A,FALSE,"Tabl. D4";#N/A,#N/A,FALSE,"Tabl. D5"}</definedName>
    <definedName name="_bat67" localSheetId="5" hidden="1">{#N/A,#N/A,FALSE,"Tabl. D1";#N/A,#N/A,FALSE,"Tabl. D1 b";#N/A,#N/A,FALSE,"Tabl. D2";#N/A,#N/A,FALSE,"Tabl. D2 b";#N/A,#N/A,FALSE,"Tabl. D3";#N/A,#N/A,FALSE,"Tabl. D4";#N/A,#N/A,FALSE,"Tabl. D5"}</definedName>
    <definedName name="_bat67" localSheetId="0" hidden="1">{#N/A,#N/A,FALSE,"Tabl. D1";#N/A,#N/A,FALSE,"Tabl. D1 b";#N/A,#N/A,FALSE,"Tabl. D2";#N/A,#N/A,FALSE,"Tabl. D2 b";#N/A,#N/A,FALSE,"Tabl. D3";#N/A,#N/A,FALSE,"Tabl. D4";#N/A,#N/A,FALSE,"Tabl. D5"}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ffffffff" hidden="1">[1]COMPPROD!#REF!</definedName>
    <definedName name="_g111" localSheetId="1" hidden="1">{#N/A,#N/A,FALSE,"PREÇO.CPV.CA60";#N/A,#N/A,FALSE,"PREÇO.CPV.TREFILADOS";#N/A,#N/A,FALSE,"PREÇO.CPV.CA50";#N/A,#N/A,FALSE,"PREÇO.CPV.FM";#N/A,#N/A,FALSE,"PREÇO-FOB"}</definedName>
    <definedName name="_g111" localSheetId="4" hidden="1">{#N/A,#N/A,FALSE,"PREÇO.CPV.CA60";#N/A,#N/A,FALSE,"PREÇO.CPV.TREFILADOS";#N/A,#N/A,FALSE,"PREÇO.CPV.CA50";#N/A,#N/A,FALSE,"PREÇO.CPV.FM";#N/A,#N/A,FALSE,"PREÇO-FOB"}</definedName>
    <definedName name="_g111" localSheetId="5" hidden="1">{#N/A,#N/A,FALSE,"PREÇO.CPV.CA60";#N/A,#N/A,FALSE,"PREÇO.CPV.TREFILADOS";#N/A,#N/A,FALSE,"PREÇO.CPV.CA50";#N/A,#N/A,FALSE,"PREÇO.CPV.FM";#N/A,#N/A,FALSE,"PREÇO-FOB"}</definedName>
    <definedName name="_g111" localSheetId="0" hidden="1">{#N/A,#N/A,FALSE,"PREÇO.CPV.CA60";#N/A,#N/A,FALSE,"PREÇO.CPV.TREFILADOS";#N/A,#N/A,FALSE,"PREÇO.CPV.CA50";#N/A,#N/A,FALSE,"PREÇO.CPV.FM";#N/A,#N/A,FALSE,"PREÇO-FOB"}</definedName>
    <definedName name="_g111" hidden="1">{#N/A,#N/A,FALSE,"PREÇO.CPV.CA60";#N/A,#N/A,FALSE,"PREÇO.CPV.TREFILADOS";#N/A,#N/A,FALSE,"PREÇO.CPV.CA50";#N/A,#N/A,FALSE,"PREÇO.CPV.FM";#N/A,#N/A,FALSE,"PREÇO-FOB"}</definedName>
    <definedName name="_K3" hidden="1">[1]COMPPROD!#REF!</definedName>
    <definedName name="_Key1" hidden="1">'[3]RESUMO DO DBASE PARA O VIVEIRO'!#REF!</definedName>
    <definedName name="_KEY2" hidden="1">[1]COMPPROD!#REF!</definedName>
    <definedName name="_M2" localSheetId="1" hidden="1">{#N/A,#N/A,FALSE,"Tabl. G1";#N/A,#N/A,FALSE,"Tabl. G2"}</definedName>
    <definedName name="_M2" localSheetId="4" hidden="1">{#N/A,#N/A,FALSE,"Tabl. G1";#N/A,#N/A,FALSE,"Tabl. G2"}</definedName>
    <definedName name="_M2" localSheetId="5" hidden="1">{#N/A,#N/A,FALSE,"Tabl. G1";#N/A,#N/A,FALSE,"Tabl. G2"}</definedName>
    <definedName name="_M2" localSheetId="0" hidden="1">{#N/A,#N/A,FALSE,"Tabl. G1";#N/A,#N/A,FALSE,"Tabl. G2"}</definedName>
    <definedName name="_M2" hidden="1">{#N/A,#N/A,FALSE,"Tabl. G1";#N/A,#N/A,FALSE,"Tabl. G2"}</definedName>
    <definedName name="_mrn2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mrn2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mrn2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mrn2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NM09" localSheetId="1" hidden="1">{#N/A,#N/A,FALSE,"Tabl. D1";#N/A,#N/A,FALSE,"Tabl. D1 b";#N/A,#N/A,FALSE,"Tabl. D2";#N/A,#N/A,FALSE,"Tabl. D2 b";#N/A,#N/A,FALSE,"Tabl. D3";#N/A,#N/A,FALSE,"Tabl. D4";#N/A,#N/A,FALSE,"Tabl. D5"}</definedName>
    <definedName name="_NM09" localSheetId="4" hidden="1">{#N/A,#N/A,FALSE,"Tabl. D1";#N/A,#N/A,FALSE,"Tabl. D1 b";#N/A,#N/A,FALSE,"Tabl. D2";#N/A,#N/A,FALSE,"Tabl. D2 b";#N/A,#N/A,FALSE,"Tabl. D3";#N/A,#N/A,FALSE,"Tabl. D4";#N/A,#N/A,FALSE,"Tabl. D5"}</definedName>
    <definedName name="_NM09" localSheetId="5" hidden="1">{#N/A,#N/A,FALSE,"Tabl. D1";#N/A,#N/A,FALSE,"Tabl. D1 b";#N/A,#N/A,FALSE,"Tabl. D2";#N/A,#N/A,FALSE,"Tabl. D2 b";#N/A,#N/A,FALSE,"Tabl. D3";#N/A,#N/A,FALSE,"Tabl. D4";#N/A,#N/A,FALSE,"Tabl. D5"}</definedName>
    <definedName name="_NM09" localSheetId="0" hidden="1">{#N/A,#N/A,FALSE,"Tabl. D1";#N/A,#N/A,FALSE,"Tabl. D1 b";#N/A,#N/A,FALSE,"Tabl. D2";#N/A,#N/A,FALSE,"Tabl. D2 b";#N/A,#N/A,FALSE,"Tabl. D3";#N/A,#N/A,FALSE,"Tabl. D4";#N/A,#N/A,FALSE,"Tabl. D5"}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rder1" hidden="1">255</definedName>
    <definedName name="_S1" localSheetId="1" hidden="1">#REF!</definedName>
    <definedName name="_S1" localSheetId="4" hidden="1">#REF!</definedName>
    <definedName name="_S1" localSheetId="5" hidden="1">#REF!</definedName>
    <definedName name="_S1" localSheetId="0" hidden="1">#REF!</definedName>
    <definedName name="_S1" hidden="1">#REF!</definedName>
    <definedName name="_Sort" localSheetId="1" hidden="1">#REF!</definedName>
    <definedName name="_Sort" localSheetId="4" hidden="1">#REF!</definedName>
    <definedName name="_Sort" localSheetId="5" hidden="1">#REF!</definedName>
    <definedName name="_Sort" localSheetId="0" hidden="1">#REF!</definedName>
    <definedName name="_Sort" hidden="1">#REF!</definedName>
    <definedName name="_ss2" localSheetId="1" hidden="1">{"'RR'!$A$2:$E$81"}</definedName>
    <definedName name="_ss2" localSheetId="4" hidden="1">{"'RR'!$A$2:$E$81"}</definedName>
    <definedName name="_ss2" localSheetId="5" hidden="1">{"'RR'!$A$2:$E$81"}</definedName>
    <definedName name="_ss2" localSheetId="0" hidden="1">{"'RR'!$A$2:$E$81"}</definedName>
    <definedName name="_ss2" hidden="1">{"'RR'!$A$2:$E$81"}</definedName>
    <definedName name="_sss" hidden="1">[4]COMPPROD!#REF!</definedName>
    <definedName name="_taa34" localSheetId="1" hidden="1">{#N/A,#N/A,FALSE,"Tabl. G1";#N/A,#N/A,FALSE,"Tabl. G2"}</definedName>
    <definedName name="_taa34" localSheetId="4" hidden="1">{#N/A,#N/A,FALSE,"Tabl. G1";#N/A,#N/A,FALSE,"Tabl. G2"}</definedName>
    <definedName name="_taa34" localSheetId="5" hidden="1">{#N/A,#N/A,FALSE,"Tabl. G1";#N/A,#N/A,FALSE,"Tabl. G2"}</definedName>
    <definedName name="_taa34" localSheetId="0" hidden="1">{#N/A,#N/A,FALSE,"Tabl. G1";#N/A,#N/A,FALSE,"Tabl. G2"}</definedName>
    <definedName name="_taa34" hidden="1">{#N/A,#N/A,FALSE,"Tabl. G1";#N/A,#N/A,FALSE,"Tabl. G2"}</definedName>
    <definedName name="_tab09" localSheetId="1" hidden="1">{#N/A,#N/A,FALSE,"Tabl. FB300";#N/A,#N/A,FALSE,"Tabl. FB350";#N/A,#N/A,FALSE,"Tabl. FB400";#N/A,#N/A,FALSE,"Tabl. FB500";#N/A,#N/A,FALSE,"Tabl. FS090"}</definedName>
    <definedName name="_tab09" localSheetId="4" hidden="1">{#N/A,#N/A,FALSE,"Tabl. FB300";#N/A,#N/A,FALSE,"Tabl. FB350";#N/A,#N/A,FALSE,"Tabl. FB400";#N/A,#N/A,FALSE,"Tabl. FB500";#N/A,#N/A,FALSE,"Tabl. FS090"}</definedName>
    <definedName name="_tab09" localSheetId="5" hidden="1">{#N/A,#N/A,FALSE,"Tabl. FB300";#N/A,#N/A,FALSE,"Tabl. FB350";#N/A,#N/A,FALSE,"Tabl. FB400";#N/A,#N/A,FALSE,"Tabl. FB500";#N/A,#N/A,FALSE,"Tabl. FS090"}</definedName>
    <definedName name="_tab09" localSheetId="0" hidden="1">{#N/A,#N/A,FALSE,"Tabl. FB300";#N/A,#N/A,FALSE,"Tabl. FB350";#N/A,#N/A,FALSE,"Tabl. FB400";#N/A,#N/A,FALSE,"Tabl. FB500";#N/A,#N/A,FALSE,"Tabl. FS090"}</definedName>
    <definedName name="_tab09" hidden="1">{#N/A,#N/A,FALSE,"Tabl. FB300";#N/A,#N/A,FALSE,"Tabl. FB350";#N/A,#N/A,FALSE,"Tabl. FB400";#N/A,#N/A,FALSE,"Tabl. FB500";#N/A,#N/A,FALSE,"Tabl. FS090"}</definedName>
    <definedName name="_tab1" localSheetId="1" hidden="1">{#N/A,#N/A,FALSE,"Tabl. H1";#N/A,#N/A,FALSE,"Tabl. H2"}</definedName>
    <definedName name="_tab1" localSheetId="4" hidden="1">{#N/A,#N/A,FALSE,"Tabl. H1";#N/A,#N/A,FALSE,"Tabl. H2"}</definedName>
    <definedName name="_tab1" localSheetId="5" hidden="1">{#N/A,#N/A,FALSE,"Tabl. H1";#N/A,#N/A,FALSE,"Tabl. H2"}</definedName>
    <definedName name="_tab1" localSheetId="0" hidden="1">{#N/A,#N/A,FALSE,"Tabl. H1";#N/A,#N/A,FALSE,"Tabl. H2"}</definedName>
    <definedName name="_tab1" hidden="1">{#N/A,#N/A,FALSE,"Tabl. H1";#N/A,#N/A,FALSE,"Tabl. H2"}</definedName>
    <definedName name="_tab11" localSheetId="1" hidden="1">{#N/A,#N/A,FALSE,"Tabl. G1";#N/A,#N/A,FALSE,"Tabl. G2"}</definedName>
    <definedName name="_tab11" localSheetId="4" hidden="1">{#N/A,#N/A,FALSE,"Tabl. G1";#N/A,#N/A,FALSE,"Tabl. G2"}</definedName>
    <definedName name="_tab11" localSheetId="5" hidden="1">{#N/A,#N/A,FALSE,"Tabl. G1";#N/A,#N/A,FALSE,"Tabl. G2"}</definedName>
    <definedName name="_tab11" localSheetId="0" hidden="1">{#N/A,#N/A,FALSE,"Tabl. G1";#N/A,#N/A,FALSE,"Tabl. G2"}</definedName>
    <definedName name="_tab11" hidden="1">{#N/A,#N/A,FALSE,"Tabl. G1";#N/A,#N/A,FALSE,"Tabl. G2"}</definedName>
    <definedName name="_TAB120" localSheetId="1" hidden="1">{#N/A,#N/A,FALSE,"Tabl. FB300";#N/A,#N/A,FALSE,"Tabl. FB350";#N/A,#N/A,FALSE,"Tabl. FB400";#N/A,#N/A,FALSE,"Tabl. FB500";#N/A,#N/A,FALSE,"Tabl. FS090"}</definedName>
    <definedName name="_TAB120" localSheetId="4" hidden="1">{#N/A,#N/A,FALSE,"Tabl. FB300";#N/A,#N/A,FALSE,"Tabl. FB350";#N/A,#N/A,FALSE,"Tabl. FB400";#N/A,#N/A,FALSE,"Tabl. FB500";#N/A,#N/A,FALSE,"Tabl. FS090"}</definedName>
    <definedName name="_TAB120" localSheetId="5" hidden="1">{#N/A,#N/A,FALSE,"Tabl. FB300";#N/A,#N/A,FALSE,"Tabl. FB350";#N/A,#N/A,FALSE,"Tabl. FB400";#N/A,#N/A,FALSE,"Tabl. FB500";#N/A,#N/A,FALSE,"Tabl. FS090"}</definedName>
    <definedName name="_TAB120" localSheetId="0" hidden="1">{#N/A,#N/A,FALSE,"Tabl. FB300";#N/A,#N/A,FALSE,"Tabl. FB350";#N/A,#N/A,FALSE,"Tabl. FB400";#N/A,#N/A,FALSE,"Tabl. FB500";#N/A,#N/A,FALSE,"Tabl. FS090"}</definedName>
    <definedName name="_TAB120" hidden="1">{#N/A,#N/A,FALSE,"Tabl. FB300";#N/A,#N/A,FALSE,"Tabl. FB350";#N/A,#N/A,FALSE,"Tabl. FB400";#N/A,#N/A,FALSE,"Tabl. FB500";#N/A,#N/A,FALSE,"Tabl. FS090"}</definedName>
    <definedName name="_tab14" localSheetId="1" hidden="1">{#N/A,#N/A,FALSE,"Tabl. FB300";#N/A,#N/A,FALSE,"Tabl. FB350";#N/A,#N/A,FALSE,"Tabl. FB400";#N/A,#N/A,FALSE,"Tabl. FB500";#N/A,#N/A,FALSE,"Tabl. FS090"}</definedName>
    <definedName name="_tab14" localSheetId="4" hidden="1">{#N/A,#N/A,FALSE,"Tabl. FB300";#N/A,#N/A,FALSE,"Tabl. FB350";#N/A,#N/A,FALSE,"Tabl. FB400";#N/A,#N/A,FALSE,"Tabl. FB500";#N/A,#N/A,FALSE,"Tabl. FS090"}</definedName>
    <definedName name="_tab14" localSheetId="5" hidden="1">{#N/A,#N/A,FALSE,"Tabl. FB300";#N/A,#N/A,FALSE,"Tabl. FB350";#N/A,#N/A,FALSE,"Tabl. FB400";#N/A,#N/A,FALSE,"Tabl. FB500";#N/A,#N/A,FALSE,"Tabl. FS090"}</definedName>
    <definedName name="_tab14" localSheetId="0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localSheetId="1" hidden="1">{#N/A,#N/A,FALSE,"Tabl. A1";#N/A,#N/A,FALSE,"Tabl. A1 b";#N/A,#N/A,FALSE,"Tabl. A2";#N/A,#N/A,FALSE,"Tabl. A2-1";#N/A,#N/A,FALSE,"Tabl. A2-2"}</definedName>
    <definedName name="_tab15" localSheetId="4" hidden="1">{#N/A,#N/A,FALSE,"Tabl. A1";#N/A,#N/A,FALSE,"Tabl. A1 b";#N/A,#N/A,FALSE,"Tabl. A2";#N/A,#N/A,FALSE,"Tabl. A2-1";#N/A,#N/A,FALSE,"Tabl. A2-2"}</definedName>
    <definedName name="_tab15" localSheetId="5" hidden="1">{#N/A,#N/A,FALSE,"Tabl. A1";#N/A,#N/A,FALSE,"Tabl. A1 b";#N/A,#N/A,FALSE,"Tabl. A2";#N/A,#N/A,FALSE,"Tabl. A2-1";#N/A,#N/A,FALSE,"Tabl. A2-2"}</definedName>
    <definedName name="_tab15" localSheetId="0" hidden="1">{#N/A,#N/A,FALSE,"Tabl. A1";#N/A,#N/A,FALSE,"Tabl. A1 b";#N/A,#N/A,FALSE,"Tabl. A2";#N/A,#N/A,FALSE,"Tabl. A2-1";#N/A,#N/A,FALSE,"Tabl. A2-2"}</definedName>
    <definedName name="_tab15" hidden="1">{#N/A,#N/A,FALSE,"Tabl. A1";#N/A,#N/A,FALSE,"Tabl. A1 b";#N/A,#N/A,FALSE,"Tabl. A2";#N/A,#N/A,FALSE,"Tabl. A2-1";#N/A,#N/A,FALSE,"Tabl. A2-2"}</definedName>
    <definedName name="_TAB20" localSheetId="1" hidden="1">{#N/A,#N/A,FALSE,"Tabl. D1";#N/A,#N/A,FALSE,"Tabl. D1 b";#N/A,#N/A,FALSE,"Tabl. D2";#N/A,#N/A,FALSE,"Tabl. D2 b";#N/A,#N/A,FALSE,"Tabl. D3";#N/A,#N/A,FALSE,"Tabl. D4";#N/A,#N/A,FALSE,"Tabl. D5"}</definedName>
    <definedName name="_TAB20" localSheetId="4" hidden="1">{#N/A,#N/A,FALSE,"Tabl. D1";#N/A,#N/A,FALSE,"Tabl. D1 b";#N/A,#N/A,FALSE,"Tabl. D2";#N/A,#N/A,FALSE,"Tabl. D2 b";#N/A,#N/A,FALSE,"Tabl. D3";#N/A,#N/A,FALSE,"Tabl. D4";#N/A,#N/A,FALSE,"Tabl. D5"}</definedName>
    <definedName name="_TAB20" localSheetId="5" hidden="1">{#N/A,#N/A,FALSE,"Tabl. D1";#N/A,#N/A,FALSE,"Tabl. D1 b";#N/A,#N/A,FALSE,"Tabl. D2";#N/A,#N/A,FALSE,"Tabl. D2 b";#N/A,#N/A,FALSE,"Tabl. D3";#N/A,#N/A,FALSE,"Tabl. D4";#N/A,#N/A,FALSE,"Tabl. D5"}</definedName>
    <definedName name="_TAB20" localSheetId="0" hidden="1">{#N/A,#N/A,FALSE,"Tabl. D1";#N/A,#N/A,FALSE,"Tabl. D1 b";#N/A,#N/A,FALSE,"Tabl. D2";#N/A,#N/A,FALSE,"Tabl. D2 b";#N/A,#N/A,FALSE,"Tabl. D3";#N/A,#N/A,FALSE,"Tabl. D4";#N/A,#N/A,FALSE,"Tabl. D5"}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localSheetId="1" hidden="1">{#N/A,#N/A,FALSE,"Tabl. FB300";#N/A,#N/A,FALSE,"Tabl. FB350";#N/A,#N/A,FALSE,"Tabl. FB400";#N/A,#N/A,FALSE,"Tabl. FB500";#N/A,#N/A,FALSE,"Tabl. FS090"}</definedName>
    <definedName name="_tab2341" localSheetId="4" hidden="1">{#N/A,#N/A,FALSE,"Tabl. FB300";#N/A,#N/A,FALSE,"Tabl. FB350";#N/A,#N/A,FALSE,"Tabl. FB400";#N/A,#N/A,FALSE,"Tabl. FB500";#N/A,#N/A,FALSE,"Tabl. FS090"}</definedName>
    <definedName name="_tab2341" localSheetId="5" hidden="1">{#N/A,#N/A,FALSE,"Tabl. FB300";#N/A,#N/A,FALSE,"Tabl. FB350";#N/A,#N/A,FALSE,"Tabl. FB400";#N/A,#N/A,FALSE,"Tabl. FB500";#N/A,#N/A,FALSE,"Tabl. FS090"}</definedName>
    <definedName name="_tab2341" localSheetId="0" hidden="1">{#N/A,#N/A,FALSE,"Tabl. FB300";#N/A,#N/A,FALSE,"Tabl. FB350";#N/A,#N/A,FALSE,"Tabl. FB400";#N/A,#N/A,FALSE,"Tabl. FB500";#N/A,#N/A,FALSE,"Tabl. FS090"}</definedName>
    <definedName name="_tab2341" hidden="1">{#N/A,#N/A,FALSE,"Tabl. FB300";#N/A,#N/A,FALSE,"Tabl. FB350";#N/A,#N/A,FALSE,"Tabl. FB400";#N/A,#N/A,FALSE,"Tabl. FB500";#N/A,#N/A,FALSE,"Tabl. FS090"}</definedName>
    <definedName name="_tab26" localSheetId="1" hidden="1">{#N/A,#N/A,FALSE,"Tabl. H1";#N/A,#N/A,FALSE,"Tabl. H2"}</definedName>
    <definedName name="_tab26" localSheetId="4" hidden="1">{#N/A,#N/A,FALSE,"Tabl. H1";#N/A,#N/A,FALSE,"Tabl. H2"}</definedName>
    <definedName name="_tab26" localSheetId="5" hidden="1">{#N/A,#N/A,FALSE,"Tabl. H1";#N/A,#N/A,FALSE,"Tabl. H2"}</definedName>
    <definedName name="_tab26" localSheetId="0" hidden="1">{#N/A,#N/A,FALSE,"Tabl. H1";#N/A,#N/A,FALSE,"Tabl. H2"}</definedName>
    <definedName name="_tab26" hidden="1">{#N/A,#N/A,FALSE,"Tabl. H1";#N/A,#N/A,FALSE,"Tabl. H2"}</definedName>
    <definedName name="_tab27" localSheetId="1" hidden="1">{#N/A,#N/A,FALSE,"Tabl. D1";#N/A,#N/A,FALSE,"Tabl. D1 b";#N/A,#N/A,FALSE,"Tabl. D2";#N/A,#N/A,FALSE,"Tabl. D2 b";#N/A,#N/A,FALSE,"Tabl. D3";#N/A,#N/A,FALSE,"Tabl. D4";#N/A,#N/A,FALSE,"Tabl. D5"}</definedName>
    <definedName name="_tab27" localSheetId="4" hidden="1">{#N/A,#N/A,FALSE,"Tabl. D1";#N/A,#N/A,FALSE,"Tabl. D1 b";#N/A,#N/A,FALSE,"Tabl. D2";#N/A,#N/A,FALSE,"Tabl. D2 b";#N/A,#N/A,FALSE,"Tabl. D3";#N/A,#N/A,FALSE,"Tabl. D4";#N/A,#N/A,FALSE,"Tabl. D5"}</definedName>
    <definedName name="_tab27" localSheetId="5" hidden="1">{#N/A,#N/A,FALSE,"Tabl. D1";#N/A,#N/A,FALSE,"Tabl. D1 b";#N/A,#N/A,FALSE,"Tabl. D2";#N/A,#N/A,FALSE,"Tabl. D2 b";#N/A,#N/A,FALSE,"Tabl. D3";#N/A,#N/A,FALSE,"Tabl. D4";#N/A,#N/A,FALSE,"Tabl. D5"}</definedName>
    <definedName name="_tab27" localSheetId="0" hidden="1">{#N/A,#N/A,FALSE,"Tabl. D1";#N/A,#N/A,FALSE,"Tabl. D1 b";#N/A,#N/A,FALSE,"Tabl. D2";#N/A,#N/A,FALSE,"Tabl. D2 b";#N/A,#N/A,FALSE,"Tabl. D3";#N/A,#N/A,FALSE,"Tabl. D4";#N/A,#N/A,FALSE,"Tabl. D5"}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" localSheetId="1" hidden="1">{#N/A,#N/A,FALSE,"Tabl. FB300";#N/A,#N/A,FALSE,"Tabl. FB350";#N/A,#N/A,FALSE,"Tabl. FB400";#N/A,#N/A,FALSE,"Tabl. FB500";#N/A,#N/A,FALSE,"Tabl. FS090"}</definedName>
    <definedName name="_TAB3" localSheetId="4" hidden="1">{#N/A,#N/A,FALSE,"Tabl. FB300";#N/A,#N/A,FALSE,"Tabl. FB350";#N/A,#N/A,FALSE,"Tabl. FB400";#N/A,#N/A,FALSE,"Tabl. FB500";#N/A,#N/A,FALSE,"Tabl. FS090"}</definedName>
    <definedName name="_TAB3" localSheetId="5" hidden="1">{#N/A,#N/A,FALSE,"Tabl. FB300";#N/A,#N/A,FALSE,"Tabl. FB350";#N/A,#N/A,FALSE,"Tabl. FB400";#N/A,#N/A,FALSE,"Tabl. FB500";#N/A,#N/A,FALSE,"Tabl. FS090"}</definedName>
    <definedName name="_TAB3" localSheetId="0" hidden="1">{#N/A,#N/A,FALSE,"Tabl. FB300";#N/A,#N/A,FALSE,"Tabl. FB350";#N/A,#N/A,FALSE,"Tabl. FB400";#N/A,#N/A,FALSE,"Tabl. FB500";#N/A,#N/A,FALSE,"Tabl. FS090"}</definedName>
    <definedName name="_TAB3" hidden="1">{#N/A,#N/A,FALSE,"Tabl. FB300";#N/A,#N/A,FALSE,"Tabl. FB350";#N/A,#N/A,FALSE,"Tabl. FB400";#N/A,#N/A,FALSE,"Tabl. FB500";#N/A,#N/A,FALSE,"Tabl. FS090"}</definedName>
    <definedName name="_tab32" localSheetId="1" hidden="1">{#N/A,#N/A,FALSE,"Tabl. H1";#N/A,#N/A,FALSE,"Tabl. H2"}</definedName>
    <definedName name="_tab32" localSheetId="4" hidden="1">{#N/A,#N/A,FALSE,"Tabl. H1";#N/A,#N/A,FALSE,"Tabl. H2"}</definedName>
    <definedName name="_tab32" localSheetId="5" hidden="1">{#N/A,#N/A,FALSE,"Tabl. H1";#N/A,#N/A,FALSE,"Tabl. H2"}</definedName>
    <definedName name="_tab32" localSheetId="0" hidden="1">{#N/A,#N/A,FALSE,"Tabl. H1";#N/A,#N/A,FALSE,"Tabl. H2"}</definedName>
    <definedName name="_tab32" hidden="1">{#N/A,#N/A,FALSE,"Tabl. H1";#N/A,#N/A,FALSE,"Tabl. H2"}</definedName>
    <definedName name="_tab36" localSheetId="1" hidden="1">{#N/A,#N/A,FALSE,"Tabl. A1";#N/A,#N/A,FALSE,"Tabl. A1 b";#N/A,#N/A,FALSE,"Tabl. A2";#N/A,#N/A,FALSE,"Tabl. A2-1";#N/A,#N/A,FALSE,"Tabl. A2-2"}</definedName>
    <definedName name="_tab36" localSheetId="4" hidden="1">{#N/A,#N/A,FALSE,"Tabl. A1";#N/A,#N/A,FALSE,"Tabl. A1 b";#N/A,#N/A,FALSE,"Tabl. A2";#N/A,#N/A,FALSE,"Tabl. A2-1";#N/A,#N/A,FALSE,"Tabl. A2-2"}</definedName>
    <definedName name="_tab36" localSheetId="5" hidden="1">{#N/A,#N/A,FALSE,"Tabl. A1";#N/A,#N/A,FALSE,"Tabl. A1 b";#N/A,#N/A,FALSE,"Tabl. A2";#N/A,#N/A,FALSE,"Tabl. A2-1";#N/A,#N/A,FALSE,"Tabl. A2-2"}</definedName>
    <definedName name="_tab36" localSheetId="0" hidden="1">{#N/A,#N/A,FALSE,"Tabl. A1";#N/A,#N/A,FALSE,"Tabl. A1 b";#N/A,#N/A,FALSE,"Tabl. A2";#N/A,#N/A,FALSE,"Tabl. A2-1";#N/A,#N/A,FALSE,"Tabl. A2-2"}</definedName>
    <definedName name="_tab36" hidden="1">{#N/A,#N/A,FALSE,"Tabl. A1";#N/A,#N/A,FALSE,"Tabl. A1 b";#N/A,#N/A,FALSE,"Tabl. A2";#N/A,#N/A,FALSE,"Tabl. A2-1";#N/A,#N/A,FALSE,"Tabl. A2-2"}</definedName>
    <definedName name="_tab37" localSheetId="1" hidden="1">{#N/A,#N/A,FALSE,"Tabl. G1";#N/A,#N/A,FALSE,"Tabl. G2"}</definedName>
    <definedName name="_tab37" localSheetId="4" hidden="1">{#N/A,#N/A,FALSE,"Tabl. G1";#N/A,#N/A,FALSE,"Tabl. G2"}</definedName>
    <definedName name="_tab37" localSheetId="5" hidden="1">{#N/A,#N/A,FALSE,"Tabl. G1";#N/A,#N/A,FALSE,"Tabl. G2"}</definedName>
    <definedName name="_tab37" localSheetId="0" hidden="1">{#N/A,#N/A,FALSE,"Tabl. G1";#N/A,#N/A,FALSE,"Tabl. G2"}</definedName>
    <definedName name="_tab37" hidden="1">{#N/A,#N/A,FALSE,"Tabl. G1";#N/A,#N/A,FALSE,"Tabl. G2"}</definedName>
    <definedName name="_tab4" localSheetId="1" hidden="1">{#N/A,#N/A,FALSE,"Tabl. FB300";#N/A,#N/A,FALSE,"Tabl. FB350";#N/A,#N/A,FALSE,"Tabl. FB400";#N/A,#N/A,FALSE,"Tabl. FB500";#N/A,#N/A,FALSE,"Tabl. FS090"}</definedName>
    <definedName name="_tab4" localSheetId="4" hidden="1">{#N/A,#N/A,FALSE,"Tabl. FB300";#N/A,#N/A,FALSE,"Tabl. FB350";#N/A,#N/A,FALSE,"Tabl. FB400";#N/A,#N/A,FALSE,"Tabl. FB500";#N/A,#N/A,FALSE,"Tabl. FS090"}</definedName>
    <definedName name="_tab4" localSheetId="5" hidden="1">{#N/A,#N/A,FALSE,"Tabl. FB300";#N/A,#N/A,FALSE,"Tabl. FB350";#N/A,#N/A,FALSE,"Tabl. FB400";#N/A,#N/A,FALSE,"Tabl. FB500";#N/A,#N/A,FALSE,"Tabl. FS090"}</definedName>
    <definedName name="_tab4" localSheetId="0" hidden="1">{#N/A,#N/A,FALSE,"Tabl. FB300";#N/A,#N/A,FALSE,"Tabl. FB350";#N/A,#N/A,FALSE,"Tabl. FB400";#N/A,#N/A,FALSE,"Tabl. FB500";#N/A,#N/A,FALSE,"Tabl. FS090"}</definedName>
    <definedName name="_tab4" hidden="1">{#N/A,#N/A,FALSE,"Tabl. FB300";#N/A,#N/A,FALSE,"Tabl. FB350";#N/A,#N/A,FALSE,"Tabl. FB400";#N/A,#N/A,FALSE,"Tabl. FB500";#N/A,#N/A,FALSE,"Tabl. FS090"}</definedName>
    <definedName name="_tab40" localSheetId="1" hidden="1">{#N/A,#N/A,FALSE,"Tabl. FB300";#N/A,#N/A,FALSE,"Tabl. FB350";#N/A,#N/A,FALSE,"Tabl. FB400";#N/A,#N/A,FALSE,"Tabl. FB500";#N/A,#N/A,FALSE,"Tabl. FS090"}</definedName>
    <definedName name="_tab40" localSheetId="4" hidden="1">{#N/A,#N/A,FALSE,"Tabl. FB300";#N/A,#N/A,FALSE,"Tabl. FB350";#N/A,#N/A,FALSE,"Tabl. FB400";#N/A,#N/A,FALSE,"Tabl. FB500";#N/A,#N/A,FALSE,"Tabl. FS090"}</definedName>
    <definedName name="_tab40" localSheetId="5" hidden="1">{#N/A,#N/A,FALSE,"Tabl. FB300";#N/A,#N/A,FALSE,"Tabl. FB350";#N/A,#N/A,FALSE,"Tabl. FB400";#N/A,#N/A,FALSE,"Tabl. FB500";#N/A,#N/A,FALSE,"Tabl. FS090"}</definedName>
    <definedName name="_tab40" localSheetId="0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localSheetId="1" hidden="1">{#N/A,#N/A,FALSE,"Tabl. D1";#N/A,#N/A,FALSE,"Tabl. D1 b";#N/A,#N/A,FALSE,"Tabl. D2";#N/A,#N/A,FALSE,"Tabl. D2 b";#N/A,#N/A,FALSE,"Tabl. D3";#N/A,#N/A,FALSE,"Tabl. D4";#N/A,#N/A,FALSE,"Tabl. D5"}</definedName>
    <definedName name="_tab43" localSheetId="4" hidden="1">{#N/A,#N/A,FALSE,"Tabl. D1";#N/A,#N/A,FALSE,"Tabl. D1 b";#N/A,#N/A,FALSE,"Tabl. D2";#N/A,#N/A,FALSE,"Tabl. D2 b";#N/A,#N/A,FALSE,"Tabl. D3";#N/A,#N/A,FALSE,"Tabl. D4";#N/A,#N/A,FALSE,"Tabl. D5"}</definedName>
    <definedName name="_tab43" localSheetId="5" hidden="1">{#N/A,#N/A,FALSE,"Tabl. D1";#N/A,#N/A,FALSE,"Tabl. D1 b";#N/A,#N/A,FALSE,"Tabl. D2";#N/A,#N/A,FALSE,"Tabl. D2 b";#N/A,#N/A,FALSE,"Tabl. D3";#N/A,#N/A,FALSE,"Tabl. D4";#N/A,#N/A,FALSE,"Tabl. D5"}</definedName>
    <definedName name="_tab43" localSheetId="0" hidden="1">{#N/A,#N/A,FALSE,"Tabl. D1";#N/A,#N/A,FALSE,"Tabl. D1 b";#N/A,#N/A,FALSE,"Tabl. D2";#N/A,#N/A,FALSE,"Tabl. D2 b";#N/A,#N/A,FALSE,"Tabl. D3";#N/A,#N/A,FALSE,"Tabl. D4";#N/A,#N/A,FALSE,"Tabl. D5"}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localSheetId="1" hidden="1">{#N/A,#N/A,FALSE,"Tabl. A1";#N/A,#N/A,FALSE,"Tabl. A1 b";#N/A,#N/A,FALSE,"Tabl. A2";#N/A,#N/A,FALSE,"Tabl. A2-1";#N/A,#N/A,FALSE,"Tabl. A2-2"}</definedName>
    <definedName name="_tab45" localSheetId="4" hidden="1">{#N/A,#N/A,FALSE,"Tabl. A1";#N/A,#N/A,FALSE,"Tabl. A1 b";#N/A,#N/A,FALSE,"Tabl. A2";#N/A,#N/A,FALSE,"Tabl. A2-1";#N/A,#N/A,FALSE,"Tabl. A2-2"}</definedName>
    <definedName name="_tab45" localSheetId="5" hidden="1">{#N/A,#N/A,FALSE,"Tabl. A1";#N/A,#N/A,FALSE,"Tabl. A1 b";#N/A,#N/A,FALSE,"Tabl. A2";#N/A,#N/A,FALSE,"Tabl. A2-1";#N/A,#N/A,FALSE,"Tabl. A2-2"}</definedName>
    <definedName name="_tab45" localSheetId="0" hidden="1">{#N/A,#N/A,FALSE,"Tabl. A1";#N/A,#N/A,FALSE,"Tabl. A1 b";#N/A,#N/A,FALSE,"Tabl. A2";#N/A,#N/A,FALSE,"Tabl. A2-1";#N/A,#N/A,FALSE,"Tabl. A2-2"}</definedName>
    <definedName name="_tab45" hidden="1">{#N/A,#N/A,FALSE,"Tabl. A1";#N/A,#N/A,FALSE,"Tabl. A1 b";#N/A,#N/A,FALSE,"Tabl. A2";#N/A,#N/A,FALSE,"Tabl. A2-1";#N/A,#N/A,FALSE,"Tabl. A2-2"}</definedName>
    <definedName name="_tab5" localSheetId="1" hidden="1">{#N/A,#N/A,FALSE,"Tabl. FB300";#N/A,#N/A,FALSE,"Tabl. FB350";#N/A,#N/A,FALSE,"Tabl. FB400";#N/A,#N/A,FALSE,"Tabl. FB500";#N/A,#N/A,FALSE,"Tabl. FS090"}</definedName>
    <definedName name="_tab5" localSheetId="4" hidden="1">{#N/A,#N/A,FALSE,"Tabl. FB300";#N/A,#N/A,FALSE,"Tabl. FB350";#N/A,#N/A,FALSE,"Tabl. FB400";#N/A,#N/A,FALSE,"Tabl. FB500";#N/A,#N/A,FALSE,"Tabl. FS090"}</definedName>
    <definedName name="_tab5" localSheetId="5" hidden="1">{#N/A,#N/A,FALSE,"Tabl. FB300";#N/A,#N/A,FALSE,"Tabl. FB350";#N/A,#N/A,FALSE,"Tabl. FB400";#N/A,#N/A,FALSE,"Tabl. FB500";#N/A,#N/A,FALSE,"Tabl. FS090"}</definedName>
    <definedName name="_tab5" localSheetId="0" hidden="1">{#N/A,#N/A,FALSE,"Tabl. FB300";#N/A,#N/A,FALSE,"Tabl. FB350";#N/A,#N/A,FALSE,"Tabl. FB400";#N/A,#N/A,FALSE,"Tabl. FB500";#N/A,#N/A,FALSE,"Tabl. FS090"}</definedName>
    <definedName name="_tab5" hidden="1">{#N/A,#N/A,FALSE,"Tabl. FB300";#N/A,#N/A,FALSE,"Tabl. FB350";#N/A,#N/A,FALSE,"Tabl. FB400";#N/A,#N/A,FALSE,"Tabl. FB500";#N/A,#N/A,FALSE,"Tabl. FS090"}</definedName>
    <definedName name="_tab6" localSheetId="1" hidden="1">{#N/A,#N/A,FALSE,"Tabl. FB300";#N/A,#N/A,FALSE,"Tabl. FB350";#N/A,#N/A,FALSE,"Tabl. FB400";#N/A,#N/A,FALSE,"Tabl. FB500";#N/A,#N/A,FALSE,"Tabl. FS090"}</definedName>
    <definedName name="_tab6" localSheetId="4" hidden="1">{#N/A,#N/A,FALSE,"Tabl. FB300";#N/A,#N/A,FALSE,"Tabl. FB350";#N/A,#N/A,FALSE,"Tabl. FB400";#N/A,#N/A,FALSE,"Tabl. FB500";#N/A,#N/A,FALSE,"Tabl. FS090"}</definedName>
    <definedName name="_tab6" localSheetId="5" hidden="1">{#N/A,#N/A,FALSE,"Tabl. FB300";#N/A,#N/A,FALSE,"Tabl. FB350";#N/A,#N/A,FALSE,"Tabl. FB400";#N/A,#N/A,FALSE,"Tabl. FB500";#N/A,#N/A,FALSE,"Tabl. FS090"}</definedName>
    <definedName name="_tab6" localSheetId="0" hidden="1">{#N/A,#N/A,FALSE,"Tabl. FB300";#N/A,#N/A,FALSE,"Tabl. FB350";#N/A,#N/A,FALSE,"Tabl. FB400";#N/A,#N/A,FALSE,"Tabl. FB500";#N/A,#N/A,FALSE,"Tabl. FS090"}</definedName>
    <definedName name="_tab6" hidden="1">{#N/A,#N/A,FALSE,"Tabl. FB300";#N/A,#N/A,FALSE,"Tabl. FB350";#N/A,#N/A,FALSE,"Tabl. FB400";#N/A,#N/A,FALSE,"Tabl. FB500";#N/A,#N/A,FALSE,"Tabl. FS090"}</definedName>
    <definedName name="_tab653" localSheetId="1" hidden="1">{#N/A,#N/A,FALSE,"Tabl. G1";#N/A,#N/A,FALSE,"Tabl. G2"}</definedName>
    <definedName name="_tab653" localSheetId="4" hidden="1">{#N/A,#N/A,FALSE,"Tabl. G1";#N/A,#N/A,FALSE,"Tabl. G2"}</definedName>
    <definedName name="_tab653" localSheetId="5" hidden="1">{#N/A,#N/A,FALSE,"Tabl. G1";#N/A,#N/A,FALSE,"Tabl. G2"}</definedName>
    <definedName name="_tab653" localSheetId="0" hidden="1">{#N/A,#N/A,FALSE,"Tabl. G1";#N/A,#N/A,FALSE,"Tabl. G2"}</definedName>
    <definedName name="_tab653" hidden="1">{#N/A,#N/A,FALSE,"Tabl. G1";#N/A,#N/A,FALSE,"Tabl. G2"}</definedName>
    <definedName name="_TAB67" localSheetId="1" hidden="1">{#N/A,#N/A,FALSE,"Tabl. A1";#N/A,#N/A,FALSE,"Tabl. A1 b";#N/A,#N/A,FALSE,"Tabl. A2";#N/A,#N/A,FALSE,"Tabl. A2-1";#N/A,#N/A,FALSE,"Tabl. A2-2"}</definedName>
    <definedName name="_TAB67" localSheetId="4" hidden="1">{#N/A,#N/A,FALSE,"Tabl. A1";#N/A,#N/A,FALSE,"Tabl. A1 b";#N/A,#N/A,FALSE,"Tabl. A2";#N/A,#N/A,FALSE,"Tabl. A2-1";#N/A,#N/A,FALSE,"Tabl. A2-2"}</definedName>
    <definedName name="_TAB67" localSheetId="5" hidden="1">{#N/A,#N/A,FALSE,"Tabl. A1";#N/A,#N/A,FALSE,"Tabl. A1 b";#N/A,#N/A,FALSE,"Tabl. A2";#N/A,#N/A,FALSE,"Tabl. A2-1";#N/A,#N/A,FALSE,"Tabl. A2-2"}</definedName>
    <definedName name="_TAB67" localSheetId="0" hidden="1">{#N/A,#N/A,FALSE,"Tabl. A1";#N/A,#N/A,FALSE,"Tabl. A1 b";#N/A,#N/A,FALSE,"Tabl. A2";#N/A,#N/A,FALSE,"Tabl. A2-1";#N/A,#N/A,FALSE,"Tabl. A2-2"}</definedName>
    <definedName name="_TAB67" hidden="1">{#N/A,#N/A,FALSE,"Tabl. A1";#N/A,#N/A,FALSE,"Tabl. A1 b";#N/A,#N/A,FALSE,"Tabl. A2";#N/A,#N/A,FALSE,"Tabl. A2-1";#N/A,#N/A,FALSE,"Tabl. A2-2"}</definedName>
    <definedName name="_tab678" localSheetId="1" hidden="1">{#N/A,#N/A,FALSE,"Tabl. FB300";#N/A,#N/A,FALSE,"Tabl. FB350";#N/A,#N/A,FALSE,"Tabl. FB400";#N/A,#N/A,FALSE,"Tabl. FB500";#N/A,#N/A,FALSE,"Tabl. FS090"}</definedName>
    <definedName name="_tab678" localSheetId="4" hidden="1">{#N/A,#N/A,FALSE,"Tabl. FB300";#N/A,#N/A,FALSE,"Tabl. FB350";#N/A,#N/A,FALSE,"Tabl. FB400";#N/A,#N/A,FALSE,"Tabl. FB500";#N/A,#N/A,FALSE,"Tabl. FS090"}</definedName>
    <definedName name="_tab678" localSheetId="5" hidden="1">{#N/A,#N/A,FALSE,"Tabl. FB300";#N/A,#N/A,FALSE,"Tabl. FB350";#N/A,#N/A,FALSE,"Tabl. FB400";#N/A,#N/A,FALSE,"Tabl. FB500";#N/A,#N/A,FALSE,"Tabl. FS090"}</definedName>
    <definedName name="_tab678" localSheetId="0" hidden="1">{#N/A,#N/A,FALSE,"Tabl. FB300";#N/A,#N/A,FALSE,"Tabl. FB350";#N/A,#N/A,FALSE,"Tabl. FB400";#N/A,#N/A,FALSE,"Tabl. FB500";#N/A,#N/A,FALSE,"Tabl. FS090"}</definedName>
    <definedName name="_tab678" hidden="1">{#N/A,#N/A,FALSE,"Tabl. FB300";#N/A,#N/A,FALSE,"Tabl. FB350";#N/A,#N/A,FALSE,"Tabl. FB400";#N/A,#N/A,FALSE,"Tabl. FB500";#N/A,#N/A,FALSE,"Tabl. FS090"}</definedName>
    <definedName name="_tab7" localSheetId="1" hidden="1">{#N/A,#N/A,FALSE,"Tabl. FB300";#N/A,#N/A,FALSE,"Tabl. FB350";#N/A,#N/A,FALSE,"Tabl. FB400";#N/A,#N/A,FALSE,"Tabl. FB500";#N/A,#N/A,FALSE,"Tabl. FS090"}</definedName>
    <definedName name="_tab7" localSheetId="4" hidden="1">{#N/A,#N/A,FALSE,"Tabl. FB300";#N/A,#N/A,FALSE,"Tabl. FB350";#N/A,#N/A,FALSE,"Tabl. FB400";#N/A,#N/A,FALSE,"Tabl. FB500";#N/A,#N/A,FALSE,"Tabl. FS090"}</definedName>
    <definedName name="_tab7" localSheetId="5" hidden="1">{#N/A,#N/A,FALSE,"Tabl. FB300";#N/A,#N/A,FALSE,"Tabl. FB350";#N/A,#N/A,FALSE,"Tabl. FB400";#N/A,#N/A,FALSE,"Tabl. FB500";#N/A,#N/A,FALSE,"Tabl. FS090"}</definedName>
    <definedName name="_tab7" localSheetId="0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localSheetId="1" hidden="1">{#N/A,#N/A,FALSE,"Tabl. D1";#N/A,#N/A,FALSE,"Tabl. D1 b";#N/A,#N/A,FALSE,"Tabl. D2";#N/A,#N/A,FALSE,"Tabl. D2 b";#N/A,#N/A,FALSE,"Tabl. D3";#N/A,#N/A,FALSE,"Tabl. D4";#N/A,#N/A,FALSE,"Tabl. D5"}</definedName>
    <definedName name="_tab78" localSheetId="4" hidden="1">{#N/A,#N/A,FALSE,"Tabl. D1";#N/A,#N/A,FALSE,"Tabl. D1 b";#N/A,#N/A,FALSE,"Tabl. D2";#N/A,#N/A,FALSE,"Tabl. D2 b";#N/A,#N/A,FALSE,"Tabl. D3";#N/A,#N/A,FALSE,"Tabl. D4";#N/A,#N/A,FALSE,"Tabl. D5"}</definedName>
    <definedName name="_tab78" localSheetId="5" hidden="1">{#N/A,#N/A,FALSE,"Tabl. D1";#N/A,#N/A,FALSE,"Tabl. D1 b";#N/A,#N/A,FALSE,"Tabl. D2";#N/A,#N/A,FALSE,"Tabl. D2 b";#N/A,#N/A,FALSE,"Tabl. D3";#N/A,#N/A,FALSE,"Tabl. D4";#N/A,#N/A,FALSE,"Tabl. D5"}</definedName>
    <definedName name="_tab78" localSheetId="0" hidden="1">{#N/A,#N/A,FALSE,"Tabl. D1";#N/A,#N/A,FALSE,"Tabl. D1 b";#N/A,#N/A,FALSE,"Tabl. D2";#N/A,#N/A,FALSE,"Tabl. D2 b";#N/A,#N/A,FALSE,"Tabl. D3";#N/A,#N/A,FALSE,"Tabl. D4";#N/A,#N/A,FALSE,"Tabl. D5"}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localSheetId="1" hidden="1">{#N/A,#N/A,FALSE,"Tabl. FB300";#N/A,#N/A,FALSE,"Tabl. FB350";#N/A,#N/A,FALSE,"Tabl. FB400";#N/A,#N/A,FALSE,"Tabl. FB500";#N/A,#N/A,FALSE,"Tabl. FS090"}</definedName>
    <definedName name="_TAB8" localSheetId="4" hidden="1">{#N/A,#N/A,FALSE,"Tabl. FB300";#N/A,#N/A,FALSE,"Tabl. FB350";#N/A,#N/A,FALSE,"Tabl. FB400";#N/A,#N/A,FALSE,"Tabl. FB500";#N/A,#N/A,FALSE,"Tabl. FS090"}</definedName>
    <definedName name="_TAB8" localSheetId="5" hidden="1">{#N/A,#N/A,FALSE,"Tabl. FB300";#N/A,#N/A,FALSE,"Tabl. FB350";#N/A,#N/A,FALSE,"Tabl. FB400";#N/A,#N/A,FALSE,"Tabl. FB500";#N/A,#N/A,FALSE,"Tabl. FS090"}</definedName>
    <definedName name="_TAB8" localSheetId="0" hidden="1">{#N/A,#N/A,FALSE,"Tabl. FB300";#N/A,#N/A,FALSE,"Tabl. FB350";#N/A,#N/A,FALSE,"Tabl. FB400";#N/A,#N/A,FALSE,"Tabl. FB500";#N/A,#N/A,FALSE,"Tabl. FS090"}</definedName>
    <definedName name="_TAB8" hidden="1">{#N/A,#N/A,FALSE,"Tabl. FB300";#N/A,#N/A,FALSE,"Tabl. FB350";#N/A,#N/A,FALSE,"Tabl. FB400";#N/A,#N/A,FALSE,"Tabl. FB500";#N/A,#N/A,FALSE,"Tabl. FS090"}</definedName>
    <definedName name="_tab80" localSheetId="1" hidden="1">{#N/A,#N/A,FALSE,"Tabl. FB300";#N/A,#N/A,FALSE,"Tabl. FB350";#N/A,#N/A,FALSE,"Tabl. FB400";#N/A,#N/A,FALSE,"Tabl. FB500";#N/A,#N/A,FALSE,"Tabl. FS090"}</definedName>
    <definedName name="_tab80" localSheetId="4" hidden="1">{#N/A,#N/A,FALSE,"Tabl. FB300";#N/A,#N/A,FALSE,"Tabl. FB350";#N/A,#N/A,FALSE,"Tabl. FB400";#N/A,#N/A,FALSE,"Tabl. FB500";#N/A,#N/A,FALSE,"Tabl. FS090"}</definedName>
    <definedName name="_tab80" localSheetId="5" hidden="1">{#N/A,#N/A,FALSE,"Tabl. FB300";#N/A,#N/A,FALSE,"Tabl. FB350";#N/A,#N/A,FALSE,"Tabl. FB400";#N/A,#N/A,FALSE,"Tabl. FB500";#N/A,#N/A,FALSE,"Tabl. FS090"}</definedName>
    <definedName name="_tab80" localSheetId="0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" localSheetId="1" hidden="1">{#N/A,#N/A,FALSE,"Tabl. D1";#N/A,#N/A,FALSE,"Tabl. D1 b";#N/A,#N/A,FALSE,"Tabl. D2";#N/A,#N/A,FALSE,"Tabl. D2 b";#N/A,#N/A,FALSE,"Tabl. D3";#N/A,#N/A,FALSE,"Tabl. D4";#N/A,#N/A,FALSE,"Tabl. D5"}</definedName>
    <definedName name="_tab9" localSheetId="4" hidden="1">{#N/A,#N/A,FALSE,"Tabl. D1";#N/A,#N/A,FALSE,"Tabl. D1 b";#N/A,#N/A,FALSE,"Tabl. D2";#N/A,#N/A,FALSE,"Tabl. D2 b";#N/A,#N/A,FALSE,"Tabl. D3";#N/A,#N/A,FALSE,"Tabl. D4";#N/A,#N/A,FALSE,"Tabl. D5"}</definedName>
    <definedName name="_tab9" localSheetId="5" hidden="1">{#N/A,#N/A,FALSE,"Tabl. D1";#N/A,#N/A,FALSE,"Tabl. D1 b";#N/A,#N/A,FALSE,"Tabl. D2";#N/A,#N/A,FALSE,"Tabl. D2 b";#N/A,#N/A,FALSE,"Tabl. D3";#N/A,#N/A,FALSE,"Tabl. D4";#N/A,#N/A,FALSE,"Tabl. D5"}</definedName>
    <definedName name="_tab9" localSheetId="0" hidden="1">{#N/A,#N/A,FALSE,"Tabl. D1";#N/A,#N/A,FALSE,"Tabl. D1 b";#N/A,#N/A,FALSE,"Tabl. D2";#N/A,#N/A,FALSE,"Tabl. D2 b";#N/A,#N/A,FALSE,"Tabl. D3";#N/A,#N/A,FALSE,"Tabl. D4";#N/A,#N/A,FALSE,"Tabl. D5"}</definedName>
    <definedName name="_tab9" hidden="1">{#N/A,#N/A,FALSE,"Tabl. D1";#N/A,#N/A,FALSE,"Tabl. D1 b";#N/A,#N/A,FALSE,"Tabl. D2";#N/A,#N/A,FALSE,"Tabl. D2 b";#N/A,#N/A,FALSE,"Tabl. D3";#N/A,#N/A,FALSE,"Tabl. D4";#N/A,#N/A,FALSE,"Tabl. D5"}</definedName>
    <definedName name="_TAB90" localSheetId="1" hidden="1">{#N/A,#N/A,FALSE,"Tabl. H1";#N/A,#N/A,FALSE,"Tabl. H2"}</definedName>
    <definedName name="_TAB90" localSheetId="4" hidden="1">{#N/A,#N/A,FALSE,"Tabl. H1";#N/A,#N/A,FALSE,"Tabl. H2"}</definedName>
    <definedName name="_TAB90" localSheetId="5" hidden="1">{#N/A,#N/A,FALSE,"Tabl. H1";#N/A,#N/A,FALSE,"Tabl. H2"}</definedName>
    <definedName name="_TAB90" localSheetId="0" hidden="1">{#N/A,#N/A,FALSE,"Tabl. H1";#N/A,#N/A,FALSE,"Tabl. H2"}</definedName>
    <definedName name="_TAB90" hidden="1">{#N/A,#N/A,FALSE,"Tabl. H1";#N/A,#N/A,FALSE,"Tabl. H2"}</definedName>
    <definedName name="_tab98" localSheetId="1" hidden="1">{#N/A,#N/A,FALSE,"Tabl. A1";#N/A,#N/A,FALSE,"Tabl. A1 b";#N/A,#N/A,FALSE,"Tabl. A2";#N/A,#N/A,FALSE,"Tabl. A2-1";#N/A,#N/A,FALSE,"Tabl. A2-2"}</definedName>
    <definedName name="_tab98" localSheetId="4" hidden="1">{#N/A,#N/A,FALSE,"Tabl. A1";#N/A,#N/A,FALSE,"Tabl. A1 b";#N/A,#N/A,FALSE,"Tabl. A2";#N/A,#N/A,FALSE,"Tabl. A2-1";#N/A,#N/A,FALSE,"Tabl. A2-2"}</definedName>
    <definedName name="_tab98" localSheetId="5" hidden="1">{#N/A,#N/A,FALSE,"Tabl. A1";#N/A,#N/A,FALSE,"Tabl. A1 b";#N/A,#N/A,FALSE,"Tabl. A2";#N/A,#N/A,FALSE,"Tabl. A2-1";#N/A,#N/A,FALSE,"Tabl. A2-2"}</definedName>
    <definedName name="_tab98" localSheetId="0" hidden="1">{#N/A,#N/A,FALSE,"Tabl. A1";#N/A,#N/A,FALSE,"Tabl. A1 b";#N/A,#N/A,FALSE,"Tabl. A2";#N/A,#N/A,FALSE,"Tabl. A2-1";#N/A,#N/A,FALSE,"Tabl. A2-2"}</definedName>
    <definedName name="_tab98" hidden="1">{#N/A,#N/A,FALSE,"Tabl. A1";#N/A,#N/A,FALSE,"Tabl. A1 b";#N/A,#N/A,FALSE,"Tabl. A2";#N/A,#N/A,FALSE,"Tabl. A2-1";#N/A,#N/A,FALSE,"Tabl. A2-2"}</definedName>
    <definedName name="_tab987" localSheetId="1" hidden="1">{#N/A,#N/A,FALSE,"Tabl. G1";#N/A,#N/A,FALSE,"Tabl. G2"}</definedName>
    <definedName name="_tab987" localSheetId="4" hidden="1">{#N/A,#N/A,FALSE,"Tabl. G1";#N/A,#N/A,FALSE,"Tabl. G2"}</definedName>
    <definedName name="_tab987" localSheetId="5" hidden="1">{#N/A,#N/A,FALSE,"Tabl. G1";#N/A,#N/A,FALSE,"Tabl. G2"}</definedName>
    <definedName name="_tab987" localSheetId="0" hidden="1">{#N/A,#N/A,FALSE,"Tabl. G1";#N/A,#N/A,FALSE,"Tabl. G2"}</definedName>
    <definedName name="_tab987" hidden="1">{#N/A,#N/A,FALSE,"Tabl. G1";#N/A,#N/A,FALSE,"Tabl. G2"}</definedName>
    <definedName name="_x1" localSheetId="1" hidden="1">{#N/A,#N/A,FALSE,"SGP";#N/A,#N/A,FALSE,"SGI";#N/A,#N/A,FALSE,"SGC";#N/A,#N/A,FALSE,"SGS";#N/A,#N/A,FALSE,"SGB"}</definedName>
    <definedName name="_x1" localSheetId="4" hidden="1">{#N/A,#N/A,FALSE,"SGP";#N/A,#N/A,FALSE,"SGI";#N/A,#N/A,FALSE,"SGC";#N/A,#N/A,FALSE,"SGS";#N/A,#N/A,FALSE,"SGB"}</definedName>
    <definedName name="_x1" localSheetId="5" hidden="1">{#N/A,#N/A,FALSE,"SGP";#N/A,#N/A,FALSE,"SGI";#N/A,#N/A,FALSE,"SGC";#N/A,#N/A,FALSE,"SGS";#N/A,#N/A,FALSE,"SGB"}</definedName>
    <definedName name="_x1" localSheetId="0" hidden="1">{#N/A,#N/A,FALSE,"SGP";#N/A,#N/A,FALSE,"SGI";#N/A,#N/A,FALSE,"SGC";#N/A,#N/A,FALSE,"SGS";#N/A,#N/A,FALSE,"SGB"}</definedName>
    <definedName name="_x1" hidden="1">{#N/A,#N/A,FALSE,"SGP";#N/A,#N/A,FALSE,"SGI";#N/A,#N/A,FALSE,"SGC";#N/A,#N/A,FALSE,"SGS";#N/A,#N/A,FALSE,"SGB"}</definedName>
    <definedName name="_x2" localSheetId="1" hidden="1">{#N/A,#N/A,FALSE,"SGP";#N/A,#N/A,FALSE,"SGI";#N/A,#N/A,FALSE,"SGC";#N/A,#N/A,FALSE,"SGS";#N/A,#N/A,FALSE,"SGB"}</definedName>
    <definedName name="_x2" localSheetId="4" hidden="1">{#N/A,#N/A,FALSE,"SGP";#N/A,#N/A,FALSE,"SGI";#N/A,#N/A,FALSE,"SGC";#N/A,#N/A,FALSE,"SGS";#N/A,#N/A,FALSE,"SGB"}</definedName>
    <definedName name="_x2" localSheetId="5" hidden="1">{#N/A,#N/A,FALSE,"SGP";#N/A,#N/A,FALSE,"SGI";#N/A,#N/A,FALSE,"SGC";#N/A,#N/A,FALSE,"SGS";#N/A,#N/A,FALSE,"SGB"}</definedName>
    <definedName name="_x2" localSheetId="0" hidden="1">{#N/A,#N/A,FALSE,"SGP";#N/A,#N/A,FALSE,"SGI";#N/A,#N/A,FALSE,"SGC";#N/A,#N/A,FALSE,"SGS";#N/A,#N/A,FALSE,"SGB"}</definedName>
    <definedName name="_x2" hidden="1">{#N/A,#N/A,FALSE,"SGP";#N/A,#N/A,FALSE,"SGI";#N/A,#N/A,FALSE,"SGC";#N/A,#N/A,FALSE,"SGS";#N/A,#N/A,FALSE,"SGB"}</definedName>
    <definedName name="_xxxxxxxx" hidden="1">[1]COMPPROD!#REF!</definedName>
    <definedName name="a" localSheetId="1" hidden="1">{#N/A,#N/A,FALSE,"PREÇO.CPV.CA60";#N/A,#N/A,FALSE,"PREÇO.CPV.TREFILADOS";#N/A,#N/A,FALSE,"PREÇO.CPV.CA50";#N/A,#N/A,FALSE,"PREÇO.CPV.FM";#N/A,#N/A,FALSE,"PREÇO-FOB"}</definedName>
    <definedName name="a" localSheetId="4" hidden="1">{#N/A,#N/A,FALSE,"PREÇO.CPV.CA60";#N/A,#N/A,FALSE,"PREÇO.CPV.TREFILADOS";#N/A,#N/A,FALSE,"PREÇO.CPV.CA50";#N/A,#N/A,FALSE,"PREÇO.CPV.FM";#N/A,#N/A,FALSE,"PREÇO-FOB"}</definedName>
    <definedName name="a" localSheetId="5" hidden="1">{#N/A,#N/A,FALSE,"PREÇO.CPV.CA60";#N/A,#N/A,FALSE,"PREÇO.CPV.TREFILADOS";#N/A,#N/A,FALSE,"PREÇO.CPV.CA50";#N/A,#N/A,FALSE,"PREÇO.CPV.FM";#N/A,#N/A,FALSE,"PREÇO-FOB"}</definedName>
    <definedName name="a" localSheetId="0" hidden="1">{#N/A,#N/A,FALSE,"PREÇO.CPV.CA60";#N/A,#N/A,FALSE,"PREÇO.CPV.TREFILADOS";#N/A,#N/A,FALSE,"PREÇO.CPV.CA50";#N/A,#N/A,FALSE,"PREÇO.CPV.FM";#N/A,#N/A,FALSE,"PREÇO-FOB"}</definedName>
    <definedName name="a" hidden="1">{#N/A,#N/A,FALSE,"PREÇO.CPV.CA60";#N/A,#N/A,FALSE,"PREÇO.CPV.TREFILADOS";#N/A,#N/A,FALSE,"PREÇO.CPV.CA50";#N/A,#N/A,FALSE,"PREÇO.CPV.FM";#N/A,#N/A,FALSE,"PREÇO-FOB"}</definedName>
    <definedName name="aaa" localSheetId="1" hidden="1">{"'RR'!$A$2:$E$81"}</definedName>
    <definedName name="aaa" localSheetId="4" hidden="1">{"'RR'!$A$2:$E$81"}</definedName>
    <definedName name="aaa" localSheetId="5" hidden="1">{"'RR'!$A$2:$E$81"}</definedName>
    <definedName name="aaa" localSheetId="0" hidden="1">{"'RR'!$A$2:$E$81"}</definedName>
    <definedName name="aaa" hidden="1">{"'RR'!$A$2:$E$81"}</definedName>
    <definedName name="aaqa" localSheetId="1" hidden="1">{#N/A,#N/A,FALSE,"PREÇO.CPV.CA60";#N/A,#N/A,FALSE,"PREÇO.CPV.TREFILADOS";#N/A,#N/A,FALSE,"PREÇO.CPV.CA50";#N/A,#N/A,FALSE,"PREÇO.CPV.FM";#N/A,#N/A,FALSE,"PREÇO-FOB"}</definedName>
    <definedName name="aaqa" localSheetId="4" hidden="1">{#N/A,#N/A,FALSE,"PREÇO.CPV.CA60";#N/A,#N/A,FALSE,"PREÇO.CPV.TREFILADOS";#N/A,#N/A,FALSE,"PREÇO.CPV.CA50";#N/A,#N/A,FALSE,"PREÇO.CPV.FM";#N/A,#N/A,FALSE,"PREÇO-FOB"}</definedName>
    <definedName name="aaqa" localSheetId="5" hidden="1">{#N/A,#N/A,FALSE,"PREÇO.CPV.CA60";#N/A,#N/A,FALSE,"PREÇO.CPV.TREFILADOS";#N/A,#N/A,FALSE,"PREÇO.CPV.CA50";#N/A,#N/A,FALSE,"PREÇO.CPV.FM";#N/A,#N/A,FALSE,"PREÇO-FOB"}</definedName>
    <definedName name="aaqa" localSheetId="0" hidden="1">{#N/A,#N/A,FALSE,"PREÇO.CPV.CA60";#N/A,#N/A,FALSE,"PREÇO.CPV.TREFILADOS";#N/A,#N/A,FALSE,"PREÇO.CPV.CA50";#N/A,#N/A,FALSE,"PREÇO.CPV.FM";#N/A,#N/A,FALSE,"PREÇO-FOB"}</definedName>
    <definedName name="aaqa" hidden="1">{#N/A,#N/A,FALSE,"PREÇO.CPV.CA60";#N/A,#N/A,FALSE,"PREÇO.CPV.TREFILADOS";#N/A,#N/A,FALSE,"PREÇO.CPV.CA50";#N/A,#N/A,FALSE,"PREÇO.CPV.FM";#N/A,#N/A,FALSE,"PREÇO-FOB"}</definedName>
    <definedName name="aaqa2" localSheetId="1" hidden="1">{#N/A,#N/A,FALSE,"PREÇO.CPV.CA60";#N/A,#N/A,FALSE,"PREÇO.CPV.TREFILADOS";#N/A,#N/A,FALSE,"PREÇO.CPV.CA50";#N/A,#N/A,FALSE,"PREÇO.CPV.FM";#N/A,#N/A,FALSE,"PREÇO-FOB"}</definedName>
    <definedName name="aaqa2" localSheetId="4" hidden="1">{#N/A,#N/A,FALSE,"PREÇO.CPV.CA60";#N/A,#N/A,FALSE,"PREÇO.CPV.TREFILADOS";#N/A,#N/A,FALSE,"PREÇO.CPV.CA50";#N/A,#N/A,FALSE,"PREÇO.CPV.FM";#N/A,#N/A,FALSE,"PREÇO-FOB"}</definedName>
    <definedName name="aaqa2" localSheetId="5" hidden="1">{#N/A,#N/A,FALSE,"PREÇO.CPV.CA60";#N/A,#N/A,FALSE,"PREÇO.CPV.TREFILADOS";#N/A,#N/A,FALSE,"PREÇO.CPV.CA50";#N/A,#N/A,FALSE,"PREÇO.CPV.FM";#N/A,#N/A,FALSE,"PREÇO-FOB"}</definedName>
    <definedName name="aaqa2" localSheetId="0" hidden="1">{#N/A,#N/A,FALSE,"PREÇO.CPV.CA60";#N/A,#N/A,FALSE,"PREÇO.CPV.TREFILADOS";#N/A,#N/A,FALSE,"PREÇO.CPV.CA50";#N/A,#N/A,FALSE,"PREÇO.CPV.FM";#N/A,#N/A,FALSE,"PREÇO-FOB"}</definedName>
    <definedName name="aaqa2" hidden="1">{#N/A,#N/A,FALSE,"PREÇO.CPV.CA60";#N/A,#N/A,FALSE,"PREÇO.CPV.TREFILADOS";#N/A,#N/A,FALSE,"PREÇO.CPV.CA50";#N/A,#N/A,FALSE,"PREÇO.CPV.FM";#N/A,#N/A,FALSE,"PREÇO-FOB"}</definedName>
    <definedName name="abc" localSheetId="1" hidden="1">{#N/A,#N/A,FALSE,"O&amp;I Worksheet"}</definedName>
    <definedName name="abc" localSheetId="4" hidden="1">{#N/A,#N/A,FALSE,"O&amp;I Worksheet"}</definedName>
    <definedName name="abc" localSheetId="5" hidden="1">{#N/A,#N/A,FALSE,"O&amp;I Worksheet"}</definedName>
    <definedName name="abc" localSheetId="0" hidden="1">{#N/A,#N/A,FALSE,"O&amp;I Worksheet"}</definedName>
    <definedName name="abc" hidden="1">{#N/A,#N/A,FALSE,"O&amp;I Worksheet"}</definedName>
    <definedName name="ac" localSheetId="1" hidden="1">{#N/A,#N/A,FALSE,"CONSOL. 5";#N/A,#N/A,FALSE,"CONSOL. ACUM. 6";#N/A,#N/A,FALSE,"CAP. EMPREG. 7";#N/A,#N/A,FALSE,"ORIGENS E APLICAÇÕES 9"}</definedName>
    <definedName name="ac" localSheetId="4" hidden="1">{#N/A,#N/A,FALSE,"CONSOL. 5";#N/A,#N/A,FALSE,"CONSOL. ACUM. 6";#N/A,#N/A,FALSE,"CAP. EMPREG. 7";#N/A,#N/A,FALSE,"ORIGENS E APLICAÇÕES 9"}</definedName>
    <definedName name="ac" localSheetId="5" hidden="1">{#N/A,#N/A,FALSE,"CONSOL. 5";#N/A,#N/A,FALSE,"CONSOL. ACUM. 6";#N/A,#N/A,FALSE,"CAP. EMPREG. 7";#N/A,#N/A,FALSE,"ORIGENS E APLICAÇÕES 9"}</definedName>
    <definedName name="ac" localSheetId="0" hidden="1">{#N/A,#N/A,FALSE,"CONSOL. 5";#N/A,#N/A,FALSE,"CONSOL. ACUM. 6";#N/A,#N/A,FALSE,"CAP. EMPREG. 7";#N/A,#N/A,FALSE,"ORIGENS E APLICAÇÕES 9"}</definedName>
    <definedName name="ac" hidden="1">{#N/A,#N/A,FALSE,"CONSOL. 5";#N/A,#N/A,FALSE,"CONSOL. ACUM. 6";#N/A,#N/A,FALSE,"CAP. EMPREG. 7";#N/A,#N/A,FALSE,"ORIGENS E APLICAÇÕES 9"}</definedName>
    <definedName name="addd" localSheetId="1" hidden="1">{#N/A,#N/A,FALSE,"Radar CONS Mês e Acum  3";#N/A,#N/A,FALSE,"Radar CONS Acum 4"}</definedName>
    <definedName name="addd" localSheetId="4" hidden="1">{#N/A,#N/A,FALSE,"Radar CONS Mês e Acum  3";#N/A,#N/A,FALSE,"Radar CONS Acum 4"}</definedName>
    <definedName name="addd" localSheetId="5" hidden="1">{#N/A,#N/A,FALSE,"Radar CONS Mês e Acum  3";#N/A,#N/A,FALSE,"Radar CONS Acum 4"}</definedName>
    <definedName name="addd" localSheetId="0" hidden="1">{#N/A,#N/A,FALSE,"Radar CONS Mês e Acum  3";#N/A,#N/A,FALSE,"Radar CONS Acum 4"}</definedName>
    <definedName name="addd" hidden="1">{#N/A,#N/A,FALSE,"Radar CONS Mês e Acum  3";#N/A,#N/A,FALSE,"Radar CONS Acum 4"}</definedName>
    <definedName name="as" hidden="1">47</definedName>
    <definedName name="ase" localSheetId="1" hidden="1">{#N/A,#N/A,FALSE,"PREÇO.CPV.CA60";#N/A,#N/A,FALSE,"PREÇO.CPV.TREFILADOS";#N/A,#N/A,FALSE,"PREÇO.CPV.CA50";#N/A,#N/A,FALSE,"PREÇO.CPV.FM";#N/A,#N/A,FALSE,"PREÇO-FOB"}</definedName>
    <definedName name="ase" localSheetId="4" hidden="1">{#N/A,#N/A,FALSE,"PREÇO.CPV.CA60";#N/A,#N/A,FALSE,"PREÇO.CPV.TREFILADOS";#N/A,#N/A,FALSE,"PREÇO.CPV.CA50";#N/A,#N/A,FALSE,"PREÇO.CPV.FM";#N/A,#N/A,FALSE,"PREÇO-FOB"}</definedName>
    <definedName name="ase" localSheetId="5" hidden="1">{#N/A,#N/A,FALSE,"PREÇO.CPV.CA60";#N/A,#N/A,FALSE,"PREÇO.CPV.TREFILADOS";#N/A,#N/A,FALSE,"PREÇO.CPV.CA50";#N/A,#N/A,FALSE,"PREÇO.CPV.FM";#N/A,#N/A,FALSE,"PREÇO-FOB"}</definedName>
    <definedName name="ase" localSheetId="0" hidden="1">{#N/A,#N/A,FALSE,"PREÇO.CPV.CA60";#N/A,#N/A,FALSE,"PREÇO.CPV.TREFILADOS";#N/A,#N/A,FALSE,"PREÇO.CPV.CA50";#N/A,#N/A,FALSE,"PREÇO.CPV.FM";#N/A,#N/A,FALSE,"PREÇO-FOB"}</definedName>
    <definedName name="ase" hidden="1">{#N/A,#N/A,FALSE,"PREÇO.CPV.CA60";#N/A,#N/A,FALSE,"PREÇO.CPV.TREFILADOS";#N/A,#N/A,FALSE,"PREÇO.CPV.CA50";#N/A,#N/A,FALSE,"PREÇO.CPV.FM";#N/A,#N/A,FALSE,"PREÇO-FOB"}</definedName>
    <definedName name="b" localSheetId="1" hidden="1">{#N/A,#N/A,FALSE,"Tabl. D1";#N/A,#N/A,FALSE,"Tabl. D1 b";#N/A,#N/A,FALSE,"Tabl. D2";#N/A,#N/A,FALSE,"Tabl. D2 b";#N/A,#N/A,FALSE,"Tabl. D3";#N/A,#N/A,FALSE,"Tabl. D4";#N/A,#N/A,FALSE,"Tabl. D5"}</definedName>
    <definedName name="b" localSheetId="4" hidden="1">{#N/A,#N/A,FALSE,"Tabl. D1";#N/A,#N/A,FALSE,"Tabl. D1 b";#N/A,#N/A,FALSE,"Tabl. D2";#N/A,#N/A,FALSE,"Tabl. D2 b";#N/A,#N/A,FALSE,"Tabl. D3";#N/A,#N/A,FALSE,"Tabl. D4";#N/A,#N/A,FALSE,"Tabl. D5"}</definedName>
    <definedName name="b" localSheetId="5" hidden="1">{#N/A,#N/A,FALSE,"Tabl. D1";#N/A,#N/A,FALSE,"Tabl. D1 b";#N/A,#N/A,FALSE,"Tabl. D2";#N/A,#N/A,FALSE,"Tabl. D2 b";#N/A,#N/A,FALSE,"Tabl. D3";#N/A,#N/A,FALSE,"Tabl. D4";#N/A,#N/A,FALSE,"Tabl. D5"}</definedName>
    <definedName name="b" localSheetId="0" hidden="1">{#N/A,#N/A,FALSE,"Tabl. D1";#N/A,#N/A,FALSE,"Tabl. D1 b";#N/A,#N/A,FALSE,"Tabl. D2";#N/A,#N/A,FALSE,"Tabl. D2 b";#N/A,#N/A,FALSE,"Tabl. D3";#N/A,#N/A,FALSE,"Tabl. D4";#N/A,#N/A,FALSE,"Tabl. D5"}</definedName>
    <definedName name="b" hidden="1">{#N/A,#N/A,FALSE,"Tabl. D1";#N/A,#N/A,FALSE,"Tabl. D1 b";#N/A,#N/A,FALSE,"Tabl. D2";#N/A,#N/A,FALSE,"Tabl. D2 b";#N/A,#N/A,FALSE,"Tabl. D3";#N/A,#N/A,FALSE,"Tabl. D4";#N/A,#N/A,FALSE,"Tabl. D5"}</definedName>
    <definedName name="BATEAU" localSheetId="1" hidden="1">{#N/A,#N/A,FALSE,"Tabl. G1";#N/A,#N/A,FALSE,"Tabl. G2"}</definedName>
    <definedName name="BATEAU" localSheetId="4" hidden="1">{#N/A,#N/A,FALSE,"Tabl. G1";#N/A,#N/A,FALSE,"Tabl. G2"}</definedName>
    <definedName name="BATEAU" localSheetId="5" hidden="1">{#N/A,#N/A,FALSE,"Tabl. G1";#N/A,#N/A,FALSE,"Tabl. G2"}</definedName>
    <definedName name="BATEAU" localSheetId="0" hidden="1">{#N/A,#N/A,FALSE,"Tabl. G1";#N/A,#N/A,FALSE,"Tabl. G2"}</definedName>
    <definedName name="BATEAU" hidden="1">{#N/A,#N/A,FALSE,"Tabl. G1";#N/A,#N/A,FALSE,"Tabl. G2"}</definedName>
    <definedName name="bbb" localSheetId="1" hidden="1">{#N/A,#N/A,FALSE,"Tabl. G1";#N/A,#N/A,FALSE,"Tabl. G2"}</definedName>
    <definedName name="bbb" localSheetId="4" hidden="1">{#N/A,#N/A,FALSE,"Tabl. G1";#N/A,#N/A,FALSE,"Tabl. G2"}</definedName>
    <definedName name="bbb" localSheetId="5" hidden="1">{#N/A,#N/A,FALSE,"Tabl. G1";#N/A,#N/A,FALSE,"Tabl. G2"}</definedName>
    <definedName name="bbb" localSheetId="0" hidden="1">{#N/A,#N/A,FALSE,"Tabl. G1";#N/A,#N/A,FALSE,"Tabl. G2"}</definedName>
    <definedName name="bbb" hidden="1">{#N/A,#N/A,FALSE,"Tabl. G1";#N/A,#N/A,FALSE,"Tabl. G2"}</definedName>
    <definedName name="bnn" localSheetId="1" hidden="1">{#N/A,#N/A,FALSE,"Tabl. FB300";#N/A,#N/A,FALSE,"Tabl. FB350";#N/A,#N/A,FALSE,"Tabl. FB400";#N/A,#N/A,FALSE,"Tabl. FB500";#N/A,#N/A,FALSE,"Tabl. FS090"}</definedName>
    <definedName name="bnn" localSheetId="4" hidden="1">{#N/A,#N/A,FALSE,"Tabl. FB300";#N/A,#N/A,FALSE,"Tabl. FB350";#N/A,#N/A,FALSE,"Tabl. FB400";#N/A,#N/A,FALSE,"Tabl. FB500";#N/A,#N/A,FALSE,"Tabl. FS090"}</definedName>
    <definedName name="bnn" localSheetId="5" hidden="1">{#N/A,#N/A,FALSE,"Tabl. FB300";#N/A,#N/A,FALSE,"Tabl. FB350";#N/A,#N/A,FALSE,"Tabl. FB400";#N/A,#N/A,FALSE,"Tabl. FB500";#N/A,#N/A,FALSE,"Tabl. FS090"}</definedName>
    <definedName name="bnn" localSheetId="0" hidden="1">{#N/A,#N/A,FALSE,"Tabl. FB300";#N/A,#N/A,FALSE,"Tabl. FB350";#N/A,#N/A,FALSE,"Tabl. FB400";#N/A,#N/A,FALSE,"Tabl. FB500";#N/A,#N/A,FALSE,"Tabl. FS090"}</definedName>
    <definedName name="bnn" hidden="1">{#N/A,#N/A,FALSE,"Tabl. FB300";#N/A,#N/A,FALSE,"Tabl. FB350";#N/A,#N/A,FALSE,"Tabl. FB400";#N/A,#N/A,FALSE,"Tabl. FB500";#N/A,#N/A,FALSE,"Tabl. FS090"}</definedName>
    <definedName name="canot" localSheetId="1" hidden="1">{#N/A,#N/A,FALSE,"Tabl. FB300";#N/A,#N/A,FALSE,"Tabl. FB350";#N/A,#N/A,FALSE,"Tabl. FB400";#N/A,#N/A,FALSE,"Tabl. FB500";#N/A,#N/A,FALSE,"Tabl. FS090"}</definedName>
    <definedName name="canot" localSheetId="4" hidden="1">{#N/A,#N/A,FALSE,"Tabl. FB300";#N/A,#N/A,FALSE,"Tabl. FB350";#N/A,#N/A,FALSE,"Tabl. FB400";#N/A,#N/A,FALSE,"Tabl. FB500";#N/A,#N/A,FALSE,"Tabl. FS090"}</definedName>
    <definedName name="canot" localSheetId="5" hidden="1">{#N/A,#N/A,FALSE,"Tabl. FB300";#N/A,#N/A,FALSE,"Tabl. FB350";#N/A,#N/A,FALSE,"Tabl. FB400";#N/A,#N/A,FALSE,"Tabl. FB500";#N/A,#N/A,FALSE,"Tabl. FS090"}</definedName>
    <definedName name="canot" localSheetId="0" hidden="1">{#N/A,#N/A,FALSE,"Tabl. FB300";#N/A,#N/A,FALSE,"Tabl. FB350";#N/A,#N/A,FALSE,"Tabl. FB400";#N/A,#N/A,FALSE,"Tabl. FB500";#N/A,#N/A,FALSE,"Tabl. FS090"}</definedName>
    <definedName name="canot" hidden="1">{#N/A,#N/A,FALSE,"Tabl. FB300";#N/A,#N/A,FALSE,"Tabl. FB350";#N/A,#N/A,FALSE,"Tabl. FB400";#N/A,#N/A,FALSE,"Tabl. FB500";#N/A,#N/A,FALSE,"Tabl. FS090"}</definedName>
    <definedName name="ccc" localSheetId="1" hidden="1">{#N/A,#N/A,FALSE,"Tabl. FB300";#N/A,#N/A,FALSE,"Tabl. FB350";#N/A,#N/A,FALSE,"Tabl. FB400";#N/A,#N/A,FALSE,"Tabl. FB500";#N/A,#N/A,FALSE,"Tabl. FS090"}</definedName>
    <definedName name="ccc" localSheetId="4" hidden="1">{#N/A,#N/A,FALSE,"Tabl. FB300";#N/A,#N/A,FALSE,"Tabl. FB350";#N/A,#N/A,FALSE,"Tabl. FB400";#N/A,#N/A,FALSE,"Tabl. FB500";#N/A,#N/A,FALSE,"Tabl. FS090"}</definedName>
    <definedName name="ccc" localSheetId="5" hidden="1">{#N/A,#N/A,FALSE,"Tabl. FB300";#N/A,#N/A,FALSE,"Tabl. FB350";#N/A,#N/A,FALSE,"Tabl. FB400";#N/A,#N/A,FALSE,"Tabl. FB500";#N/A,#N/A,FALSE,"Tabl. FS090"}</definedName>
    <definedName name="ccc" localSheetId="0" hidden="1">{#N/A,#N/A,FALSE,"Tabl. FB300";#N/A,#N/A,FALSE,"Tabl. FB350";#N/A,#N/A,FALSE,"Tabl. FB400";#N/A,#N/A,FALSE,"Tabl. FB500";#N/A,#N/A,FALSE,"Tabl. FS090"}</definedName>
    <definedName name="ccc" hidden="1">{#N/A,#N/A,FALSE,"Tabl. FB300";#N/A,#N/A,FALSE,"Tabl. FB350";#N/A,#N/A,FALSE,"Tabl. FB400";#N/A,#N/A,FALSE,"Tabl. FB500";#N/A,#N/A,FALSE,"Tabl. FS090"}</definedName>
    <definedName name="ççç" localSheetId="1" hidden="1">{#N/A,#N/A,FALSE,"SGP";#N/A,#N/A,FALSE,"SGI";#N/A,#N/A,FALSE,"SGC";#N/A,#N/A,FALSE,"SGS";#N/A,#N/A,FALSE,"SGB"}</definedName>
    <definedName name="ççç" localSheetId="4" hidden="1">{#N/A,#N/A,FALSE,"SGP";#N/A,#N/A,FALSE,"SGI";#N/A,#N/A,FALSE,"SGC";#N/A,#N/A,FALSE,"SGS";#N/A,#N/A,FALSE,"SGB"}</definedName>
    <definedName name="ççç" localSheetId="5" hidden="1">{#N/A,#N/A,FALSE,"SGP";#N/A,#N/A,FALSE,"SGI";#N/A,#N/A,FALSE,"SGC";#N/A,#N/A,FALSE,"SGS";#N/A,#N/A,FALSE,"SGB"}</definedName>
    <definedName name="ççç" localSheetId="0" hidden="1">{#N/A,#N/A,FALSE,"SGP";#N/A,#N/A,FALSE,"SGI";#N/A,#N/A,FALSE,"SGC";#N/A,#N/A,FALSE,"SGS";#N/A,#N/A,FALSE,"SGB"}</definedName>
    <definedName name="ççç" hidden="1">{#N/A,#N/A,FALSE,"SGP";#N/A,#N/A,FALSE,"SGI";#N/A,#N/A,FALSE,"SGC";#N/A,#N/A,FALSE,"SGS";#N/A,#N/A,FALSE,"SGB"}</definedName>
    <definedName name="champ" localSheetId="1" hidden="1">{#N/A,#N/A,FALSE,"Tabl. G1";#N/A,#N/A,FALSE,"Tabl. G2"}</definedName>
    <definedName name="champ" localSheetId="4" hidden="1">{#N/A,#N/A,FALSE,"Tabl. G1";#N/A,#N/A,FALSE,"Tabl. G2"}</definedName>
    <definedName name="champ" localSheetId="5" hidden="1">{#N/A,#N/A,FALSE,"Tabl. G1";#N/A,#N/A,FALSE,"Tabl. G2"}</definedName>
    <definedName name="champ" localSheetId="0" hidden="1">{#N/A,#N/A,FALSE,"Tabl. G1";#N/A,#N/A,FALSE,"Tabl. G2"}</definedName>
    <definedName name="champ" hidden="1">{#N/A,#N/A,FALSE,"Tabl. G1";#N/A,#N/A,FALSE,"Tabl. G2"}</definedName>
    <definedName name="Chun" localSheetId="1" hidden="1">{#N/A,#N/A,FALSE,"ORÇADOxREAL %M.P.";#N/A,#N/A,FALSE,"ORÇADOxREAL";#N/A,#N/A,FALSE,"Receb. Clientes";#N/A,#N/A,FALSE,"Pgto Fornecedores";#N/A,#N/A,FALSE,"% M.P.";#N/A,#N/A,FALSE,"Faturamento M²";#N/A,#N/A,FALSE,"IC"}</definedName>
    <definedName name="Chun" localSheetId="4" hidden="1">{#N/A,#N/A,FALSE,"ORÇADOxREAL %M.P.";#N/A,#N/A,FALSE,"ORÇADOxREAL";#N/A,#N/A,FALSE,"Receb. Clientes";#N/A,#N/A,FALSE,"Pgto Fornecedores";#N/A,#N/A,FALSE,"% M.P.";#N/A,#N/A,FALSE,"Faturamento M²";#N/A,#N/A,FALSE,"IC"}</definedName>
    <definedName name="Chun" localSheetId="5" hidden="1">{#N/A,#N/A,FALSE,"ORÇADOxREAL %M.P.";#N/A,#N/A,FALSE,"ORÇADOxREAL";#N/A,#N/A,FALSE,"Receb. Clientes";#N/A,#N/A,FALSE,"Pgto Fornecedores";#N/A,#N/A,FALSE,"% M.P.";#N/A,#N/A,FALSE,"Faturamento M²";#N/A,#N/A,FALSE,"IC"}</definedName>
    <definedName name="Chun" localSheetId="0" hidden="1">{#N/A,#N/A,FALSE,"ORÇADOxREAL %M.P.";#N/A,#N/A,FALSE,"ORÇADOxREAL";#N/A,#N/A,FALSE,"Receb. Clientes";#N/A,#N/A,FALSE,"Pgto Fornecedores";#N/A,#N/A,FALSE,"% M.P.";#N/A,#N/A,FALSE,"Faturamento M²";#N/A,#N/A,FALSE,"IC"}</definedName>
    <definedName name="Chun" hidden="1">{#N/A,#N/A,FALSE,"ORÇADOxREAL %M.P.";#N/A,#N/A,FALSE,"ORÇADOxREAL";#N/A,#N/A,FALSE,"Receb. Clientes";#N/A,#N/A,FALSE,"Pgto Fornecedores";#N/A,#N/A,FALSE,"% M.P.";#N/A,#N/A,FALSE,"Faturamento M²";#N/A,#N/A,FALSE,"IC"}</definedName>
    <definedName name="CV" localSheetId="1" hidden="1">{#N/A,#N/A,FALSE,"Tabl. G1";#N/A,#N/A,FALSE,"Tabl. G2"}</definedName>
    <definedName name="CV" localSheetId="4" hidden="1">{#N/A,#N/A,FALSE,"Tabl. G1";#N/A,#N/A,FALSE,"Tabl. G2"}</definedName>
    <definedName name="CV" localSheetId="5" hidden="1">{#N/A,#N/A,FALSE,"Tabl. G1";#N/A,#N/A,FALSE,"Tabl. G2"}</definedName>
    <definedName name="CV" localSheetId="0" hidden="1">{#N/A,#N/A,FALSE,"Tabl. G1";#N/A,#N/A,FALSE,"Tabl. G2"}</definedName>
    <definedName name="CV" hidden="1">{#N/A,#N/A,FALSE,"Tabl. G1";#N/A,#N/A,FALSE,"Tabl. G2"}</definedName>
    <definedName name="Dados" hidden="1">[1]COMPPROD!#REF!</definedName>
    <definedName name="ddd" localSheetId="1" hidden="1">{#N/A,#N/A,FALSE,"Tabl. G1";#N/A,#N/A,FALSE,"Tabl. G2"}</definedName>
    <definedName name="ddd" localSheetId="4" hidden="1">{#N/A,#N/A,FALSE,"Tabl. G1";#N/A,#N/A,FALSE,"Tabl. G2"}</definedName>
    <definedName name="ddd" localSheetId="5" hidden="1">{#N/A,#N/A,FALSE,"Tabl. G1";#N/A,#N/A,FALSE,"Tabl. G2"}</definedName>
    <definedName name="ddd" localSheetId="0" hidden="1">{#N/A,#N/A,FALSE,"Tabl. G1";#N/A,#N/A,FALSE,"Tabl. G2"}</definedName>
    <definedName name="ddd" hidden="1">{#N/A,#N/A,FALSE,"Tabl. G1";#N/A,#N/A,FALSE,"Tabl. G2"}</definedName>
    <definedName name="dddddd" localSheetId="1" hidden="1">{#N/A,#N/A,FALSE,"Tabl. FB300";#N/A,#N/A,FALSE,"Tabl. FB350";#N/A,#N/A,FALSE,"Tabl. FB400";#N/A,#N/A,FALSE,"Tabl. FB500";#N/A,#N/A,FALSE,"Tabl. FS090"}</definedName>
    <definedName name="dddddd" localSheetId="4" hidden="1">{#N/A,#N/A,FALSE,"Tabl. FB300";#N/A,#N/A,FALSE,"Tabl. FB350";#N/A,#N/A,FALSE,"Tabl. FB400";#N/A,#N/A,FALSE,"Tabl. FB500";#N/A,#N/A,FALSE,"Tabl. FS090"}</definedName>
    <definedName name="dddddd" localSheetId="5" hidden="1">{#N/A,#N/A,FALSE,"Tabl. FB300";#N/A,#N/A,FALSE,"Tabl. FB350";#N/A,#N/A,FALSE,"Tabl. FB400";#N/A,#N/A,FALSE,"Tabl. FB500";#N/A,#N/A,FALSE,"Tabl. FS090"}</definedName>
    <definedName name="dddddd" localSheetId="0" hidden="1">{#N/A,#N/A,FALSE,"Tabl. FB300";#N/A,#N/A,FALSE,"Tabl. FB350";#N/A,#N/A,FALSE,"Tabl. FB400";#N/A,#N/A,FALSE,"Tabl. FB500";#N/A,#N/A,FALSE,"Tabl. FS090"}</definedName>
    <definedName name="dddddd" hidden="1">{#N/A,#N/A,FALSE,"Tabl. FB300";#N/A,#N/A,FALSE,"Tabl. FB350";#N/A,#N/A,FALSE,"Tabl. FB400";#N/A,#N/A,FALSE,"Tabl. FB500";#N/A,#N/A,FALSE,"Tabl. FS090"}</definedName>
    <definedName name="DEIP_Atual" localSheetId="1" hidden="1">{"'RR'!$A$2:$E$81"}</definedName>
    <definedName name="DEIP_Atual" localSheetId="4" hidden="1">{"'RR'!$A$2:$E$81"}</definedName>
    <definedName name="DEIP_Atual" localSheetId="5" hidden="1">{"'RR'!$A$2:$E$81"}</definedName>
    <definedName name="DEIP_Atual" localSheetId="0" hidden="1">{"'RR'!$A$2:$E$81"}</definedName>
    <definedName name="DEIP_Atual" hidden="1">{"'RR'!$A$2:$E$81"}</definedName>
    <definedName name="DESVIOMETA_FM_CRU_IJC" localSheetId="1" hidden="1">{#N/A,#N/A,FALSE,"RAINHA TOPPER CONSOL 16";#N/A,#N/A,FALSE,"BOLAS 17";#N/A,#N/A,FALSE,"VESTUÁRIO 18";#N/A,#N/A,FALSE,"Rainha Topper Mês e Acum 19";#N/A,#N/A,FALSE,"Rainha Topper Acum 20"}</definedName>
    <definedName name="DESVIOMETA_FM_CRU_IJC" localSheetId="4" hidden="1">{#N/A,#N/A,FALSE,"RAINHA TOPPER CONSOL 16";#N/A,#N/A,FALSE,"BOLAS 17";#N/A,#N/A,FALSE,"VESTUÁRIO 18";#N/A,#N/A,FALSE,"Rainha Topper Mês e Acum 19";#N/A,#N/A,FALSE,"Rainha Topper Acum 20"}</definedName>
    <definedName name="DESVIOMETA_FM_CRU_IJC" localSheetId="5" hidden="1">{#N/A,#N/A,FALSE,"RAINHA TOPPER CONSOL 16";#N/A,#N/A,FALSE,"BOLAS 17";#N/A,#N/A,FALSE,"VESTUÁRIO 18";#N/A,#N/A,FALSE,"Rainha Topper Mês e Acum 19";#N/A,#N/A,FALSE,"Rainha Topper Acum 20"}</definedName>
    <definedName name="DESVIOMETA_FM_CRU_IJC" localSheetId="0" hidden="1">{#N/A,#N/A,FALSE,"RAINHA TOPPER CONSOL 16";#N/A,#N/A,FALSE,"BOLAS 17";#N/A,#N/A,FALSE,"VESTUÁRIO 18";#N/A,#N/A,FALSE,"Rainha Topper Mês e Acum 19";#N/A,#N/A,FALSE,"Rainha Topper Acum 20"}</definedName>
    <definedName name="DESVIOMETA_FM_CRU_IJC" hidden="1">{#N/A,#N/A,FALSE,"RAINHA TOPPER CONSOL 16";#N/A,#N/A,FALSE,"BOLAS 17";#N/A,#N/A,FALSE,"VESTUÁRIO 18";#N/A,#N/A,FALSE,"Rainha Topper Mês e Acum 19";#N/A,#N/A,FALSE,"Rainha Topper Acum 20"}</definedName>
    <definedName name="e.3.1.a" localSheetId="1" hidden="1">{#N/A,#N/A,FALSE,"Tabl. G1";#N/A,#N/A,FALSE,"Tabl. G2"}</definedName>
    <definedName name="e.3.1.a" localSheetId="4" hidden="1">{#N/A,#N/A,FALSE,"Tabl. G1";#N/A,#N/A,FALSE,"Tabl. G2"}</definedName>
    <definedName name="e.3.1.a" localSheetId="5" hidden="1">{#N/A,#N/A,FALSE,"Tabl. G1";#N/A,#N/A,FALSE,"Tabl. G2"}</definedName>
    <definedName name="e.3.1.a" localSheetId="0" hidden="1">{#N/A,#N/A,FALSE,"Tabl. G1";#N/A,#N/A,FALSE,"Tabl. G2"}</definedName>
    <definedName name="e.3.1.a" hidden="1">{#N/A,#N/A,FALSE,"Tabl. G1";#N/A,#N/A,FALSE,"Tabl. G2"}</definedName>
    <definedName name="eee" localSheetId="1" hidden="1">{#N/A,#N/A,FALSE,"Tabl. H1";#N/A,#N/A,FALSE,"Tabl. H2"}</definedName>
    <definedName name="eee" localSheetId="4" hidden="1">{#N/A,#N/A,FALSE,"Tabl. H1";#N/A,#N/A,FALSE,"Tabl. H2"}</definedName>
    <definedName name="eee" localSheetId="5" hidden="1">{#N/A,#N/A,FALSE,"Tabl. H1";#N/A,#N/A,FALSE,"Tabl. H2"}</definedName>
    <definedName name="eee" localSheetId="0" hidden="1">{#N/A,#N/A,FALSE,"Tabl. H1";#N/A,#N/A,FALSE,"Tabl. H2"}</definedName>
    <definedName name="eee" hidden="1">{#N/A,#N/A,FALSE,"Tabl. H1";#N/A,#N/A,FALSE,"Tabl. H2"}</definedName>
    <definedName name="eeeeee" localSheetId="1" hidden="1">{#N/A,#N/A,FALSE,"SGP";#N/A,#N/A,FALSE,"SGI";#N/A,#N/A,FALSE,"SGC";#N/A,#N/A,FALSE,"SGS";#N/A,#N/A,FALSE,"SGB"}</definedName>
    <definedName name="eeeeee" localSheetId="4" hidden="1">{#N/A,#N/A,FALSE,"SGP";#N/A,#N/A,FALSE,"SGI";#N/A,#N/A,FALSE,"SGC";#N/A,#N/A,FALSE,"SGS";#N/A,#N/A,FALSE,"SGB"}</definedName>
    <definedName name="eeeeee" localSheetId="5" hidden="1">{#N/A,#N/A,FALSE,"SGP";#N/A,#N/A,FALSE,"SGI";#N/A,#N/A,FALSE,"SGC";#N/A,#N/A,FALSE,"SGS";#N/A,#N/A,FALSE,"SGB"}</definedName>
    <definedName name="eeeeee" localSheetId="0" hidden="1">{#N/A,#N/A,FALSE,"SGP";#N/A,#N/A,FALSE,"SGI";#N/A,#N/A,FALSE,"SGC";#N/A,#N/A,FALSE,"SGS";#N/A,#N/A,FALSE,"SGB"}</definedName>
    <definedName name="eeeeee" hidden="1">{#N/A,#N/A,FALSE,"SGP";#N/A,#N/A,FALSE,"SGI";#N/A,#N/A,FALSE,"SGC";#N/A,#N/A,FALSE,"SGS";#N/A,#N/A,FALSE,"SGB"}</definedName>
    <definedName name="Estrat" localSheetId="1" hidden="1">#REF!</definedName>
    <definedName name="Estrat" localSheetId="4" hidden="1">#REF!</definedName>
    <definedName name="Estrat" localSheetId="5" hidden="1">#REF!</definedName>
    <definedName name="Estrat" localSheetId="0" hidden="1">#REF!</definedName>
    <definedName name="Estrat" hidden="1">#REF!</definedName>
    <definedName name="FD" localSheetId="1" hidden="1">{#N/A,#N/A,FALSE,"HAVAIANAS 24";#N/A,#N/A,FALSE,"Havaianas Mês e Acum 25";#N/A,#N/A,FALSE,"Havaianas Acum 26";#N/A,#N/A,FALSE,"GRANDES VOLUMES 27";#N/A,#N/A,FALSE,"GDV Mês e Acum 28";#N/A,#N/A,FALSE,"GDV Acum 29"}</definedName>
    <definedName name="FD" localSheetId="4" hidden="1">{#N/A,#N/A,FALSE,"HAVAIANAS 24";#N/A,#N/A,FALSE,"Havaianas Mês e Acum 25";#N/A,#N/A,FALSE,"Havaianas Acum 26";#N/A,#N/A,FALSE,"GRANDES VOLUMES 27";#N/A,#N/A,FALSE,"GDV Mês e Acum 28";#N/A,#N/A,FALSE,"GDV Acum 29"}</definedName>
    <definedName name="FD" localSheetId="5" hidden="1">{#N/A,#N/A,FALSE,"HAVAIANAS 24";#N/A,#N/A,FALSE,"Havaianas Mês e Acum 25";#N/A,#N/A,FALSE,"Havaianas Acum 26";#N/A,#N/A,FALSE,"GRANDES VOLUMES 27";#N/A,#N/A,FALSE,"GDV Mês e Acum 28";#N/A,#N/A,FALSE,"GDV Acum 29"}</definedName>
    <definedName name="FD" localSheetId="0" hidden="1">{#N/A,#N/A,FALSE,"HAVAIANAS 24";#N/A,#N/A,FALSE,"Havaianas Mês e Acum 25";#N/A,#N/A,FALSE,"Havaianas Acum 26";#N/A,#N/A,FALSE,"GRANDES VOLUMES 27";#N/A,#N/A,FALSE,"GDV Mês e Acum 28";#N/A,#N/A,FALSE,"GDV Acum 29"}</definedName>
    <definedName name="FD" hidden="1">{#N/A,#N/A,FALSE,"HAVAIANAS 24";#N/A,#N/A,FALSE,"Havaianas Mês e Acum 25";#N/A,#N/A,FALSE,"Havaianas Acum 26";#N/A,#N/A,FALSE,"GRANDES VOLUMES 27";#N/A,#N/A,FALSE,"GDV Mês e Acum 28";#N/A,#N/A,FALSE,"GDV Acum 29"}</definedName>
    <definedName name="fluxo" localSheetId="1" hidden="1">{"'RR'!$A$2:$E$81"}</definedName>
    <definedName name="fluxo" localSheetId="4" hidden="1">{"'RR'!$A$2:$E$81"}</definedName>
    <definedName name="fluxo" localSheetId="5" hidden="1">{"'RR'!$A$2:$E$81"}</definedName>
    <definedName name="fluxo" localSheetId="0" hidden="1">{"'RR'!$A$2:$E$81"}</definedName>
    <definedName name="fluxo" hidden="1">{"'RR'!$A$2:$E$81"}</definedName>
    <definedName name="Fluxo_Atual_1" localSheetId="1" hidden="1">{#N/A,#N/A,FALSE,"O&amp;I Worksheet"}</definedName>
    <definedName name="Fluxo_Atual_1" localSheetId="4" hidden="1">{#N/A,#N/A,FALSE,"O&amp;I Worksheet"}</definedName>
    <definedName name="Fluxo_Atual_1" localSheetId="5" hidden="1">{#N/A,#N/A,FALSE,"O&amp;I Worksheet"}</definedName>
    <definedName name="Fluxo_Atual_1" localSheetId="0" hidden="1">{#N/A,#N/A,FALSE,"O&amp;I Worksheet"}</definedName>
    <definedName name="Fluxo_Atual_1" hidden="1">{#N/A,#N/A,FALSE,"O&amp;I Worksheet"}</definedName>
    <definedName name="Fluxo_elaborado" localSheetId="1" hidden="1">{#N/A,#N/A,FALSE,"HAVAIANAS 24";#N/A,#N/A,FALSE,"Havaianas Mês e Acum 25";#N/A,#N/A,FALSE,"Havaianas Acum 26";#N/A,#N/A,FALSE,"GRANDES VOLUMES 27";#N/A,#N/A,FALSE,"GDV Mês e Acum 28";#N/A,#N/A,FALSE,"GDV Acum 29"}</definedName>
    <definedName name="Fluxo_elaborado" localSheetId="4" hidden="1">{#N/A,#N/A,FALSE,"HAVAIANAS 24";#N/A,#N/A,FALSE,"Havaianas Mês e Acum 25";#N/A,#N/A,FALSE,"Havaianas Acum 26";#N/A,#N/A,FALSE,"GRANDES VOLUMES 27";#N/A,#N/A,FALSE,"GDV Mês e Acum 28";#N/A,#N/A,FALSE,"GDV Acum 29"}</definedName>
    <definedName name="Fluxo_elaborado" localSheetId="5" hidden="1">{#N/A,#N/A,FALSE,"HAVAIANAS 24";#N/A,#N/A,FALSE,"Havaianas Mês e Acum 25";#N/A,#N/A,FALSE,"Havaianas Acum 26";#N/A,#N/A,FALSE,"GRANDES VOLUMES 27";#N/A,#N/A,FALSE,"GDV Mês e Acum 28";#N/A,#N/A,FALSE,"GDV Acum 29"}</definedName>
    <definedName name="Fluxo_elaborado" localSheetId="0" hidden="1">{#N/A,#N/A,FALSE,"HAVAIANAS 24";#N/A,#N/A,FALSE,"Havaianas Mês e Acum 25";#N/A,#N/A,FALSE,"Havaianas Acum 26";#N/A,#N/A,FALSE,"GRANDES VOLUMES 27";#N/A,#N/A,FALSE,"GDV Mês e Acum 28";#N/A,#N/A,FALSE,"GDV Acum 29"}</definedName>
    <definedName name="Fluxo_elaborado" hidden="1">{#N/A,#N/A,FALSE,"HAVAIANAS 24";#N/A,#N/A,FALSE,"Havaianas Mês e Acum 25";#N/A,#N/A,FALSE,"Havaianas Acum 26";#N/A,#N/A,FALSE,"GRANDES VOLUMES 27";#N/A,#N/A,FALSE,"GDV Mês e Acum 28";#N/A,#N/A,FALSE,"GDV Acum 29"}</definedName>
    <definedName name="fluxoatual" localSheetId="1" hidden="1">{"'RR'!$A$2:$E$81"}</definedName>
    <definedName name="fluxoatual" localSheetId="4" hidden="1">{"'RR'!$A$2:$E$81"}</definedName>
    <definedName name="fluxoatual" localSheetId="5" hidden="1">{"'RR'!$A$2:$E$81"}</definedName>
    <definedName name="fluxoatual" localSheetId="0" hidden="1">{"'RR'!$A$2:$E$81"}</definedName>
    <definedName name="fluxoatual" hidden="1">{"'RR'!$A$2:$E$81"}</definedName>
    <definedName name="gfdgd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gd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gd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gd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gd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g" localSheetId="1" hidden="1">{#N/A,#N/A,FALSE,"PREÇO.CPV.CA60";#N/A,#N/A,FALSE,"PREÇO.CPV.TREFILADOS";#N/A,#N/A,FALSE,"PREÇO.CPV.CA50";#N/A,#N/A,FALSE,"PREÇO.CPV.FM";#N/A,#N/A,FALSE,"PREÇO-FOB"}</definedName>
    <definedName name="gg" localSheetId="4" hidden="1">{#N/A,#N/A,FALSE,"PREÇO.CPV.CA60";#N/A,#N/A,FALSE,"PREÇO.CPV.TREFILADOS";#N/A,#N/A,FALSE,"PREÇO.CPV.CA50";#N/A,#N/A,FALSE,"PREÇO.CPV.FM";#N/A,#N/A,FALSE,"PREÇO-FOB"}</definedName>
    <definedName name="gg" localSheetId="5" hidden="1">{#N/A,#N/A,FALSE,"PREÇO.CPV.CA60";#N/A,#N/A,FALSE,"PREÇO.CPV.TREFILADOS";#N/A,#N/A,FALSE,"PREÇO.CPV.CA50";#N/A,#N/A,FALSE,"PREÇO.CPV.FM";#N/A,#N/A,FALSE,"PREÇO-FOB"}</definedName>
    <definedName name="gg" localSheetId="0" hidden="1">{#N/A,#N/A,FALSE,"PREÇO.CPV.CA60";#N/A,#N/A,FALSE,"PREÇO.CPV.TREFILADOS";#N/A,#N/A,FALSE,"PREÇO.CPV.CA50";#N/A,#N/A,FALSE,"PREÇO.CPV.FM";#N/A,#N/A,FALSE,"PREÇO-FOB"}</definedName>
    <definedName name="gg" hidden="1">{#N/A,#N/A,FALSE,"PREÇO.CPV.CA60";#N/A,#N/A,FALSE,"PREÇO.CPV.TREFILADOS";#N/A,#N/A,FALSE,"PREÇO.CPV.CA50";#N/A,#N/A,FALSE,"PREÇO.CPV.FM";#N/A,#N/A,FALSE,"PREÇO-FOB"}</definedName>
    <definedName name="GGF" localSheetId="1" hidden="1">{#N/A,#N/A,FALSE,"COBERTURAS 30";#N/A,#N/A,FALSE,"COBERTURAS Mês e Acum 31";#N/A,#N/A,FALSE,"COBERTURAS Acum 32"}</definedName>
    <definedName name="GGF" localSheetId="4" hidden="1">{#N/A,#N/A,FALSE,"COBERTURAS 30";#N/A,#N/A,FALSE,"COBERTURAS Mês e Acum 31";#N/A,#N/A,FALSE,"COBERTURAS Acum 32"}</definedName>
    <definedName name="GGF" localSheetId="5" hidden="1">{#N/A,#N/A,FALSE,"COBERTURAS 30";#N/A,#N/A,FALSE,"COBERTURAS Mês e Acum 31";#N/A,#N/A,FALSE,"COBERTURAS Acum 32"}</definedName>
    <definedName name="GGF" localSheetId="0" hidden="1">{#N/A,#N/A,FALSE,"COBERTURAS 30";#N/A,#N/A,FALSE,"COBERTURAS Mês e Acum 31";#N/A,#N/A,FALSE,"COBERTURAS Acum 32"}</definedName>
    <definedName name="GGF" hidden="1">{#N/A,#N/A,FALSE,"COBERTURAS 30";#N/A,#N/A,FALSE,"COBERTURAS Mês e Acum 31";#N/A,#N/A,FALSE,"COBERTURAS Acum 32"}</definedName>
    <definedName name="GGF." localSheetId="1" hidden="1">{#N/A,#N/A,FALSE,"MIZUNO 21";#N/A,#N/A,FALSE,"Mizuno Mês e Acum 22";#N/A,#N/A,FALSE,"Mizuno Acum 23"}</definedName>
    <definedName name="GGF." localSheetId="4" hidden="1">{#N/A,#N/A,FALSE,"MIZUNO 21";#N/A,#N/A,FALSE,"Mizuno Mês e Acum 22";#N/A,#N/A,FALSE,"Mizuno Acum 23"}</definedName>
    <definedName name="GGF." localSheetId="5" hidden="1">{#N/A,#N/A,FALSE,"MIZUNO 21";#N/A,#N/A,FALSE,"Mizuno Mês e Acum 22";#N/A,#N/A,FALSE,"Mizuno Acum 23"}</definedName>
    <definedName name="GGF." localSheetId="0" hidden="1">{#N/A,#N/A,FALSE,"MIZUNO 21";#N/A,#N/A,FALSE,"Mizuno Mês e Acum 22";#N/A,#N/A,FALSE,"Mizuno Acum 23"}</definedName>
    <definedName name="GGF." hidden="1">{#N/A,#N/A,FALSE,"MIZUNO 21";#N/A,#N/A,FALSE,"Mizuno Mês e Acum 22";#N/A,#N/A,FALSE,"Mizuno Acum 23"}</definedName>
    <definedName name="ggg" localSheetId="1" hidden="1">{#N/A,#N/A,FALSE,"Tabl. G1";#N/A,#N/A,FALSE,"Tabl. G2"}</definedName>
    <definedName name="ggg" localSheetId="4" hidden="1">{#N/A,#N/A,FALSE,"Tabl. G1";#N/A,#N/A,FALSE,"Tabl. G2"}</definedName>
    <definedName name="ggg" localSheetId="5" hidden="1">{#N/A,#N/A,FALSE,"Tabl. G1";#N/A,#N/A,FALSE,"Tabl. G2"}</definedName>
    <definedName name="ggg" localSheetId="0" hidden="1">{#N/A,#N/A,FALSE,"Tabl. G1";#N/A,#N/A,FALSE,"Tabl. G2"}</definedName>
    <definedName name="ggg" hidden="1">{#N/A,#N/A,FALSE,"Tabl. G1";#N/A,#N/A,FALSE,"Tabl. G2"}</definedName>
    <definedName name="hhh" localSheetId="1" hidden="1">{#N/A,#N/A,FALSE,"Tabl. D1";#N/A,#N/A,FALSE,"Tabl. D1 b";#N/A,#N/A,FALSE,"Tabl. D2";#N/A,#N/A,FALSE,"Tabl. D2 b";#N/A,#N/A,FALSE,"Tabl. D3";#N/A,#N/A,FALSE,"Tabl. D4";#N/A,#N/A,FALSE,"Tabl. D5"}</definedName>
    <definedName name="hhh" localSheetId="4" hidden="1">{#N/A,#N/A,FALSE,"Tabl. D1";#N/A,#N/A,FALSE,"Tabl. D1 b";#N/A,#N/A,FALSE,"Tabl. D2";#N/A,#N/A,FALSE,"Tabl. D2 b";#N/A,#N/A,FALSE,"Tabl. D3";#N/A,#N/A,FALSE,"Tabl. D4";#N/A,#N/A,FALSE,"Tabl. D5"}</definedName>
    <definedName name="hhh" localSheetId="5" hidden="1">{#N/A,#N/A,FALSE,"Tabl. D1";#N/A,#N/A,FALSE,"Tabl. D1 b";#N/A,#N/A,FALSE,"Tabl. D2";#N/A,#N/A,FALSE,"Tabl. D2 b";#N/A,#N/A,FALSE,"Tabl. D3";#N/A,#N/A,FALSE,"Tabl. D4";#N/A,#N/A,FALSE,"Tabl. D5"}</definedName>
    <definedName name="hhh" localSheetId="0" hidden="1">{#N/A,#N/A,FALSE,"Tabl. D1";#N/A,#N/A,FALSE,"Tabl. D1 b";#N/A,#N/A,FALSE,"Tabl. D2";#N/A,#N/A,FALSE,"Tabl. D2 b";#N/A,#N/A,FALSE,"Tabl. D3";#N/A,#N/A,FALSE,"Tabl. D4";#N/A,#N/A,FALSE,"Tabl. D5"}</definedName>
    <definedName name="hhh" hidden="1">{#N/A,#N/A,FALSE,"Tabl. D1";#N/A,#N/A,FALSE,"Tabl. D1 b";#N/A,#N/A,FALSE,"Tabl. D2";#N/A,#N/A,FALSE,"Tabl. D2 b";#N/A,#N/A,FALSE,"Tabl. D3";#N/A,#N/A,FALSE,"Tabl. D4";#N/A,#N/A,FALSE,"Tabl. D5"}</definedName>
    <definedName name="hkjhjkhkj" localSheetId="1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kjhjkhkj" localSheetId="4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kjhjkhkj" localSheetId="5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kjhjkhkj" localSheetId="0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kjhjkhkj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r_ini" localSheetId="1">#REF!</definedName>
    <definedName name="hr_ini" localSheetId="4">#REF!</definedName>
    <definedName name="hr_ini" localSheetId="5">#REF!</definedName>
    <definedName name="hr_ini" localSheetId="0">#REF!</definedName>
    <definedName name="hr_ini">#REF!</definedName>
    <definedName name="hr_limite" localSheetId="1">#REF!</definedName>
    <definedName name="hr_limite" localSheetId="4">#REF!</definedName>
    <definedName name="hr_limite" localSheetId="5">#REF!</definedName>
    <definedName name="hr_limite" localSheetId="0">#REF!</definedName>
    <definedName name="hr_limite">#REF!</definedName>
    <definedName name="HTML_CodePage" hidden="1">1252</definedName>
    <definedName name="HTML_Control" localSheetId="1" hidden="1">{"'RR'!$A$2:$E$81"}</definedName>
    <definedName name="HTML_Control" localSheetId="4" hidden="1">{"'RR'!$A$2:$E$81"}</definedName>
    <definedName name="HTML_Control" localSheetId="5" hidden="1">{"'RR'!$A$2:$E$81"}</definedName>
    <definedName name="HTML_Control" localSheetId="0" hidden="1">{"'RR'!$A$2:$E$81"}</definedName>
    <definedName name="HTML_Control" hidden="1">{"'RR'!$A$2:$E$81"}</definedName>
    <definedName name="HTML_Control2" localSheetId="1" hidden="1">{"'RR'!$A$2:$E$81"}</definedName>
    <definedName name="HTML_Control2" localSheetId="4" hidden="1">{"'RR'!$A$2:$E$81"}</definedName>
    <definedName name="HTML_Control2" localSheetId="5" hidden="1">{"'RR'!$A$2:$E$81"}</definedName>
    <definedName name="HTML_Control2" localSheetId="0" hidden="1">{"'RR'!$A$2:$E$81"}</definedName>
    <definedName name="HTML_Control2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jjj" localSheetId="1" hidden="1">{#N/A,#N/A,FALSE,"Tabl. D1";#N/A,#N/A,FALSE,"Tabl. D1 b";#N/A,#N/A,FALSE,"Tabl. D2";#N/A,#N/A,FALSE,"Tabl. D2 b";#N/A,#N/A,FALSE,"Tabl. D3";#N/A,#N/A,FALSE,"Tabl. D4";#N/A,#N/A,FALSE,"Tabl. D5"}</definedName>
    <definedName name="jjj" localSheetId="4" hidden="1">{#N/A,#N/A,FALSE,"Tabl. D1";#N/A,#N/A,FALSE,"Tabl. D1 b";#N/A,#N/A,FALSE,"Tabl. D2";#N/A,#N/A,FALSE,"Tabl. D2 b";#N/A,#N/A,FALSE,"Tabl. D3";#N/A,#N/A,FALSE,"Tabl. D4";#N/A,#N/A,FALSE,"Tabl. D5"}</definedName>
    <definedName name="jjj" localSheetId="5" hidden="1">{#N/A,#N/A,FALSE,"Tabl. D1";#N/A,#N/A,FALSE,"Tabl. D1 b";#N/A,#N/A,FALSE,"Tabl. D2";#N/A,#N/A,FALSE,"Tabl. D2 b";#N/A,#N/A,FALSE,"Tabl. D3";#N/A,#N/A,FALSE,"Tabl. D4";#N/A,#N/A,FALSE,"Tabl. D5"}</definedName>
    <definedName name="jjj" localSheetId="0" hidden="1">{#N/A,#N/A,FALSE,"Tabl. D1";#N/A,#N/A,FALSE,"Tabl. D1 b";#N/A,#N/A,FALSE,"Tabl. D2";#N/A,#N/A,FALSE,"Tabl. D2 b";#N/A,#N/A,FALSE,"Tabl. D3";#N/A,#N/A,FALSE,"Tabl. D4";#N/A,#N/A,FALSE,"Tabl. D5"}</definedName>
    <definedName name="jjj" hidden="1">{#N/A,#N/A,FALSE,"Tabl. D1";#N/A,#N/A,FALSE,"Tabl. D1 b";#N/A,#N/A,FALSE,"Tabl. D2";#N/A,#N/A,FALSE,"Tabl. D2 b";#N/A,#N/A,FALSE,"Tabl. D3";#N/A,#N/A,FALSE,"Tabl. D4";#N/A,#N/A,FALSE,"Tabl. D5"}</definedName>
    <definedName name="KGIRO1" localSheetId="1" hidden="1">{#N/A,#N/A,FALSE,"Tabl. D1";#N/A,#N/A,FALSE,"Tabl. D1 b";#N/A,#N/A,FALSE,"Tabl. D2";#N/A,#N/A,FALSE,"Tabl. D2 b";#N/A,#N/A,FALSE,"Tabl. D3";#N/A,#N/A,FALSE,"Tabl. D4";#N/A,#N/A,FALSE,"Tabl. D5"}</definedName>
    <definedName name="KGIRO1" localSheetId="4" hidden="1">{#N/A,#N/A,FALSE,"Tabl. D1";#N/A,#N/A,FALSE,"Tabl. D1 b";#N/A,#N/A,FALSE,"Tabl. D2";#N/A,#N/A,FALSE,"Tabl. D2 b";#N/A,#N/A,FALSE,"Tabl. D3";#N/A,#N/A,FALSE,"Tabl. D4";#N/A,#N/A,FALSE,"Tabl. D5"}</definedName>
    <definedName name="KGIRO1" localSheetId="5" hidden="1">{#N/A,#N/A,FALSE,"Tabl. D1";#N/A,#N/A,FALSE,"Tabl. D1 b";#N/A,#N/A,FALSE,"Tabl. D2";#N/A,#N/A,FALSE,"Tabl. D2 b";#N/A,#N/A,FALSE,"Tabl. D3";#N/A,#N/A,FALSE,"Tabl. D4";#N/A,#N/A,FALSE,"Tabl. D5"}</definedName>
    <definedName name="KGIRO1" localSheetId="0" hidden="1">{#N/A,#N/A,FALSE,"Tabl. D1";#N/A,#N/A,FALSE,"Tabl. D1 b";#N/A,#N/A,FALSE,"Tabl. D2";#N/A,#N/A,FALSE,"Tabl. D2 b";#N/A,#N/A,FALSE,"Tabl. D3";#N/A,#N/A,FALSE,"Tabl. D4";#N/A,#N/A,FALSE,"Tabl. D5"}</definedName>
    <definedName name="KGIRO1" hidden="1">{#N/A,#N/A,FALSE,"Tabl. D1";#N/A,#N/A,FALSE,"Tabl. D1 b";#N/A,#N/A,FALSE,"Tabl. D2";#N/A,#N/A,FALSE,"Tabl. D2 b";#N/A,#N/A,FALSE,"Tabl. D3";#N/A,#N/A,FALSE,"Tabl. D4";#N/A,#N/A,FALSE,"Tabl. D5"}</definedName>
    <definedName name="kjkjkjkj" localSheetId="1" hidden="1">{#N/A,#N/A,FALSE,"Tabl. FB300";#N/A,#N/A,FALSE,"Tabl. FB350";#N/A,#N/A,FALSE,"Tabl. FB400";#N/A,#N/A,FALSE,"Tabl. FB500";#N/A,#N/A,FALSE,"Tabl. FS090"}</definedName>
    <definedName name="kjkjkjkj" localSheetId="4" hidden="1">{#N/A,#N/A,FALSE,"Tabl. FB300";#N/A,#N/A,FALSE,"Tabl. FB350";#N/A,#N/A,FALSE,"Tabl. FB400";#N/A,#N/A,FALSE,"Tabl. FB500";#N/A,#N/A,FALSE,"Tabl. FS090"}</definedName>
    <definedName name="kjkjkjkj" localSheetId="5" hidden="1">{#N/A,#N/A,FALSE,"Tabl. FB300";#N/A,#N/A,FALSE,"Tabl. FB350";#N/A,#N/A,FALSE,"Tabl. FB400";#N/A,#N/A,FALSE,"Tabl. FB500";#N/A,#N/A,FALSE,"Tabl. FS090"}</definedName>
    <definedName name="kjkjkjkj" localSheetId="0" hidden="1">{#N/A,#N/A,FALSE,"Tabl. FB300";#N/A,#N/A,FALSE,"Tabl. FB350";#N/A,#N/A,FALSE,"Tabl. FB400";#N/A,#N/A,FALSE,"Tabl. FB500";#N/A,#N/A,FALSE,"Tabl. FS090"}</definedName>
    <definedName name="kjkjkjkj" hidden="1">{#N/A,#N/A,FALSE,"Tabl. FB300";#N/A,#N/A,FALSE,"Tabl. FB350";#N/A,#N/A,FALSE,"Tabl. FB400";#N/A,#N/A,FALSE,"Tabl. FB500";#N/A,#N/A,FALSE,"Tabl. FS090"}</definedName>
    <definedName name="kkk" localSheetId="1" hidden="1">{#N/A,#N/A,FALSE,"Tabl. G1";#N/A,#N/A,FALSE,"Tabl. G2"}</definedName>
    <definedName name="kkk" localSheetId="4" hidden="1">{#N/A,#N/A,FALSE,"Tabl. G1";#N/A,#N/A,FALSE,"Tabl. G2"}</definedName>
    <definedName name="kkk" localSheetId="5" hidden="1">{#N/A,#N/A,FALSE,"Tabl. G1";#N/A,#N/A,FALSE,"Tabl. G2"}</definedName>
    <definedName name="kkk" localSheetId="0" hidden="1">{#N/A,#N/A,FALSE,"Tabl. G1";#N/A,#N/A,FALSE,"Tabl. G2"}</definedName>
    <definedName name="kkk" hidden="1">{#N/A,#N/A,FALSE,"Tabl. G1";#N/A,#N/A,FALSE,"Tabl. G2"}</definedName>
    <definedName name="lista_causa" localSheetId="1">#REF!</definedName>
    <definedName name="lista_causa" localSheetId="4">[5]!causa_raiz[Causa Raiz]</definedName>
    <definedName name="lista_causa" localSheetId="5">#REF!</definedName>
    <definedName name="lista_causa" localSheetId="0">#REF!</definedName>
    <definedName name="lista_causa">#REF!</definedName>
    <definedName name="lll" localSheetId="1" hidden="1">{#N/A,#N/A,FALSE,"Tabl. H1";#N/A,#N/A,FALSE,"Tabl. H2"}</definedName>
    <definedName name="lll" localSheetId="4" hidden="1">{#N/A,#N/A,FALSE,"Tabl. H1";#N/A,#N/A,FALSE,"Tabl. H2"}</definedName>
    <definedName name="lll" localSheetId="5" hidden="1">{#N/A,#N/A,FALSE,"Tabl. H1";#N/A,#N/A,FALSE,"Tabl. H2"}</definedName>
    <definedName name="lll" localSheetId="0" hidden="1">{#N/A,#N/A,FALSE,"Tabl. H1";#N/A,#N/A,FALSE,"Tabl. H2"}</definedName>
    <definedName name="lll" hidden="1">{#N/A,#N/A,FALSE,"Tabl. H1";#N/A,#N/A,FALSE,"Tabl. H2"}</definedName>
    <definedName name="logo" localSheetId="1">#REF!</definedName>
    <definedName name="logo" localSheetId="4">#REF!</definedName>
    <definedName name="logo" localSheetId="5">#REF!</definedName>
    <definedName name="logo" localSheetId="0">#REF!</definedName>
    <definedName name="logo">#REF!</definedName>
    <definedName name="Manutenção" localSheetId="1" hidden="1">{#N/A,#N/A,FALSE,"CONSOL. 5";#N/A,#N/A,FALSE,"CONSOL. ACUM. 6";#N/A,#N/A,FALSE,"CAP. EMPREG. 7";#N/A,#N/A,FALSE,"ORIGENS E APLICAÇÕES 9"}</definedName>
    <definedName name="Manutenção" localSheetId="4" hidden="1">{#N/A,#N/A,FALSE,"CONSOL. 5";#N/A,#N/A,FALSE,"CONSOL. ACUM. 6";#N/A,#N/A,FALSE,"CAP. EMPREG. 7";#N/A,#N/A,FALSE,"ORIGENS E APLICAÇÕES 9"}</definedName>
    <definedName name="Manutenção" localSheetId="5" hidden="1">{#N/A,#N/A,FALSE,"CONSOL. 5";#N/A,#N/A,FALSE,"CONSOL. ACUM. 6";#N/A,#N/A,FALSE,"CAP. EMPREG. 7";#N/A,#N/A,FALSE,"ORIGENS E APLICAÇÕES 9"}</definedName>
    <definedName name="Manutenção" localSheetId="0" hidden="1">{#N/A,#N/A,FALSE,"CONSOL. 5";#N/A,#N/A,FALSE,"CONSOL. ACUM. 6";#N/A,#N/A,FALSE,"CAP. EMPREG. 7";#N/A,#N/A,FALSE,"ORIGENS E APLICAÇÕES 9"}</definedName>
    <definedName name="Manutenção" hidden="1">{#N/A,#N/A,FALSE,"CONSOL. 5";#N/A,#N/A,FALSE,"CONSOL. ACUM. 6";#N/A,#N/A,FALSE,"CAP. EMPREG. 7";#N/A,#N/A,FALSE,"ORIGENS E APLICAÇÕES 9"}</definedName>
    <definedName name="mmm" localSheetId="1" hidden="1">{#N/A,#N/A,FALSE,"Tabl. A1";#N/A,#N/A,FALSE,"Tabl. A1 b";#N/A,#N/A,FALSE,"Tabl. A2";#N/A,#N/A,FALSE,"Tabl. A2-1";#N/A,#N/A,FALSE,"Tabl. A2-2"}</definedName>
    <definedName name="mmm" localSheetId="4" hidden="1">{#N/A,#N/A,FALSE,"Tabl. A1";#N/A,#N/A,FALSE,"Tabl. A1 b";#N/A,#N/A,FALSE,"Tabl. A2";#N/A,#N/A,FALSE,"Tabl. A2-1";#N/A,#N/A,FALSE,"Tabl. A2-2"}</definedName>
    <definedName name="mmm" localSheetId="5" hidden="1">{#N/A,#N/A,FALSE,"Tabl. A1";#N/A,#N/A,FALSE,"Tabl. A1 b";#N/A,#N/A,FALSE,"Tabl. A2";#N/A,#N/A,FALSE,"Tabl. A2-1";#N/A,#N/A,FALSE,"Tabl. A2-2"}</definedName>
    <definedName name="mmm" localSheetId="0" hidden="1">{#N/A,#N/A,FALSE,"Tabl. A1";#N/A,#N/A,FALSE,"Tabl. A1 b";#N/A,#N/A,FALSE,"Tabl. A2";#N/A,#N/A,FALSE,"Tabl. A2-1";#N/A,#N/A,FALSE,"Tabl. A2-2"}</definedName>
    <definedName name="mmm" hidden="1">{#N/A,#N/A,FALSE,"Tabl. A1";#N/A,#N/A,FALSE,"Tabl. A1 b";#N/A,#N/A,FALSE,"Tabl. A2";#N/A,#N/A,FALSE,"Tabl. A2-1";#N/A,#N/A,FALSE,"Tabl. A2-2"}</definedName>
    <definedName name="mrn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mrn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mrn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mrn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mrn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n" localSheetId="1" hidden="1">{"'Estimativa de Lançamento-JAN'!$A$1:$AI$85"}</definedName>
    <definedName name="n" localSheetId="4" hidden="1">{"'Estimativa de Lançamento-JAN'!$A$1:$AI$85"}</definedName>
    <definedName name="n" localSheetId="5" hidden="1">{"'Estimativa de Lançamento-JAN'!$A$1:$AI$85"}</definedName>
    <definedName name="n" localSheetId="0" hidden="1">{"'Estimativa de Lançamento-JAN'!$A$1:$AI$85"}</definedName>
    <definedName name="n" hidden="1">{"'Estimativa de Lançamento-JAN'!$A$1:$AI$85"}</definedName>
    <definedName name="nnn" localSheetId="1" hidden="1">{#N/A,#N/A,FALSE,"Tabl. FB300";#N/A,#N/A,FALSE,"Tabl. FB350";#N/A,#N/A,FALSE,"Tabl. FB400";#N/A,#N/A,FALSE,"Tabl. FB500";#N/A,#N/A,FALSE,"Tabl. FS090"}</definedName>
    <definedName name="nnn" localSheetId="4" hidden="1">{#N/A,#N/A,FALSE,"Tabl. FB300";#N/A,#N/A,FALSE,"Tabl. FB350";#N/A,#N/A,FALSE,"Tabl. FB400";#N/A,#N/A,FALSE,"Tabl. FB500";#N/A,#N/A,FALSE,"Tabl. FS090"}</definedName>
    <definedName name="nnn" localSheetId="5" hidden="1">{#N/A,#N/A,FALSE,"Tabl. FB300";#N/A,#N/A,FALSE,"Tabl. FB350";#N/A,#N/A,FALSE,"Tabl. FB400";#N/A,#N/A,FALSE,"Tabl. FB500";#N/A,#N/A,FALSE,"Tabl. FS090"}</definedName>
    <definedName name="nnn" localSheetId="0" hidden="1">{#N/A,#N/A,FALSE,"Tabl. FB300";#N/A,#N/A,FALSE,"Tabl. FB350";#N/A,#N/A,FALSE,"Tabl. FB400";#N/A,#N/A,FALSE,"Tabl. FB500";#N/A,#N/A,FALSE,"Tabl. FS090"}</definedName>
    <definedName name="nnn" hidden="1">{#N/A,#N/A,FALSE,"Tabl. FB300";#N/A,#N/A,FALSE,"Tabl. FB350";#N/A,#N/A,FALSE,"Tabl. FB400";#N/A,#N/A,FALSE,"Tabl. FB500";#N/A,#N/A,FALSE,"Tabl. FS090"}</definedName>
    <definedName name="nr_salas" localSheetId="1">#REF!</definedName>
    <definedName name="nr_salas" localSheetId="4">#REF!</definedName>
    <definedName name="nr_salas" localSheetId="5">#REF!</definedName>
    <definedName name="nr_salas" localSheetId="0">#REF!</definedName>
    <definedName name="nr_salas">#REF!</definedName>
    <definedName name="Página5" localSheetId="1" hidden="1">{#N/A,#N/A,FALSE,"O&amp;I Worksheet"}</definedName>
    <definedName name="Página5" localSheetId="4" hidden="1">{#N/A,#N/A,FALSE,"O&amp;I Worksheet"}</definedName>
    <definedName name="Página5" localSheetId="5" hidden="1">{#N/A,#N/A,FALSE,"O&amp;I Worksheet"}</definedName>
    <definedName name="Página5" localSheetId="0" hidden="1">{#N/A,#N/A,FALSE,"O&amp;I Worksheet"}</definedName>
    <definedName name="Página5" hidden="1">{#N/A,#N/A,FALSE,"O&amp;I Worksheet"}</definedName>
    <definedName name="Pasta" localSheetId="1" hidden="1">{#N/A,#N/A,FALSE,"CONSOL. 5";#N/A,#N/A,FALSE,"CONSOL. ACUM. 6";#N/A,#N/A,FALSE,"CAP. EMPREG. 7";#N/A,#N/A,FALSE,"ORIGENS E APLICAÇÕES 9"}</definedName>
    <definedName name="Pasta" localSheetId="4" hidden="1">{#N/A,#N/A,FALSE,"CONSOL. 5";#N/A,#N/A,FALSE,"CONSOL. ACUM. 6";#N/A,#N/A,FALSE,"CAP. EMPREG. 7";#N/A,#N/A,FALSE,"ORIGENS E APLICAÇÕES 9"}</definedName>
    <definedName name="Pasta" localSheetId="5" hidden="1">{#N/A,#N/A,FALSE,"CONSOL. 5";#N/A,#N/A,FALSE,"CONSOL. ACUM. 6";#N/A,#N/A,FALSE,"CAP. EMPREG. 7";#N/A,#N/A,FALSE,"ORIGENS E APLICAÇÕES 9"}</definedName>
    <definedName name="Pasta" localSheetId="0" hidden="1">{#N/A,#N/A,FALSE,"CONSOL. 5";#N/A,#N/A,FALSE,"CONSOL. ACUM. 6";#N/A,#N/A,FALSE,"CAP. EMPREG. 7";#N/A,#N/A,FALSE,"ORIGENS E APLICAÇÕES 9"}</definedName>
    <definedName name="Pasta" hidden="1">{#N/A,#N/A,FALSE,"CONSOL. 5";#N/A,#N/A,FALSE,"CONSOL. ACUM. 6";#N/A,#N/A,FALSE,"CAP. EMPREG. 7";#N/A,#N/A,FALSE,"ORIGENS E APLICAÇÕES 9"}</definedName>
    <definedName name="Plante" localSheetId="1" hidden="1">{#N/A,#N/A,FALSE,"Tabl. G1";#N/A,#N/A,FALSE,"Tabl. G2"}</definedName>
    <definedName name="Plante" localSheetId="4" hidden="1">{#N/A,#N/A,FALSE,"Tabl. G1";#N/A,#N/A,FALSE,"Tabl. G2"}</definedName>
    <definedName name="Plante" localSheetId="5" hidden="1">{#N/A,#N/A,FALSE,"Tabl. G1";#N/A,#N/A,FALSE,"Tabl. G2"}</definedName>
    <definedName name="Plante" localSheetId="0" hidden="1">{#N/A,#N/A,FALSE,"Tabl. G1";#N/A,#N/A,FALSE,"Tabl. G2"}</definedName>
    <definedName name="Plante" hidden="1">{#N/A,#N/A,FALSE,"Tabl. G1";#N/A,#N/A,FALSE,"Tabl. G2"}</definedName>
    <definedName name="pluie" localSheetId="1" hidden="1">{#N/A,#N/A,FALSE,"Tabl. H1";#N/A,#N/A,FALSE,"Tabl. H2"}</definedName>
    <definedName name="pluie" localSheetId="4" hidden="1">{#N/A,#N/A,FALSE,"Tabl. H1";#N/A,#N/A,FALSE,"Tabl. H2"}</definedName>
    <definedName name="pluie" localSheetId="5" hidden="1">{#N/A,#N/A,FALSE,"Tabl. H1";#N/A,#N/A,FALSE,"Tabl. H2"}</definedName>
    <definedName name="pluie" localSheetId="0" hidden="1">{#N/A,#N/A,FALSE,"Tabl. H1";#N/A,#N/A,FALSE,"Tabl. H2"}</definedName>
    <definedName name="pluie" hidden="1">{#N/A,#N/A,FALSE,"Tabl. H1";#N/A,#N/A,FALSE,"Tabl. H2"}</definedName>
    <definedName name="ppp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rodutos">[6]Cad!$B$12:$B$511</definedName>
    <definedName name="prop" localSheetId="1" hidden="1">'[3]RESUMO DO DBASE PARA O VIVEIRO'!#REF!</definedName>
    <definedName name="prop" localSheetId="4" hidden="1">'[3]RESUMO DO DBASE PARA O VIVEIRO'!#REF!</definedName>
    <definedName name="prop" localSheetId="5" hidden="1">'[3]RESUMO DO DBASE PARA O VIVEIRO'!#REF!</definedName>
    <definedName name="prop" hidden="1">'[3]RESUMO DO DBASE PARA O VIVEIRO'!#REF!</definedName>
    <definedName name="qqq" localSheetId="1" hidden="1">{#N/A,#N/A,FALSE,"Tabl. D1";#N/A,#N/A,FALSE,"Tabl. D1 b";#N/A,#N/A,FALSE,"Tabl. D2";#N/A,#N/A,FALSE,"Tabl. D2 b";#N/A,#N/A,FALSE,"Tabl. D3";#N/A,#N/A,FALSE,"Tabl. D4";#N/A,#N/A,FALSE,"Tabl. D5"}</definedName>
    <definedName name="qqq" localSheetId="4" hidden="1">{#N/A,#N/A,FALSE,"Tabl. D1";#N/A,#N/A,FALSE,"Tabl. D1 b";#N/A,#N/A,FALSE,"Tabl. D2";#N/A,#N/A,FALSE,"Tabl. D2 b";#N/A,#N/A,FALSE,"Tabl. D3";#N/A,#N/A,FALSE,"Tabl. D4";#N/A,#N/A,FALSE,"Tabl. D5"}</definedName>
    <definedName name="qqq" localSheetId="5" hidden="1">{#N/A,#N/A,FALSE,"Tabl. D1";#N/A,#N/A,FALSE,"Tabl. D1 b";#N/A,#N/A,FALSE,"Tabl. D2";#N/A,#N/A,FALSE,"Tabl. D2 b";#N/A,#N/A,FALSE,"Tabl. D3";#N/A,#N/A,FALSE,"Tabl. D4";#N/A,#N/A,FALSE,"Tabl. D5"}</definedName>
    <definedName name="qqq" localSheetId="0" hidden="1">{#N/A,#N/A,FALSE,"Tabl. D1";#N/A,#N/A,FALSE,"Tabl. D1 b";#N/A,#N/A,FALSE,"Tabl. D2";#N/A,#N/A,FALSE,"Tabl. D2 b";#N/A,#N/A,FALSE,"Tabl. D3";#N/A,#N/A,FALSE,"Tabl. D4";#N/A,#N/A,FALSE,"Tabl. D5"}</definedName>
    <definedName name="qqq" hidden="1">{#N/A,#N/A,FALSE,"Tabl. D1";#N/A,#N/A,FALSE,"Tabl. D1 b";#N/A,#N/A,FALSE,"Tabl. D2";#N/A,#N/A,FALSE,"Tabl. D2 b";#N/A,#N/A,FALSE,"Tabl. D3";#N/A,#N/A,FALSE,"Tabl. D4";#N/A,#N/A,FALSE,"Tabl. D5"}</definedName>
    <definedName name="responsável" localSheetId="1">#REF!</definedName>
    <definedName name="responsável" localSheetId="4">[5]!plano[QUEM]</definedName>
    <definedName name="responsável" localSheetId="5">#REF!</definedName>
    <definedName name="responsável" localSheetId="0">#REF!</definedName>
    <definedName name="responsável">#REF!</definedName>
    <definedName name="rrr" localSheetId="1" hidden="1">{#N/A,#N/A,FALSE,"Tabl. FB300";#N/A,#N/A,FALSE,"Tabl. FB350";#N/A,#N/A,FALSE,"Tabl. FB400";#N/A,#N/A,FALSE,"Tabl. FB500";#N/A,#N/A,FALSE,"Tabl. FS090"}</definedName>
    <definedName name="rrr" localSheetId="4" hidden="1">{#N/A,#N/A,FALSE,"Tabl. FB300";#N/A,#N/A,FALSE,"Tabl. FB350";#N/A,#N/A,FALSE,"Tabl. FB400";#N/A,#N/A,FALSE,"Tabl. FB500";#N/A,#N/A,FALSE,"Tabl. FS090"}</definedName>
    <definedName name="rrr" localSheetId="5" hidden="1">{#N/A,#N/A,FALSE,"Tabl. FB300";#N/A,#N/A,FALSE,"Tabl. FB350";#N/A,#N/A,FALSE,"Tabl. FB400";#N/A,#N/A,FALSE,"Tabl. FB500";#N/A,#N/A,FALSE,"Tabl. FS090"}</definedName>
    <definedName name="rrr" localSheetId="0" hidden="1">{#N/A,#N/A,FALSE,"Tabl. FB300";#N/A,#N/A,FALSE,"Tabl. FB350";#N/A,#N/A,FALSE,"Tabl. FB400";#N/A,#N/A,FALSE,"Tabl. FB500";#N/A,#N/A,FALSE,"Tabl. FS090"}</definedName>
    <definedName name="rrr" hidden="1">{#N/A,#N/A,FALSE,"Tabl. FB300";#N/A,#N/A,FALSE,"Tabl. FB350";#N/A,#N/A,FALSE,"Tabl. FB400";#N/A,#N/A,FALSE,"Tabl. FB500";#N/A,#N/A,FALSE,"Tabl. FS090"}</definedName>
    <definedName name="SAPBEXrevision" hidden="1">19</definedName>
    <definedName name="SAPBEXsysID" hidden="1">"BWP"</definedName>
    <definedName name="SAPBEXwbID" hidden="1">"07QM73PI84UL6KXIIWQMBHZCH"</definedName>
    <definedName name="sasasasa" localSheetId="1" hidden="1">{#N/A,#N/A,FALSE,"Tabl. FB300";#N/A,#N/A,FALSE,"Tabl. FB350";#N/A,#N/A,FALSE,"Tabl. FB400";#N/A,#N/A,FALSE,"Tabl. FB500";#N/A,#N/A,FALSE,"Tabl. FS090"}</definedName>
    <definedName name="sasasasa" localSheetId="4" hidden="1">{#N/A,#N/A,FALSE,"Tabl. FB300";#N/A,#N/A,FALSE,"Tabl. FB350";#N/A,#N/A,FALSE,"Tabl. FB400";#N/A,#N/A,FALSE,"Tabl. FB500";#N/A,#N/A,FALSE,"Tabl. FS090"}</definedName>
    <definedName name="sasasasa" localSheetId="5" hidden="1">{#N/A,#N/A,FALSE,"Tabl. FB300";#N/A,#N/A,FALSE,"Tabl. FB350";#N/A,#N/A,FALSE,"Tabl. FB400";#N/A,#N/A,FALSE,"Tabl. FB500";#N/A,#N/A,FALSE,"Tabl. FS090"}</definedName>
    <definedName name="sasasasa" localSheetId="0" hidden="1">{#N/A,#N/A,FALSE,"Tabl. FB300";#N/A,#N/A,FALSE,"Tabl. FB350";#N/A,#N/A,FALSE,"Tabl. FB400";#N/A,#N/A,FALSE,"Tabl. FB500";#N/A,#N/A,FALSE,"Tabl. FS090"}</definedName>
    <definedName name="sasasasa" hidden="1">{#N/A,#N/A,FALSE,"Tabl. FB300";#N/A,#N/A,FALSE,"Tabl. FB350";#N/A,#N/A,FALSE,"Tabl. FB400";#N/A,#N/A,FALSE,"Tabl. FB500";#N/A,#N/A,FALSE,"Tabl. FS090"}</definedName>
    <definedName name="SD" localSheetId="1" hidden="1">{#N/A,#N/A,FALSE,"COBERTURAS 30";#N/A,#N/A,FALSE,"COBERTURAS Mês e Acum 31";#N/A,#N/A,FALSE,"COBERTURAS Acum 32"}</definedName>
    <definedName name="SD" localSheetId="4" hidden="1">{#N/A,#N/A,FALSE,"COBERTURAS 30";#N/A,#N/A,FALSE,"COBERTURAS Mês e Acum 31";#N/A,#N/A,FALSE,"COBERTURAS Acum 32"}</definedName>
    <definedName name="SD" localSheetId="5" hidden="1">{#N/A,#N/A,FALSE,"COBERTURAS 30";#N/A,#N/A,FALSE,"COBERTURAS Mês e Acum 31";#N/A,#N/A,FALSE,"COBERTURAS Acum 32"}</definedName>
    <definedName name="SD" localSheetId="0" hidden="1">{#N/A,#N/A,FALSE,"COBERTURAS 30";#N/A,#N/A,FALSE,"COBERTURAS Mês e Acum 31";#N/A,#N/A,FALSE,"COBERTURAS Acum 32"}</definedName>
    <definedName name="SD" hidden="1">{#N/A,#N/A,FALSE,"COBERTURAS 30";#N/A,#N/A,FALSE,"COBERTURAS Mês e Acum 31";#N/A,#N/A,FALSE,"COBERTURAS Acum 32"}</definedName>
    <definedName name="ss" localSheetId="1" hidden="1">{"'RR'!$A$2:$E$81"}</definedName>
    <definedName name="ss" localSheetId="4" hidden="1">{"'RR'!$A$2:$E$81"}</definedName>
    <definedName name="ss" localSheetId="5" hidden="1">{"'RR'!$A$2:$E$81"}</definedName>
    <definedName name="ss" localSheetId="0" hidden="1">{"'RR'!$A$2:$E$81"}</definedName>
    <definedName name="ss" hidden="1">{"'RR'!$A$2:$E$81"}</definedName>
    <definedName name="SSD" localSheetId="1" hidden="1">{#N/A,#N/A,FALSE,"CONSOL. 5";#N/A,#N/A,FALSE,"CONSOL. ACUM. 6";#N/A,#N/A,FALSE,"CAP. EMPREG. 7";#N/A,#N/A,FALSE,"ORIGENS E APLICAÇÕES 9"}</definedName>
    <definedName name="SSD" localSheetId="4" hidden="1">{#N/A,#N/A,FALSE,"CONSOL. 5";#N/A,#N/A,FALSE,"CONSOL. ACUM. 6";#N/A,#N/A,FALSE,"CAP. EMPREG. 7";#N/A,#N/A,FALSE,"ORIGENS E APLICAÇÕES 9"}</definedName>
    <definedName name="SSD" localSheetId="5" hidden="1">{#N/A,#N/A,FALSE,"CONSOL. 5";#N/A,#N/A,FALSE,"CONSOL. ACUM. 6";#N/A,#N/A,FALSE,"CAP. EMPREG. 7";#N/A,#N/A,FALSE,"ORIGENS E APLICAÇÕES 9"}</definedName>
    <definedName name="SSD" localSheetId="0" hidden="1">{#N/A,#N/A,FALSE,"CONSOL. 5";#N/A,#N/A,FALSE,"CONSOL. ACUM. 6";#N/A,#N/A,FALSE,"CAP. EMPREG. 7";#N/A,#N/A,FALSE,"ORIGENS E APLICAÇÕES 9"}</definedName>
    <definedName name="SSD" hidden="1">{#N/A,#N/A,FALSE,"CONSOL. 5";#N/A,#N/A,FALSE,"CONSOL. ACUM. 6";#N/A,#N/A,FALSE,"CAP. EMPREG. 7";#N/A,#N/A,FALSE,"ORIGENS E APLICAÇÕES 9"}</definedName>
    <definedName name="sssss" hidden="1">[7]COMPPROD!#REF!</definedName>
    <definedName name="Sumário" localSheetId="1" hidden="1">{#N/A,#N/A,FALSE,"SGP";#N/A,#N/A,FALSE,"SGI";#N/A,#N/A,FALSE,"SGC";#N/A,#N/A,FALSE,"SGS";#N/A,#N/A,FALSE,"SGB"}</definedName>
    <definedName name="Sumário" localSheetId="4" hidden="1">{#N/A,#N/A,FALSE,"SGP";#N/A,#N/A,FALSE,"SGI";#N/A,#N/A,FALSE,"SGC";#N/A,#N/A,FALSE,"SGS";#N/A,#N/A,FALSE,"SGB"}</definedName>
    <definedName name="Sumário" localSheetId="5" hidden="1">{#N/A,#N/A,FALSE,"SGP";#N/A,#N/A,FALSE,"SGI";#N/A,#N/A,FALSE,"SGC";#N/A,#N/A,FALSE,"SGS";#N/A,#N/A,FALSE,"SGB"}</definedName>
    <definedName name="Sumário" localSheetId="0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tab" localSheetId="1" hidden="1">{#N/A,#N/A,FALSE,"Tabl. G1";#N/A,#N/A,FALSE,"Tabl. G2"}</definedName>
    <definedName name="tab" localSheetId="4" hidden="1">{#N/A,#N/A,FALSE,"Tabl. G1";#N/A,#N/A,FALSE,"Tabl. G2"}</definedName>
    <definedName name="tab" localSheetId="5" hidden="1">{#N/A,#N/A,FALSE,"Tabl. G1";#N/A,#N/A,FALSE,"Tabl. G2"}</definedName>
    <definedName name="tab" localSheetId="0" hidden="1">{#N/A,#N/A,FALSE,"Tabl. G1";#N/A,#N/A,FALSE,"Tabl. G2"}</definedName>
    <definedName name="tab" hidden="1">{#N/A,#N/A,FALSE,"Tabl. G1";#N/A,#N/A,FALSE,"Tabl. G2"}</definedName>
    <definedName name="TABL00" localSheetId="1" hidden="1">{#N/A,#N/A,FALSE,"Tabl. D1";#N/A,#N/A,FALSE,"Tabl. D1 b";#N/A,#N/A,FALSE,"Tabl. D2";#N/A,#N/A,FALSE,"Tabl. D2 b";#N/A,#N/A,FALSE,"Tabl. D3";#N/A,#N/A,FALSE,"Tabl. D4";#N/A,#N/A,FALSE,"Tabl. D5"}</definedName>
    <definedName name="TABL00" localSheetId="4" hidden="1">{#N/A,#N/A,FALSE,"Tabl. D1";#N/A,#N/A,FALSE,"Tabl. D1 b";#N/A,#N/A,FALSE,"Tabl. D2";#N/A,#N/A,FALSE,"Tabl. D2 b";#N/A,#N/A,FALSE,"Tabl. D3";#N/A,#N/A,FALSE,"Tabl. D4";#N/A,#N/A,FALSE,"Tabl. D5"}</definedName>
    <definedName name="TABL00" localSheetId="5" hidden="1">{#N/A,#N/A,FALSE,"Tabl. D1";#N/A,#N/A,FALSE,"Tabl. D1 b";#N/A,#N/A,FALSE,"Tabl. D2";#N/A,#N/A,FALSE,"Tabl. D2 b";#N/A,#N/A,FALSE,"Tabl. D3";#N/A,#N/A,FALSE,"Tabl. D4";#N/A,#N/A,FALSE,"Tabl. D5"}</definedName>
    <definedName name="TABL00" localSheetId="0" hidden="1">{#N/A,#N/A,FALSE,"Tabl. D1";#N/A,#N/A,FALSE,"Tabl. D1 b";#N/A,#N/A,FALSE,"Tabl. D2";#N/A,#N/A,FALSE,"Tabl. D2 b";#N/A,#N/A,FALSE,"Tabl. D3";#N/A,#N/A,FALSE,"Tabl. D4";#N/A,#N/A,FALSE,"Tabl. D5"}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localSheetId="1" hidden="1">{#N/A,#N/A,FALSE,"Tabl. G1";#N/A,#N/A,FALSE,"Tabl. G2"}</definedName>
    <definedName name="tableé" localSheetId="4" hidden="1">{#N/A,#N/A,FALSE,"Tabl. G1";#N/A,#N/A,FALSE,"Tabl. G2"}</definedName>
    <definedName name="tableé" localSheetId="5" hidden="1">{#N/A,#N/A,FALSE,"Tabl. G1";#N/A,#N/A,FALSE,"Tabl. G2"}</definedName>
    <definedName name="tableé" localSheetId="0" hidden="1">{#N/A,#N/A,FALSE,"Tabl. G1";#N/A,#N/A,FALSE,"Tabl. G2"}</definedName>
    <definedName name="tableé" hidden="1">{#N/A,#N/A,FALSE,"Tabl. G1";#N/A,#N/A,FALSE,"Tabl. G2"}</definedName>
    <definedName name="TESTE" localSheetId="1" hidden="1">{#N/A,#N/A,FALSE,"O&amp;I Worksheet"}</definedName>
    <definedName name="TESTE" localSheetId="4" hidden="1">{#N/A,#N/A,FALSE,"O&amp;I Worksheet"}</definedName>
    <definedName name="TESTE" localSheetId="5" hidden="1">{#N/A,#N/A,FALSE,"O&amp;I Worksheet"}</definedName>
    <definedName name="TESTE" localSheetId="0" hidden="1">{#N/A,#N/A,FALSE,"O&amp;I Worksheet"}</definedName>
    <definedName name="TESTE" hidden="1">{#N/A,#N/A,FALSE,"O&amp;I Worksheet"}</definedName>
    <definedName name="tttttt" localSheetId="1" hidden="1">{#N/A,#N/A,FALSE,"Tabl. G1";#N/A,#N/A,FALSE,"Tabl. G2"}</definedName>
    <definedName name="tttttt" localSheetId="4" hidden="1">{#N/A,#N/A,FALSE,"Tabl. G1";#N/A,#N/A,FALSE,"Tabl. G2"}</definedName>
    <definedName name="tttttt" localSheetId="5" hidden="1">{#N/A,#N/A,FALSE,"Tabl. G1";#N/A,#N/A,FALSE,"Tabl. G2"}</definedName>
    <definedName name="tttttt" localSheetId="0" hidden="1">{#N/A,#N/A,FALSE,"Tabl. G1";#N/A,#N/A,FALSE,"Tabl. G2"}</definedName>
    <definedName name="tttttt" hidden="1">{#N/A,#N/A,FALSE,"Tabl. G1";#N/A,#N/A,FALSE,"Tabl. G2"}</definedName>
    <definedName name="vale" localSheetId="1" hidden="1">{#N/A,#N/A,FALSE,"Tabl. FB300";#N/A,#N/A,FALSE,"Tabl. FB350";#N/A,#N/A,FALSE,"Tabl. FB400";#N/A,#N/A,FALSE,"Tabl. FB500";#N/A,#N/A,FALSE,"Tabl. FS090"}</definedName>
    <definedName name="vale" localSheetId="4" hidden="1">{#N/A,#N/A,FALSE,"Tabl. FB300";#N/A,#N/A,FALSE,"Tabl. FB350";#N/A,#N/A,FALSE,"Tabl. FB400";#N/A,#N/A,FALSE,"Tabl. FB500";#N/A,#N/A,FALSE,"Tabl. FS090"}</definedName>
    <definedName name="vale" localSheetId="5" hidden="1">{#N/A,#N/A,FALSE,"Tabl. FB300";#N/A,#N/A,FALSE,"Tabl. FB350";#N/A,#N/A,FALSE,"Tabl. FB400";#N/A,#N/A,FALSE,"Tabl. FB500";#N/A,#N/A,FALSE,"Tabl. FS090"}</definedName>
    <definedName name="vale" localSheetId="0" hidden="1">{#N/A,#N/A,FALSE,"Tabl. FB300";#N/A,#N/A,FALSE,"Tabl. FB350";#N/A,#N/A,FALSE,"Tabl. FB400";#N/A,#N/A,FALSE,"Tabl. FB500";#N/A,#N/A,FALSE,"Tabl. FS090"}</definedName>
    <definedName name="vale" hidden="1">{#N/A,#N/A,FALSE,"Tabl. FB300";#N/A,#N/A,FALSE,"Tabl. FB350";#N/A,#N/A,FALSE,"Tabl. FB400";#N/A,#N/A,FALSE,"Tabl. FB500";#N/A,#N/A,FALSE,"Tabl. FS090"}</definedName>
    <definedName name="VANES" localSheetId="1" hidden="1">{#N/A,#N/A,FALSE,"Tabl. A1";#N/A,#N/A,FALSE,"Tabl. A1 b";#N/A,#N/A,FALSE,"Tabl. A2";#N/A,#N/A,FALSE,"Tabl. A2-1";#N/A,#N/A,FALSE,"Tabl. A2-2"}</definedName>
    <definedName name="VANES" localSheetId="4" hidden="1">{#N/A,#N/A,FALSE,"Tabl. A1";#N/A,#N/A,FALSE,"Tabl. A1 b";#N/A,#N/A,FALSE,"Tabl. A2";#N/A,#N/A,FALSE,"Tabl. A2-1";#N/A,#N/A,FALSE,"Tabl. A2-2"}</definedName>
    <definedName name="VANES" localSheetId="5" hidden="1">{#N/A,#N/A,FALSE,"Tabl. A1";#N/A,#N/A,FALSE,"Tabl. A1 b";#N/A,#N/A,FALSE,"Tabl. A2";#N/A,#N/A,FALSE,"Tabl. A2-1";#N/A,#N/A,FALSE,"Tabl. A2-2"}</definedName>
    <definedName name="VANES" localSheetId="0" hidden="1">{#N/A,#N/A,FALSE,"Tabl. A1";#N/A,#N/A,FALSE,"Tabl. A1 b";#N/A,#N/A,FALSE,"Tabl. A2";#N/A,#N/A,FALSE,"Tabl. A2-1";#N/A,#N/A,FALSE,"Tabl. A2-2"}</definedName>
    <definedName name="VANES" hidden="1">{#N/A,#N/A,FALSE,"Tabl. A1";#N/A,#N/A,FALSE,"Tabl. A1 b";#N/A,#N/A,FALSE,"Tabl. A2";#N/A,#N/A,FALSE,"Tabl. A2-1";#N/A,#N/A,FALSE,"Tabl. A2-2"}</definedName>
    <definedName name="vannes" localSheetId="1" hidden="1">{#N/A,#N/A,FALSE,"Tabl. G1";#N/A,#N/A,FALSE,"Tabl. G2"}</definedName>
    <definedName name="vannes" localSheetId="4" hidden="1">{#N/A,#N/A,FALSE,"Tabl. G1";#N/A,#N/A,FALSE,"Tabl. G2"}</definedName>
    <definedName name="vannes" localSheetId="5" hidden="1">{#N/A,#N/A,FALSE,"Tabl. G1";#N/A,#N/A,FALSE,"Tabl. G2"}</definedName>
    <definedName name="vannes" localSheetId="0" hidden="1">{#N/A,#N/A,FALSE,"Tabl. G1";#N/A,#N/A,FALSE,"Tabl. G2"}</definedName>
    <definedName name="vannes" hidden="1">{#N/A,#N/A,FALSE,"Tabl. G1";#N/A,#N/A,FALSE,"Tabl. G2"}</definedName>
    <definedName name="vvv" localSheetId="1" hidden="1">{#N/A,#N/A,FALSE,"Tabl. H1";#N/A,#N/A,FALSE,"Tabl. H2"}</definedName>
    <definedName name="vvv" localSheetId="4" hidden="1">{#N/A,#N/A,FALSE,"Tabl. H1";#N/A,#N/A,FALSE,"Tabl. H2"}</definedName>
    <definedName name="vvv" localSheetId="5" hidden="1">{#N/A,#N/A,FALSE,"Tabl. H1";#N/A,#N/A,FALSE,"Tabl. H2"}</definedName>
    <definedName name="vvv" localSheetId="0" hidden="1">{#N/A,#N/A,FALSE,"Tabl. H1";#N/A,#N/A,FALSE,"Tabl. H2"}</definedName>
    <definedName name="vvv" hidden="1">{#N/A,#N/A,FALSE,"Tabl. H1";#N/A,#N/A,FALSE,"Tabl. H2"}</definedName>
    <definedName name="wrn.1." localSheetId="1" hidden="1">{#N/A,#N/A,FALSE,"AOPESSOA2";#N/A,#N/A,FALSE,"AOPESSOA";#N/A,#N/A,FALSE,"AOPRODUC2";#N/A,#N/A,FALSE,"GRÁFICO3";#N/A,#N/A,FALSE,"AOCUSDIR12"}</definedName>
    <definedName name="wrn.1." localSheetId="4" hidden="1">{#N/A,#N/A,FALSE,"AOPESSOA2";#N/A,#N/A,FALSE,"AOPESSOA";#N/A,#N/A,FALSE,"AOPRODUC2";#N/A,#N/A,FALSE,"GRÁFICO3";#N/A,#N/A,FALSE,"AOCUSDIR12"}</definedName>
    <definedName name="wrn.1." localSheetId="5" hidden="1">{#N/A,#N/A,FALSE,"AOPESSOA2";#N/A,#N/A,FALSE,"AOPESSOA";#N/A,#N/A,FALSE,"AOPRODUC2";#N/A,#N/A,FALSE,"GRÁFICO3";#N/A,#N/A,FALSE,"AOCUSDIR12"}</definedName>
    <definedName name="wrn.1." localSheetId="0" hidden="1">{#N/A,#N/A,FALSE,"AOPESSOA2";#N/A,#N/A,FALSE,"AOPESSOA";#N/A,#N/A,FALSE,"AOPRODUC2";#N/A,#N/A,FALSE,"GRÁFICO3";#N/A,#N/A,FALSE,"AOCUSDIR12"}</definedName>
    <definedName name="wrn.1." hidden="1">{#N/A,#N/A,FALSE,"AOPESSOA2";#N/A,#N/A,FALSE,"AOPESSOA";#N/A,#N/A,FALSE,"AOPRODUC2";#N/A,#N/A,FALSE,"GRÁFICO3";#N/A,#N/A,FALSE,"AOCUSDIR12"}</definedName>
    <definedName name="wrn.14." localSheetId="1" hidden="1">{#N/A,#N/A,FALSE,"Desp.Indir";#N/A,#N/A,FALSE,"Estoq"}</definedName>
    <definedName name="wrn.14." localSheetId="4" hidden="1">{#N/A,#N/A,FALSE,"Desp.Indir";#N/A,#N/A,FALSE,"Estoq"}</definedName>
    <definedName name="wrn.14." localSheetId="5" hidden="1">{#N/A,#N/A,FALSE,"Desp.Indir";#N/A,#N/A,FALSE,"Estoq"}</definedName>
    <definedName name="wrn.14." localSheetId="0" hidden="1">{#N/A,#N/A,FALSE,"Desp.Indir";#N/A,#N/A,FALSE,"Estoq"}</definedName>
    <definedName name="wrn.14." hidden="1">{#N/A,#N/A,FALSE,"Desp.Indir";#N/A,#N/A,FALSE,"Estoq"}</definedName>
    <definedName name="wrn.acmp." localSheetId="1" hidden="1">{#N/A,#N/A,FALSE,"SGP";#N/A,#N/A,FALSE,"SGI";#N/A,#N/A,FALSE,"SGC";#N/A,#N/A,FALSE,"SGS";#N/A,#N/A,FALSE,"SGB"}</definedName>
    <definedName name="wrn.acmp." localSheetId="4" hidden="1">{#N/A,#N/A,FALSE,"SGP";#N/A,#N/A,FALSE,"SGI";#N/A,#N/A,FALSE,"SGC";#N/A,#N/A,FALSE,"SGS";#N/A,#N/A,FALSE,"SGB"}</definedName>
    <definedName name="wrn.acmp." localSheetId="5" hidden="1">{#N/A,#N/A,FALSE,"SGP";#N/A,#N/A,FALSE,"SGI";#N/A,#N/A,FALSE,"SGC";#N/A,#N/A,FALSE,"SGS";#N/A,#N/A,FALSE,"SGB"}</definedName>
    <definedName name="wrn.acmp." localSheetId="0" hidden="1">{#N/A,#N/A,FALSE,"SGP";#N/A,#N/A,FALSE,"SGI";#N/A,#N/A,FALSE,"SGC";#N/A,#N/A,FALSE,"SGS";#N/A,#N/A,FALSE,"SGB"}</definedName>
    <definedName name="wrn.acmp." hidden="1">{#N/A,#N/A,FALSE,"SGP";#N/A,#N/A,FALSE,"SGI";#N/A,#N/A,FALSE,"SGC";#N/A,#N/A,FALSE,"SGS";#N/A,#N/A,FALSE,"SGB"}</definedName>
    <definedName name="wrn.ACOMP." localSheetId="1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COMP." localSheetId="4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COMP." localSheetId="5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COMP." localSheetId="0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COMP.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dvanced._.Material." localSheetId="1" hidden="1">{#N/A,#N/A,FALSE,"CAPA";#N/A,#N/A,FALSE,"CONSOL. 2";#N/A,#N/A,FALSE,"CONSOL. 5";#N/A,#N/A,FALSE,"CONSOL. ACUM. 6";#N/A,#N/A,FALSE,"CAP. EMPREG. 7"}</definedName>
    <definedName name="wrn.Advanced._.Material." localSheetId="4" hidden="1">{#N/A,#N/A,FALSE,"CAPA";#N/A,#N/A,FALSE,"CONSOL. 2";#N/A,#N/A,FALSE,"CONSOL. 5";#N/A,#N/A,FALSE,"CONSOL. ACUM. 6";#N/A,#N/A,FALSE,"CAP. EMPREG. 7"}</definedName>
    <definedName name="wrn.Advanced._.Material." localSheetId="5" hidden="1">{#N/A,#N/A,FALSE,"CAPA";#N/A,#N/A,FALSE,"CONSOL. 2";#N/A,#N/A,FALSE,"CONSOL. 5";#N/A,#N/A,FALSE,"CONSOL. ACUM. 6";#N/A,#N/A,FALSE,"CAP. EMPREG. 7"}</definedName>
    <definedName name="wrn.Advanced._.Material." localSheetId="0" hidden="1">{#N/A,#N/A,FALSE,"CAPA";#N/A,#N/A,FALSE,"CONSOL. 2";#N/A,#N/A,FALSE,"CONSOL. 5";#N/A,#N/A,FALSE,"CONSOL. ACUM. 6";#N/A,#N/A,FALSE,"CAP. EMPREG. 7"}</definedName>
    <definedName name="wrn.Advanced._.Material." hidden="1">{#N/A,#N/A,FALSE,"CAPA";#N/A,#N/A,FALSE,"CONSOL. 2";#N/A,#N/A,FALSE,"CONSOL. 5";#N/A,#N/A,FALSE,"CONSOL. ACUM. 6";#N/A,#N/A,FALSE,"CAP. EMPREG. 7"}</definedName>
    <definedName name="wrn.ALTA._.ADM.._.DOLAR." localSheetId="1" hidden="1">{#N/A,#N/A,FALSE,"PREÇO.CPV.CA60";#N/A,#N/A,FALSE,"PREÇO.CPV.TREFILADOS";#N/A,#N/A,FALSE,"PREÇO.CPV.CA50";#N/A,#N/A,FALSE,"PREÇO.CPV.FM";#N/A,#N/A,FALSE,"PREÇO-FOB"}</definedName>
    <definedName name="wrn.ALTA._.ADM.._.DOLAR." localSheetId="4" hidden="1">{#N/A,#N/A,FALSE,"PREÇO.CPV.CA60";#N/A,#N/A,FALSE,"PREÇO.CPV.TREFILADOS";#N/A,#N/A,FALSE,"PREÇO.CPV.CA50";#N/A,#N/A,FALSE,"PREÇO.CPV.FM";#N/A,#N/A,FALSE,"PREÇO-FOB"}</definedName>
    <definedName name="wrn.ALTA._.ADM.._.DOLAR." localSheetId="5" hidden="1">{#N/A,#N/A,FALSE,"PREÇO.CPV.CA60";#N/A,#N/A,FALSE,"PREÇO.CPV.TREFILADOS";#N/A,#N/A,FALSE,"PREÇO.CPV.CA50";#N/A,#N/A,FALSE,"PREÇO.CPV.FM";#N/A,#N/A,FALSE,"PREÇO-FOB"}</definedName>
    <definedName name="wrn.ALTA._.ADM.._.DOLAR." localSheetId="0" hidden="1">{#N/A,#N/A,FALSE,"PREÇO.CPV.CA60";#N/A,#N/A,FALSE,"PREÇO.CPV.TREFILADOS";#N/A,#N/A,FALSE,"PREÇO.CPV.CA50";#N/A,#N/A,FALSE,"PREÇO.CPV.FM";#N/A,#N/A,FALSE,"PREÇO-FOB"}</definedName>
    <definedName name="wrn.ALTA._.ADM.._.DOLAR." hidden="1">{#N/A,#N/A,FALSE,"PREÇO.CPV.CA60";#N/A,#N/A,FALSE,"PREÇO.CPV.TREFILADOS";#N/A,#N/A,FALSE,"PREÇO.CPV.CA50";#N/A,#N/A,FALSE,"PREÇO.CPV.FM";#N/A,#N/A,FALSE,"PREÇO-FOB"}</definedName>
    <definedName name="wrn.ALTA._.ADMINISTRAÇÃO." localSheetId="1" hidden="1">{#N/A,#N/A,FALSE,"PREÇO.CPV.CA60";#N/A,#N/A,FALSE,"PREÇO.CPV.TREFILADOS";#N/A,#N/A,FALSE,"PREÇO.CPV.CA50";#N/A,#N/A,FALSE,"PREÇO.CPV.FM";#N/A,#N/A,FALSE,"PREÇO-FOB"}</definedName>
    <definedName name="wrn.ALTA._.ADMINISTRAÇÃO." localSheetId="4" hidden="1">{#N/A,#N/A,FALSE,"PREÇO.CPV.CA60";#N/A,#N/A,FALSE,"PREÇO.CPV.TREFILADOS";#N/A,#N/A,FALSE,"PREÇO.CPV.CA50";#N/A,#N/A,FALSE,"PREÇO.CPV.FM";#N/A,#N/A,FALSE,"PREÇO-FOB"}</definedName>
    <definedName name="wrn.ALTA._.ADMINISTRAÇÃO." localSheetId="5" hidden="1">{#N/A,#N/A,FALSE,"PREÇO.CPV.CA60";#N/A,#N/A,FALSE,"PREÇO.CPV.TREFILADOS";#N/A,#N/A,FALSE,"PREÇO.CPV.CA50";#N/A,#N/A,FALSE,"PREÇO.CPV.FM";#N/A,#N/A,FALSE,"PREÇO-FOB"}</definedName>
    <definedName name="wrn.ALTA._.ADMINISTRAÇÃO." localSheetId="0" hidden="1">{#N/A,#N/A,FALSE,"PREÇO.CPV.CA60";#N/A,#N/A,FALSE,"PREÇO.CPV.TREFILADOS";#N/A,#N/A,FALSE,"PREÇO.CPV.CA50";#N/A,#N/A,FALSE,"PREÇO.CPV.FM";#N/A,#N/A,FALSE,"PREÇO-FOB"}</definedName>
    <definedName name="wrn.ALTA._.ADMINISTRAÇÃO." hidden="1">{#N/A,#N/A,FALSE,"PREÇO.CPV.CA60";#N/A,#N/A,FALSE,"PREÇO.CPV.TREFILADOS";#N/A,#N/A,FALSE,"PREÇO.CPV.CA50";#N/A,#N/A,FALSE,"PREÇO.CPV.FM";#N/A,#N/A,FALSE,"PREÇO-FOB"}</definedName>
    <definedName name="wrn.Caderno._.Sem._.Radares." localSheetId="1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localSheetId="4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localSheetId="5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localSheetId="0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oberturas." localSheetId="1" hidden="1">{#N/A,#N/A,FALSE,"COBERTURAS 30";#N/A,#N/A,FALSE,"COBERTURAS Mês e Acum 31";#N/A,#N/A,FALSE,"COBERTURAS Acum 32"}</definedName>
    <definedName name="wrn.Coberturas." localSheetId="4" hidden="1">{#N/A,#N/A,FALSE,"COBERTURAS 30";#N/A,#N/A,FALSE,"COBERTURAS Mês e Acum 31";#N/A,#N/A,FALSE,"COBERTURAS Acum 32"}</definedName>
    <definedName name="wrn.Coberturas." localSheetId="5" hidden="1">{#N/A,#N/A,FALSE,"COBERTURAS 30";#N/A,#N/A,FALSE,"COBERTURAS Mês e Acum 31";#N/A,#N/A,FALSE,"COBERTURAS Acum 32"}</definedName>
    <definedName name="wrn.Coberturas." localSheetId="0" hidden="1">{#N/A,#N/A,FALSE,"COBERTURAS 30";#N/A,#N/A,FALSE,"COBERTURAS Mês e Acum 31";#N/A,#N/A,FALSE,"COBERTURAS Acum 32"}</definedName>
    <definedName name="wrn.Coberturas." hidden="1">{#N/A,#N/A,FALSE,"COBERTURAS 30";#N/A,#N/A,FALSE,"COBERTURAS Mês e Acum 31";#N/A,#N/A,FALSE,"COBERTURAS Acum 32"}</definedName>
    <definedName name="wrn.Consolidado." localSheetId="1" hidden="1">{#N/A,#N/A,FALSE,"CONSOL. 5";#N/A,#N/A,FALSE,"CONSOL. ACUM. 6";#N/A,#N/A,FALSE,"CAP. EMPREG. 7";#N/A,#N/A,FALSE,"ORIGENS E APLICAÇÕES 9"}</definedName>
    <definedName name="wrn.Consolidado." localSheetId="4" hidden="1">{#N/A,#N/A,FALSE,"CONSOL. 5";#N/A,#N/A,FALSE,"CONSOL. ACUM. 6";#N/A,#N/A,FALSE,"CAP. EMPREG. 7";#N/A,#N/A,FALSE,"ORIGENS E APLICAÇÕES 9"}</definedName>
    <definedName name="wrn.Consolidado." localSheetId="5" hidden="1">{#N/A,#N/A,FALSE,"CONSOL. 5";#N/A,#N/A,FALSE,"CONSOL. ACUM. 6";#N/A,#N/A,FALSE,"CAP. EMPREG. 7";#N/A,#N/A,FALSE,"ORIGENS E APLICAÇÕES 9"}</definedName>
    <definedName name="wrn.Consolidado." localSheetId="0" hidden="1">{#N/A,#N/A,FALSE,"CONSOL. 5";#N/A,#N/A,FALSE,"CONSOL. ACUM. 6";#N/A,#N/A,FALSE,"CAP. EMPREG. 7";#N/A,#N/A,FALSE,"ORIGENS E APLICAÇÕES 9"}</definedName>
    <definedName name="wrn.Consolidado." hidden="1">{#N/A,#N/A,FALSE,"CONSOL. 5";#N/A,#N/A,FALSE,"CONSOL. ACUM. 6";#N/A,#N/A,FALSE,"CAP. EMPREG. 7";#N/A,#N/A,FALSE,"ORIGENS E APLICAÇÕES 9"}</definedName>
    <definedName name="wrn.EVENTUAL." localSheetId="1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EVENTUAL." localSheetId="4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EVENTUAL." localSheetId="5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EVENTUAL." localSheetId="0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EVENTUAL.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Havaianas._.e._.GDV." localSheetId="1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4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5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localSheetId="0" hidden="1">{#N/A,#N/A,FALSE,"HAVAIANAS 24";#N/A,#N/A,FALSE,"Havaianas Mês e Acum 25";#N/A,#N/A,FALSE,"Havaianas Acum 26";#N/A,#N/A,FALSE,"GRANDES VOLUMES 27";#N/A,#N/A,FALSE,"GDV Mês e Acum 28";#N/A,#N/A,FALSE,"GDV Acum 29"}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INVESTIMENTOS." localSheetId="1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NVESTIMENTOS." localSheetId="4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NVESTIMENTOS." localSheetId="5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NVESTIMENTOS." localSheetId="0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NVESTIMENTOS.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TENS._.DE._.CONTROLES." localSheetId="1" hidden="1">{#N/A,#N/A,FALSE,"ORÇADOxREAL %M.P.";#N/A,#N/A,FALSE,"ORÇADOxREAL";#N/A,#N/A,FALSE,"Receb. Clientes";#N/A,#N/A,FALSE,"Pgto Fornecedores";#N/A,#N/A,FALSE,"% M.P.";#N/A,#N/A,FALSE,"Faturamento M²";#N/A,#N/A,FALSE,"IC"}</definedName>
    <definedName name="wrn.ITENS._.DE._.CONTROLES." localSheetId="4" hidden="1">{#N/A,#N/A,FALSE,"ORÇADOxREAL %M.P.";#N/A,#N/A,FALSE,"ORÇADOxREAL";#N/A,#N/A,FALSE,"Receb. Clientes";#N/A,#N/A,FALSE,"Pgto Fornecedores";#N/A,#N/A,FALSE,"% M.P.";#N/A,#N/A,FALSE,"Faturamento M²";#N/A,#N/A,FALSE,"IC"}</definedName>
    <definedName name="wrn.ITENS._.DE._.CONTROLES." localSheetId="5" hidden="1">{#N/A,#N/A,FALSE,"ORÇADOxREAL %M.P.";#N/A,#N/A,FALSE,"ORÇADOxREAL";#N/A,#N/A,FALSE,"Receb. Clientes";#N/A,#N/A,FALSE,"Pgto Fornecedores";#N/A,#N/A,FALSE,"% M.P.";#N/A,#N/A,FALSE,"Faturamento M²";#N/A,#N/A,FALSE,"IC"}</definedName>
    <definedName name="wrn.ITENS._.DE._.CONTROLES." localSheetId="0" hidden="1">{#N/A,#N/A,FALSE,"ORÇADOxREAL %M.P.";#N/A,#N/A,FALSE,"ORÇADOxREAL";#N/A,#N/A,FALSE,"Receb. Clientes";#N/A,#N/A,FALSE,"Pgto Fornecedores";#N/A,#N/A,FALSE,"% M.P.";#N/A,#N/A,FALSE,"Faturamento M²";#N/A,#N/A,FALSE,"IC"}</definedName>
    <definedName name="wrn.ITENS._.DE._.CONTROLES." hidden="1">{#N/A,#N/A,FALSE,"ORÇADOxREAL %M.P.";#N/A,#N/A,FALSE,"ORÇADOxREAL";#N/A,#N/A,FALSE,"Receb. Clientes";#N/A,#N/A,FALSE,"Pgto Fornecedores";#N/A,#N/A,FALSE,"% M.P.";#N/A,#N/A,FALSE,"Faturamento M²";#N/A,#N/A,FALSE,"IC"}</definedName>
    <definedName name="wrn.Meggashop." localSheetId="1" hidden="1">{#N/A,#N/A,FALSE,"MEGGASHOP 36";#N/A,#N/A,FALSE,"MEGGASHOP Mês e Acum 37";#N/A,#N/A,FALSE,"MEGGASHOP Acum 38"}</definedName>
    <definedName name="wrn.Meggashop." localSheetId="4" hidden="1">{#N/A,#N/A,FALSE,"MEGGASHOP 36";#N/A,#N/A,FALSE,"MEGGASHOP Mês e Acum 37";#N/A,#N/A,FALSE,"MEGGASHOP Acum 38"}</definedName>
    <definedName name="wrn.Meggashop." localSheetId="5" hidden="1">{#N/A,#N/A,FALSE,"MEGGASHOP 36";#N/A,#N/A,FALSE,"MEGGASHOP Mês e Acum 37";#N/A,#N/A,FALSE,"MEGGASHOP Acum 38"}</definedName>
    <definedName name="wrn.Meggashop." localSheetId="0" hidden="1">{#N/A,#N/A,FALSE,"MEGGASHOP 36";#N/A,#N/A,FALSE,"MEGGASHOP Mês e Acum 37";#N/A,#N/A,FALSE,"MEGGASHOP Acum 38"}</definedName>
    <definedName name="wrn.Meggashop." hidden="1">{#N/A,#N/A,FALSE,"MEGGASHOP 36";#N/A,#N/A,FALSE,"MEGGASHOP Mês e Acum 37";#N/A,#N/A,FALSE,"MEGGASHOP Acum 38"}</definedName>
    <definedName name="wrn.Mizuno." localSheetId="1" hidden="1">{#N/A,#N/A,FALSE,"MIZUNO 21";#N/A,#N/A,FALSE,"Mizuno Mês e Acum 22";#N/A,#N/A,FALSE,"Mizuno Acum 23"}</definedName>
    <definedName name="wrn.Mizuno." localSheetId="4" hidden="1">{#N/A,#N/A,FALSE,"MIZUNO 21";#N/A,#N/A,FALSE,"Mizuno Mês e Acum 22";#N/A,#N/A,FALSE,"Mizuno Acum 23"}</definedName>
    <definedName name="wrn.Mizuno." localSheetId="5" hidden="1">{#N/A,#N/A,FALSE,"MIZUNO 21";#N/A,#N/A,FALSE,"Mizuno Mês e Acum 22";#N/A,#N/A,FALSE,"Mizuno Acum 23"}</definedName>
    <definedName name="wrn.Mizuno." localSheetId="0" hidden="1">{#N/A,#N/A,FALSE,"MIZUNO 21";#N/A,#N/A,FALSE,"Mizuno Mês e Acum 22";#N/A,#N/A,FALSE,"Mizuno Acum 23"}</definedName>
    <definedName name="wrn.Mizuno." hidden="1">{#N/A,#N/A,FALSE,"MIZUNO 21";#N/A,#N/A,FALSE,"Mizuno Mês e Acum 22";#N/A,#N/A,FALSE,"Mizuno Acum 23"}</definedName>
    <definedName name="wrn.O._.and._.I._.Worksheet." localSheetId="1" hidden="1">{#N/A,#N/A,FALSE,"O&amp;I Worksheet"}</definedName>
    <definedName name="wrn.O._.and._.I._.Worksheet." localSheetId="4" hidden="1">{#N/A,#N/A,FALSE,"O&amp;I Worksheet"}</definedName>
    <definedName name="wrn.O._.and._.I._.Worksheet." localSheetId="5" hidden="1">{#N/A,#N/A,FALSE,"O&amp;I Worksheet"}</definedName>
    <definedName name="wrn.O._.and._.I._.Worksheet." localSheetId="0" hidden="1">{#N/A,#N/A,FALSE,"O&amp;I Worksheet"}</definedName>
    <definedName name="wrn.O._.and._.I._.Worksheet." hidden="1">{#N/A,#N/A,FALSE,"O&amp;I Worksheet"}</definedName>
    <definedName name="wrn.Orçamento." localSheetId="1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Orçamento." localSheetId="4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Orçamento." localSheetId="5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Orçamento." localSheetId="0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Orçamento.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P.._.Orç.._.Módulo._.1." localSheetId="1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._.Orç.._.Módulo._.1." localSheetId="4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._.Orç.._.Módulo._.1." localSheetId="5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._.Orç.._.Módulo._.1." localSheetId="0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._.Orç.._.Módulo._.1.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Orç.._.Módulo._.2." localSheetId="1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.Orç.._.Módulo._.2." localSheetId="4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.Orç.._.Módulo._.2." localSheetId="5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.Orç.._.Módulo._.2." localSheetId="0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.Orç.._.Módulo._.2.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rocesso." localSheetId="1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cesso." localSheetId="4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cesso." localSheetId="5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cesso." localSheetId="0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cesso.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jeto" localSheetId="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4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5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localSheetId="0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1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4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5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localSheetId="0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p2." localSheetId="1" hidden="1">{#N/A,#N/A,FALSE,"C.Direto";#N/A,#N/A,FALSE,"Evolução";#N/A,#N/A,FALSE,"C.Indireto";#N/A,#N/A,FALSE,"Mobra";#N/A,#N/A,FALSE,"Equiv. US$";#N/A,#N/A,FALSE,"NewFin"}</definedName>
    <definedName name="wrn.prop2." localSheetId="4" hidden="1">{#N/A,#N/A,FALSE,"C.Direto";#N/A,#N/A,FALSE,"Evolução";#N/A,#N/A,FALSE,"C.Indireto";#N/A,#N/A,FALSE,"Mobra";#N/A,#N/A,FALSE,"Equiv. US$";#N/A,#N/A,FALSE,"NewFin"}</definedName>
    <definedName name="wrn.prop2." localSheetId="5" hidden="1">{#N/A,#N/A,FALSE,"C.Direto";#N/A,#N/A,FALSE,"Evolução";#N/A,#N/A,FALSE,"C.Indireto";#N/A,#N/A,FALSE,"Mobra";#N/A,#N/A,FALSE,"Equiv. US$";#N/A,#N/A,FALSE,"NewFin"}</definedName>
    <definedName name="wrn.prop2." localSheetId="0" hidden="1">{#N/A,#N/A,FALSE,"C.Direto";#N/A,#N/A,FALSE,"Evolução";#N/A,#N/A,FALSE,"C.Indireto";#N/A,#N/A,FALSE,"Mobra";#N/A,#N/A,FALSE,"Equiv. US$";#N/A,#N/A,FALSE,"NewFin"}</definedName>
    <definedName name="wrn.prop2." hidden="1">{#N/A,#N/A,FALSE,"C.Direto";#N/A,#N/A,FALSE,"Evolução";#N/A,#N/A,FALSE,"C.Indireto";#N/A,#N/A,FALSE,"Mobra";#N/A,#N/A,FALSE,"Equiv. US$";#N/A,#N/A,FALSE,"NewFin"}</definedName>
    <definedName name="wrn.Proposta._.2." localSheetId="1" hidden="1">{#N/A,#N/A,FALSE,"Evolução";#N/A,#N/A,FALSE,"C.Direto Prod";#N/A,#N/A,FALSE,"C.Indireto";#N/A,#N/A,FALSE,"Mobra";#N/A,#N/A,FALSE,"Orç.Inv.";#N/A,#N/A,FALSE,"Eq.Patrim"}</definedName>
    <definedName name="wrn.Proposta._.2." localSheetId="4" hidden="1">{#N/A,#N/A,FALSE,"Evolução";#N/A,#N/A,FALSE,"C.Direto Prod";#N/A,#N/A,FALSE,"C.Indireto";#N/A,#N/A,FALSE,"Mobra";#N/A,#N/A,FALSE,"Orç.Inv.";#N/A,#N/A,FALSE,"Eq.Patrim"}</definedName>
    <definedName name="wrn.Proposta._.2." localSheetId="5" hidden="1">{#N/A,#N/A,FALSE,"Evolução";#N/A,#N/A,FALSE,"C.Direto Prod";#N/A,#N/A,FALSE,"C.Indireto";#N/A,#N/A,FALSE,"Mobra";#N/A,#N/A,FALSE,"Orç.Inv.";#N/A,#N/A,FALSE,"Eq.Patrim"}</definedName>
    <definedName name="wrn.Proposta._.2." localSheetId="0" hidden="1">{#N/A,#N/A,FALSE,"Evolução";#N/A,#N/A,FALSE,"C.Direto Prod";#N/A,#N/A,FALSE,"C.Indireto";#N/A,#N/A,FALSE,"Mobra";#N/A,#N/A,FALSE,"Orç.Inv.";#N/A,#N/A,FALSE,"Eq.Patrim"}</definedName>
    <definedName name="wrn.Proposta._.2." hidden="1">{#N/A,#N/A,FALSE,"Evolução";#N/A,#N/A,FALSE,"C.Direto Prod";#N/A,#N/A,FALSE,"C.Indireto";#N/A,#N/A,FALSE,"Mobra";#N/A,#N/A,FALSE,"Orç.Inv.";#N/A,#N/A,FALSE,"Eq.Patrim"}</definedName>
    <definedName name="wrn.Radar._.Consolidado." localSheetId="1" hidden="1">{#N/A,#N/A,FALSE,"Radar CONS Mês e Acum  3";#N/A,#N/A,FALSE,"Radar CONS Acum 4"}</definedName>
    <definedName name="wrn.Radar._.Consolidado." localSheetId="4" hidden="1">{#N/A,#N/A,FALSE,"Radar CONS Mês e Acum  3";#N/A,#N/A,FALSE,"Radar CONS Acum 4"}</definedName>
    <definedName name="wrn.Radar._.Consolidado." localSheetId="5" hidden="1">{#N/A,#N/A,FALSE,"Radar CONS Mês e Acum  3";#N/A,#N/A,FALSE,"Radar CONS Acum 4"}</definedName>
    <definedName name="wrn.Radar._.Consolidado." localSheetId="0" hidden="1">{#N/A,#N/A,FALSE,"Radar CONS Mês e Acum  3";#N/A,#N/A,FALSE,"Radar CONS Acum 4"}</definedName>
    <definedName name="wrn.Radar._.Consolidado." hidden="1">{#N/A,#N/A,FALSE,"Radar CONS Mês e Acum  3";#N/A,#N/A,FALSE,"Radar CONS Acum 4"}</definedName>
    <definedName name="wrn.Radares._.Todos." localSheetId="1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4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5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localSheetId="0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localSheetId="1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4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5" hidden="1">{#N/A,#N/A,FALSE,"RAINHA TOPPER CONSOL 16";#N/A,#N/A,FALSE,"BOLAS 17";#N/A,#N/A,FALSE,"VESTUÁRIO 18";#N/A,#N/A,FALSE,"Rainha Topper Mês e Acum 19";#N/A,#N/A,FALSE,"Rainha Topper Acum 20"}</definedName>
    <definedName name="wrn.Rainha._.e._.Topper." localSheetId="0" hidden="1">{#N/A,#N/A,FALSE,"RAINHA TOPPER CONSOL 16";#N/A,#N/A,FALSE,"BOLAS 17";#N/A,#N/A,FALSE,"VESTUÁRIO 18";#N/A,#N/A,FALSE,"Rainha Topper Mês e Acum 19";#N/A,#N/A,FALSE,"Rainha Topper Acum 20"}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REMO.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5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Tableaux._.A." localSheetId="1" hidden="1">{#N/A,#N/A,FALSE,"Tabl. A1";#N/A,#N/A,FALSE,"Tabl. A1 b";#N/A,#N/A,FALSE,"Tabl. A2";#N/A,#N/A,FALSE,"Tabl. A2-1";#N/A,#N/A,FALSE,"Tabl. A2-2"}</definedName>
    <definedName name="wrn.Tableaux._.A." localSheetId="4" hidden="1">{#N/A,#N/A,FALSE,"Tabl. A1";#N/A,#N/A,FALSE,"Tabl. A1 b";#N/A,#N/A,FALSE,"Tabl. A2";#N/A,#N/A,FALSE,"Tabl. A2-1";#N/A,#N/A,FALSE,"Tabl. A2-2"}</definedName>
    <definedName name="wrn.Tableaux._.A." localSheetId="5" hidden="1">{#N/A,#N/A,FALSE,"Tabl. A1";#N/A,#N/A,FALSE,"Tabl. A1 b";#N/A,#N/A,FALSE,"Tabl. A2";#N/A,#N/A,FALSE,"Tabl. A2-1";#N/A,#N/A,FALSE,"Tabl. A2-2"}</definedName>
    <definedName name="wrn.Tableaux._.A." localSheetId="0" hidden="1">{#N/A,#N/A,FALSE,"Tabl. A1";#N/A,#N/A,FALSE,"Tabl. A1 b";#N/A,#N/A,FALSE,"Tabl. A2";#N/A,#N/A,FALSE,"Tabl. A2-1";#N/A,#N/A,FALSE,"Tabl. A2-2"}</definedName>
    <definedName name="wrn.Tableaux._.A." hidden="1">{#N/A,#N/A,FALSE,"Tabl. A1";#N/A,#N/A,FALSE,"Tabl. A1 b";#N/A,#N/A,FALSE,"Tabl. A2";#N/A,#N/A,FALSE,"Tabl. A2-1";#N/A,#N/A,FALSE,"Tabl. A2-2"}</definedName>
    <definedName name="wrn.Tableaux._.D." localSheetId="1" hidden="1">{#N/A,#N/A,FALSE,"Tabl. D1";#N/A,#N/A,FALSE,"Tabl. D1 b";#N/A,#N/A,FALSE,"Tabl. D2";#N/A,#N/A,FALSE,"Tabl. D2 b";#N/A,#N/A,FALSE,"Tabl. D3";#N/A,#N/A,FALSE,"Tabl. D4";#N/A,#N/A,FALSE,"Tabl. D5"}</definedName>
    <definedName name="wrn.Tableaux._.D." localSheetId="4" hidden="1">{#N/A,#N/A,FALSE,"Tabl. D1";#N/A,#N/A,FALSE,"Tabl. D1 b";#N/A,#N/A,FALSE,"Tabl. D2";#N/A,#N/A,FALSE,"Tabl. D2 b";#N/A,#N/A,FALSE,"Tabl. D3";#N/A,#N/A,FALSE,"Tabl. D4";#N/A,#N/A,FALSE,"Tabl. D5"}</definedName>
    <definedName name="wrn.Tableaux._.D." localSheetId="5" hidden="1">{#N/A,#N/A,FALSE,"Tabl. D1";#N/A,#N/A,FALSE,"Tabl. D1 b";#N/A,#N/A,FALSE,"Tabl. D2";#N/A,#N/A,FALSE,"Tabl. D2 b";#N/A,#N/A,FALSE,"Tabl. D3";#N/A,#N/A,FALSE,"Tabl. D4";#N/A,#N/A,FALSE,"Tabl. D5"}</definedName>
    <definedName name="wrn.Tableaux._.D." localSheetId="0" hidden="1">{#N/A,#N/A,FALSE,"Tabl. D1";#N/A,#N/A,FALSE,"Tabl. D1 b";#N/A,#N/A,FALSE,"Tabl. D2";#N/A,#N/A,FALSE,"Tabl. D2 b";#N/A,#N/A,FALSE,"Tabl. D3";#N/A,#N/A,FALSE,"Tabl. D4";#N/A,#N/A,FALSE,"Tabl. D5"}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localSheetId="1" hidden="1">{#N/A,#N/A,FALSE,"Tabl. FB300";#N/A,#N/A,FALSE,"Tabl. FB350";#N/A,#N/A,FALSE,"Tabl. FB400";#N/A,#N/A,FALSE,"Tabl. FB500";#N/A,#N/A,FALSE,"Tabl. FS090"}</definedName>
    <definedName name="wrn.Tableaux._.F." localSheetId="4" hidden="1">{#N/A,#N/A,FALSE,"Tabl. FB300";#N/A,#N/A,FALSE,"Tabl. FB350";#N/A,#N/A,FALSE,"Tabl. FB400";#N/A,#N/A,FALSE,"Tabl. FB500";#N/A,#N/A,FALSE,"Tabl. FS090"}</definedName>
    <definedName name="wrn.Tableaux._.F." localSheetId="5" hidden="1">{#N/A,#N/A,FALSE,"Tabl. FB300";#N/A,#N/A,FALSE,"Tabl. FB350";#N/A,#N/A,FALSE,"Tabl. FB400";#N/A,#N/A,FALSE,"Tabl. FB500";#N/A,#N/A,FALSE,"Tabl. FS090"}</definedName>
    <definedName name="wrn.Tableaux._.F." localSheetId="0" hidden="1">{#N/A,#N/A,FALSE,"Tabl. FB300";#N/A,#N/A,FALSE,"Tabl. FB350";#N/A,#N/A,FALSE,"Tabl. FB400";#N/A,#N/A,FALSE,"Tabl. FB500";#N/A,#N/A,FALSE,"Tabl. FS090"}</definedName>
    <definedName name="wrn.Tableaux._.F." hidden="1">{#N/A,#N/A,FALSE,"Tabl. FB300";#N/A,#N/A,FALSE,"Tabl. FB350";#N/A,#N/A,FALSE,"Tabl. FB400";#N/A,#N/A,FALSE,"Tabl. FB500";#N/A,#N/A,FALSE,"Tabl. FS090"}</definedName>
    <definedName name="wrn.Tableaux._.G." localSheetId="1" hidden="1">{#N/A,#N/A,FALSE,"Tabl. G1";#N/A,#N/A,FALSE,"Tabl. G2"}</definedName>
    <definedName name="wrn.Tableaux._.G." localSheetId="4" hidden="1">{#N/A,#N/A,FALSE,"Tabl. G1";#N/A,#N/A,FALSE,"Tabl. G2"}</definedName>
    <definedName name="wrn.Tableaux._.G." localSheetId="5" hidden="1">{#N/A,#N/A,FALSE,"Tabl. G1";#N/A,#N/A,FALSE,"Tabl. G2"}</definedName>
    <definedName name="wrn.Tableaux._.G." localSheetId="0" hidden="1">{#N/A,#N/A,FALSE,"Tabl. G1";#N/A,#N/A,FALSE,"Tabl. G2"}</definedName>
    <definedName name="wrn.Tableaux._.G." hidden="1">{#N/A,#N/A,FALSE,"Tabl. G1";#N/A,#N/A,FALSE,"Tabl. G2"}</definedName>
    <definedName name="wrn.Tableaux._.H." localSheetId="1" hidden="1">{#N/A,#N/A,FALSE,"Tabl. H1";#N/A,#N/A,FALSE,"Tabl. H2"}</definedName>
    <definedName name="wrn.Tableaux._.H." localSheetId="4" hidden="1">{#N/A,#N/A,FALSE,"Tabl. H1";#N/A,#N/A,FALSE,"Tabl. H2"}</definedName>
    <definedName name="wrn.Tableaux._.H." localSheetId="5" hidden="1">{#N/A,#N/A,FALSE,"Tabl. H1";#N/A,#N/A,FALSE,"Tabl. H2"}</definedName>
    <definedName name="wrn.Tableaux._.H." localSheetId="0" hidden="1">{#N/A,#N/A,FALSE,"Tabl. H1";#N/A,#N/A,FALSE,"Tabl. H2"}</definedName>
    <definedName name="wrn.Tableaux._.H." hidden="1">{#N/A,#N/A,FALSE,"Tabl. H1";#N/A,#N/A,FALSE,"Tabl. H2"}</definedName>
    <definedName name="wrn.temp." localSheetId="1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." localSheetId="4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." localSheetId="5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." localSheetId="0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.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O." localSheetId="1" hidden="1">{#N/A,#N/A,FALSE,"Par.Conj.";#N/A,#N/A,FALSE,"Prod.Fis";#N/A,#N/A,FALSE,"Est.Físico";#N/A,#N/A,FALSE,"Mix";#N/A,#N/A,FALSE,"P.Médio";#N/A,#N/A,FALSE,"Rec.Bruta"}</definedName>
    <definedName name="wrn.TEMPO." localSheetId="4" hidden="1">{#N/A,#N/A,FALSE,"Par.Conj.";#N/A,#N/A,FALSE,"Prod.Fis";#N/A,#N/A,FALSE,"Est.Físico";#N/A,#N/A,FALSE,"Mix";#N/A,#N/A,FALSE,"P.Médio";#N/A,#N/A,FALSE,"Rec.Bruta"}</definedName>
    <definedName name="wrn.TEMPO." localSheetId="5" hidden="1">{#N/A,#N/A,FALSE,"Par.Conj.";#N/A,#N/A,FALSE,"Prod.Fis";#N/A,#N/A,FALSE,"Est.Físico";#N/A,#N/A,FALSE,"Mix";#N/A,#N/A,FALSE,"P.Médio";#N/A,#N/A,FALSE,"Rec.Bruta"}</definedName>
    <definedName name="wrn.TEMPO." localSheetId="0" hidden="1">{#N/A,#N/A,FALSE,"Par.Conj.";#N/A,#N/A,FALSE,"Prod.Fis";#N/A,#N/A,FALSE,"Est.Físico";#N/A,#N/A,FALSE,"Mix";#N/A,#N/A,FALSE,"P.Médio";#N/A,#N/A,FALSE,"Rec.Bruta"}</definedName>
    <definedName name="wrn.TEMPO." hidden="1">{#N/A,#N/A,FALSE,"Par.Conj.";#N/A,#N/A,FALSE,"Prod.Fis";#N/A,#N/A,FALSE,"Est.Físico";#N/A,#N/A,FALSE,"Mix";#N/A,#N/A,FALSE,"P.Médio";#N/A,#N/A,FALSE,"Rec.Bruta"}</definedName>
    <definedName name="wrn.Timberland." localSheetId="1" hidden="1">{#N/A,#N/A,FALSE,"TIMBERLAND 33";#N/A,#N/A,FALSE,"TIMBERLAND Mês e Acum 34";#N/A,#N/A,FALSE,"TIMBERLAND Acum 35"}</definedName>
    <definedName name="wrn.Timberland." localSheetId="4" hidden="1">{#N/A,#N/A,FALSE,"TIMBERLAND 33";#N/A,#N/A,FALSE,"TIMBERLAND Mês e Acum 34";#N/A,#N/A,FALSE,"TIMBERLAND Acum 35"}</definedName>
    <definedName name="wrn.Timberland." localSheetId="5" hidden="1">{#N/A,#N/A,FALSE,"TIMBERLAND 33";#N/A,#N/A,FALSE,"TIMBERLAND Mês e Acum 34";#N/A,#N/A,FALSE,"TIMBERLAND Acum 35"}</definedName>
    <definedName name="wrn.Timberland." localSheetId="0" hidden="1">{#N/A,#N/A,FALSE,"TIMBERLAND 33";#N/A,#N/A,FALSE,"TIMBERLAND Mês e Acum 34";#N/A,#N/A,FALSE,"TIMBERLAND Acum 35"}</definedName>
    <definedName name="wrn.Timberland." hidden="1">{#N/A,#N/A,FALSE,"TIMBERLAND 33";#N/A,#N/A,FALSE,"TIMBERLAND Mês e Acum 34";#N/A,#N/A,FALSE,"TIMBERLAND Acum 35"}</definedName>
    <definedName name="wrn.Usinor.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5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ww" localSheetId="1" hidden="1">{#N/A,#N/A,FALSE,"Tabl. FB300";#N/A,#N/A,FALSE,"Tabl. FB350";#N/A,#N/A,FALSE,"Tabl. FB400";#N/A,#N/A,FALSE,"Tabl. FB500";#N/A,#N/A,FALSE,"Tabl. FS090"}</definedName>
    <definedName name="www" localSheetId="4" hidden="1">{#N/A,#N/A,FALSE,"Tabl. FB300";#N/A,#N/A,FALSE,"Tabl. FB350";#N/A,#N/A,FALSE,"Tabl. FB400";#N/A,#N/A,FALSE,"Tabl. FB500";#N/A,#N/A,FALSE,"Tabl. FS090"}</definedName>
    <definedName name="www" localSheetId="5" hidden="1">{#N/A,#N/A,FALSE,"Tabl. FB300";#N/A,#N/A,FALSE,"Tabl. FB350";#N/A,#N/A,FALSE,"Tabl. FB400";#N/A,#N/A,FALSE,"Tabl. FB500";#N/A,#N/A,FALSE,"Tabl. FS090"}</definedName>
    <definedName name="www" localSheetId="0" hidden="1">{#N/A,#N/A,FALSE,"Tabl. FB300";#N/A,#N/A,FALSE,"Tabl. FB350";#N/A,#N/A,FALSE,"Tabl. FB400";#N/A,#N/A,FALSE,"Tabl. FB500";#N/A,#N/A,FALSE,"Tabl. FS090"}</definedName>
    <definedName name="www" hidden="1">{#N/A,#N/A,FALSE,"Tabl. FB300";#N/A,#N/A,FALSE,"Tabl. FB350";#N/A,#N/A,FALSE,"Tabl. FB400";#N/A,#N/A,FALSE,"Tabl. FB500";#N/A,#N/A,FALSE,"Tabl. FS090"}</definedName>
    <definedName name="wwwww" localSheetId="1" hidden="1">{#N/A,#N/A,FALSE,"Tabl. G1";#N/A,#N/A,FALSE,"Tabl. G2"}</definedName>
    <definedName name="wwwww" localSheetId="4" hidden="1">{#N/A,#N/A,FALSE,"Tabl. G1";#N/A,#N/A,FALSE,"Tabl. G2"}</definedName>
    <definedName name="wwwww" localSheetId="5" hidden="1">{#N/A,#N/A,FALSE,"Tabl. G1";#N/A,#N/A,FALSE,"Tabl. G2"}</definedName>
    <definedName name="wwwww" localSheetId="0" hidden="1">{#N/A,#N/A,FALSE,"Tabl. G1";#N/A,#N/A,FALSE,"Tabl. G2"}</definedName>
    <definedName name="wwwww" hidden="1">{#N/A,#N/A,FALSE,"Tabl. G1";#N/A,#N/A,FALSE,"Tabl. G2"}</definedName>
    <definedName name="x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" localSheetId="5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xx" localSheetId="1" hidden="1">{#N/A,#N/A,FALSE,"Tabl. G1";#N/A,#N/A,FALSE,"Tabl. G2"}</definedName>
    <definedName name="xxx" localSheetId="4" hidden="1">{#N/A,#N/A,FALSE,"Tabl. G1";#N/A,#N/A,FALSE,"Tabl. G2"}</definedName>
    <definedName name="xxx" localSheetId="5" hidden="1">{#N/A,#N/A,FALSE,"Tabl. G1";#N/A,#N/A,FALSE,"Tabl. G2"}</definedName>
    <definedName name="xxx" localSheetId="0" hidden="1">{#N/A,#N/A,FALSE,"Tabl. G1";#N/A,#N/A,FALSE,"Tabl. G2"}</definedName>
    <definedName name="xxx" hidden="1">{#N/A,#N/A,FALSE,"Tabl. G1";#N/A,#N/A,FALSE,"Tabl. G2"}</definedName>
    <definedName name="xxxx" localSheetId="1" hidden="1">{#N/A,#N/A,FALSE,"Tabl. D1";#N/A,#N/A,FALSE,"Tabl. D1 b";#N/A,#N/A,FALSE,"Tabl. D2";#N/A,#N/A,FALSE,"Tabl. D2 b";#N/A,#N/A,FALSE,"Tabl. D3";#N/A,#N/A,FALSE,"Tabl. D4";#N/A,#N/A,FALSE,"Tabl. D5"}</definedName>
    <definedName name="xxxx" localSheetId="4" hidden="1">{#N/A,#N/A,FALSE,"Tabl. D1";#N/A,#N/A,FALSE,"Tabl. D1 b";#N/A,#N/A,FALSE,"Tabl. D2";#N/A,#N/A,FALSE,"Tabl. D2 b";#N/A,#N/A,FALSE,"Tabl. D3";#N/A,#N/A,FALSE,"Tabl. D4";#N/A,#N/A,FALSE,"Tabl. D5"}</definedName>
    <definedName name="xxxx" localSheetId="5" hidden="1">{#N/A,#N/A,FALSE,"Tabl. D1";#N/A,#N/A,FALSE,"Tabl. D1 b";#N/A,#N/A,FALSE,"Tabl. D2";#N/A,#N/A,FALSE,"Tabl. D2 b";#N/A,#N/A,FALSE,"Tabl. D3";#N/A,#N/A,FALSE,"Tabl. D4";#N/A,#N/A,FALSE,"Tabl. D5"}</definedName>
    <definedName name="xxxx" localSheetId="0" hidden="1">{#N/A,#N/A,FALSE,"Tabl. D1";#N/A,#N/A,FALSE,"Tabl. D1 b";#N/A,#N/A,FALSE,"Tabl. D2";#N/A,#N/A,FALSE,"Tabl. D2 b";#N/A,#N/A,FALSE,"Tabl. D3";#N/A,#N/A,FALSE,"Tabl. D4";#N/A,#N/A,FALSE,"Tabl. D5"}</definedName>
    <definedName name="xxxx" hidden="1">{#N/A,#N/A,FALSE,"Tabl. D1";#N/A,#N/A,FALSE,"Tabl. D1 b";#N/A,#N/A,FALSE,"Tabl. D2";#N/A,#N/A,FALSE,"Tabl. D2 b";#N/A,#N/A,FALSE,"Tabl. D3";#N/A,#N/A,FALSE,"Tabl. D4";#N/A,#N/A,FALSE,"Tabl. D5"}</definedName>
    <definedName name="yyy" localSheetId="1" hidden="1">{#N/A,#N/A,FALSE,"Tabl. G1";#N/A,#N/A,FALSE,"Tabl. G2"}</definedName>
    <definedName name="yyy" localSheetId="4" hidden="1">{#N/A,#N/A,FALSE,"Tabl. G1";#N/A,#N/A,FALSE,"Tabl. G2"}</definedName>
    <definedName name="yyy" localSheetId="5" hidden="1">{#N/A,#N/A,FALSE,"Tabl. G1";#N/A,#N/A,FALSE,"Tabl. G2"}</definedName>
    <definedName name="yyy" localSheetId="0" hidden="1">{#N/A,#N/A,FALSE,"Tabl. G1";#N/A,#N/A,FALSE,"Tabl. G2"}</definedName>
    <definedName name="yyy" hidden="1">{#N/A,#N/A,FALSE,"Tabl. G1";#N/A,#N/A,FALSE,"Tabl. G2"}</definedName>
    <definedName name="yyyyy" localSheetId="1" hidden="1">{#N/A,#N/A,FALSE,"Tabl. D1";#N/A,#N/A,FALSE,"Tabl. D1 b";#N/A,#N/A,FALSE,"Tabl. D2";#N/A,#N/A,FALSE,"Tabl. D2 b";#N/A,#N/A,FALSE,"Tabl. D3";#N/A,#N/A,FALSE,"Tabl. D4";#N/A,#N/A,FALSE,"Tabl. D5"}</definedName>
    <definedName name="yyyyy" localSheetId="4" hidden="1">{#N/A,#N/A,FALSE,"Tabl. D1";#N/A,#N/A,FALSE,"Tabl. D1 b";#N/A,#N/A,FALSE,"Tabl. D2";#N/A,#N/A,FALSE,"Tabl. D2 b";#N/A,#N/A,FALSE,"Tabl. D3";#N/A,#N/A,FALSE,"Tabl. D4";#N/A,#N/A,FALSE,"Tabl. D5"}</definedName>
    <definedName name="yyyyy" localSheetId="5" hidden="1">{#N/A,#N/A,FALSE,"Tabl. D1";#N/A,#N/A,FALSE,"Tabl. D1 b";#N/A,#N/A,FALSE,"Tabl. D2";#N/A,#N/A,FALSE,"Tabl. D2 b";#N/A,#N/A,FALSE,"Tabl. D3";#N/A,#N/A,FALSE,"Tabl. D4";#N/A,#N/A,FALSE,"Tabl. D5"}</definedName>
    <definedName name="yyyyy" localSheetId="0" hidden="1">{#N/A,#N/A,FALSE,"Tabl. D1";#N/A,#N/A,FALSE,"Tabl. D1 b";#N/A,#N/A,FALSE,"Tabl. D2";#N/A,#N/A,FALSE,"Tabl. D2 b";#N/A,#N/A,FALSE,"Tabl. D3";#N/A,#N/A,FALSE,"Tabl. D4";#N/A,#N/A,FALSE,"Tabl. D5"}</definedName>
    <definedName name="yyyyy" hidden="1">{#N/A,#N/A,FALSE,"Tabl. D1";#N/A,#N/A,FALSE,"Tabl. D1 b";#N/A,#N/A,FALSE,"Tabl. D2";#N/A,#N/A,FALSE,"Tabl. D2 b";#N/A,#N/A,FALSE,"Tabl. D3";#N/A,#N/A,FALSE,"Tabl. D4";#N/A,#N/A,FALSE,"Tabl. D5"}</definedName>
    <definedName name="zzz" localSheetId="1" hidden="1">{#N/A,#N/A,FALSE,"Tabl. G1";#N/A,#N/A,FALSE,"Tabl. G2"}</definedName>
    <definedName name="zzz" localSheetId="4" hidden="1">{#N/A,#N/A,FALSE,"Tabl. G1";#N/A,#N/A,FALSE,"Tabl. G2"}</definedName>
    <definedName name="zzz" localSheetId="5" hidden="1">{#N/A,#N/A,FALSE,"Tabl. G1";#N/A,#N/A,FALSE,"Tabl. G2"}</definedName>
    <definedName name="zzz" localSheetId="0" hidden="1">{#N/A,#N/A,FALSE,"Tabl. G1";#N/A,#N/A,FALSE,"Tabl. G2"}</definedName>
    <definedName name="zzz" hidden="1">{#N/A,#N/A,FALSE,"Tabl. G1";#N/A,#N/A,FALSE,"Tabl. G2"}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0" l="1"/>
  <c r="AD17" i="30"/>
  <c r="AC17" i="30"/>
  <c r="X17" i="30"/>
  <c r="W17" i="30"/>
  <c r="R17" i="30"/>
  <c r="Q17" i="30"/>
  <c r="L17" i="30"/>
  <c r="K17" i="30"/>
  <c r="F17" i="30"/>
  <c r="E17" i="30"/>
  <c r="E153" i="45"/>
  <c r="B143" i="45"/>
  <c r="B144" i="45"/>
  <c r="B145" i="45"/>
  <c r="B146" i="45"/>
  <c r="B147" i="45"/>
  <c r="B148" i="45"/>
  <c r="B149" i="45"/>
  <c r="B150" i="45"/>
  <c r="B151" i="45"/>
  <c r="B152" i="45"/>
  <c r="B142" i="45"/>
  <c r="B141" i="45"/>
  <c r="C153" i="45" s="1"/>
  <c r="E152" i="45"/>
  <c r="D152" i="45"/>
  <c r="E151" i="45"/>
  <c r="D151" i="45"/>
  <c r="E150" i="45"/>
  <c r="D150" i="45"/>
  <c r="E149" i="45"/>
  <c r="D149" i="45"/>
  <c r="E148" i="45"/>
  <c r="D148" i="45"/>
  <c r="E147" i="45"/>
  <c r="D147" i="45"/>
  <c r="E146" i="45"/>
  <c r="D146" i="45"/>
  <c r="E145" i="45"/>
  <c r="D145" i="45"/>
  <c r="E144" i="45"/>
  <c r="D144" i="45"/>
  <c r="E143" i="45"/>
  <c r="D143" i="45"/>
  <c r="E142" i="45"/>
  <c r="D142" i="45"/>
  <c r="E141" i="45"/>
  <c r="D141" i="45"/>
  <c r="E138" i="45"/>
  <c r="E137" i="45"/>
  <c r="D137" i="45"/>
  <c r="E136" i="45"/>
  <c r="D136" i="45"/>
  <c r="E135" i="45"/>
  <c r="D135" i="45"/>
  <c r="E134" i="45"/>
  <c r="D134" i="45"/>
  <c r="E133" i="45"/>
  <c r="D133" i="45"/>
  <c r="E132" i="45"/>
  <c r="D132" i="45"/>
  <c r="E131" i="45"/>
  <c r="D131" i="45"/>
  <c r="E130" i="45"/>
  <c r="D130" i="45"/>
  <c r="E129" i="45"/>
  <c r="D129" i="45"/>
  <c r="E128" i="45"/>
  <c r="D128" i="45"/>
  <c r="E127" i="45"/>
  <c r="D127" i="45"/>
  <c r="E126" i="45"/>
  <c r="D126" i="45"/>
  <c r="B128" i="45"/>
  <c r="B129" i="45"/>
  <c r="B130" i="45"/>
  <c r="B131" i="45"/>
  <c r="B132" i="45"/>
  <c r="B133" i="45"/>
  <c r="B134" i="45"/>
  <c r="B135" i="45"/>
  <c r="B136" i="45"/>
  <c r="B137" i="45"/>
  <c r="B127" i="45"/>
  <c r="B126" i="45"/>
  <c r="C138" i="45" s="1"/>
  <c r="C123" i="45"/>
  <c r="E123" i="45"/>
  <c r="E122" i="45"/>
  <c r="D122" i="45"/>
  <c r="E121" i="45"/>
  <c r="D121" i="45"/>
  <c r="E120" i="45"/>
  <c r="D120" i="45"/>
  <c r="E119" i="45"/>
  <c r="D119" i="45"/>
  <c r="E118" i="45"/>
  <c r="D118" i="45"/>
  <c r="E117" i="45"/>
  <c r="D117" i="45"/>
  <c r="E116" i="45"/>
  <c r="D116" i="45"/>
  <c r="E115" i="45"/>
  <c r="D115" i="45"/>
  <c r="E114" i="45"/>
  <c r="D114" i="45"/>
  <c r="E113" i="45"/>
  <c r="D113" i="45"/>
  <c r="E112" i="45"/>
  <c r="D112" i="45"/>
  <c r="E111" i="45"/>
  <c r="D111" i="45"/>
  <c r="B113" i="45"/>
  <c r="B114" i="45"/>
  <c r="B115" i="45"/>
  <c r="B116" i="45"/>
  <c r="B117" i="45"/>
  <c r="B118" i="45"/>
  <c r="B119" i="45"/>
  <c r="B120" i="45"/>
  <c r="B121" i="45"/>
  <c r="B122" i="45"/>
  <c r="B112" i="45"/>
  <c r="B111" i="45"/>
  <c r="E107" i="45"/>
  <c r="D107" i="45"/>
  <c r="E106" i="45"/>
  <c r="D106" i="45"/>
  <c r="E105" i="45"/>
  <c r="D105" i="45"/>
  <c r="E104" i="45"/>
  <c r="D104" i="45"/>
  <c r="E103" i="45"/>
  <c r="D103" i="45"/>
  <c r="E102" i="45"/>
  <c r="D102" i="45"/>
  <c r="E101" i="45"/>
  <c r="D101" i="45"/>
  <c r="E100" i="45"/>
  <c r="D100" i="45"/>
  <c r="E99" i="45"/>
  <c r="D99" i="45"/>
  <c r="E98" i="45"/>
  <c r="D98" i="45"/>
  <c r="E97" i="45"/>
  <c r="D97" i="45"/>
  <c r="E96" i="45"/>
  <c r="D96" i="45"/>
  <c r="E108" i="45"/>
  <c r="B98" i="45"/>
  <c r="B99" i="45"/>
  <c r="B100" i="45"/>
  <c r="B101" i="45"/>
  <c r="B102" i="45"/>
  <c r="B103" i="45"/>
  <c r="B104" i="45"/>
  <c r="B105" i="45"/>
  <c r="B106" i="45"/>
  <c r="B107" i="45"/>
  <c r="B97" i="45"/>
  <c r="B96" i="45"/>
  <c r="C108" i="45" s="1"/>
  <c r="BM29" i="32"/>
  <c r="BH29" i="32"/>
  <c r="BC29" i="32"/>
  <c r="AX29" i="32"/>
  <c r="BA29" i="32" s="1" a="1"/>
  <c r="BA29" i="32" s="1"/>
  <c r="AS29" i="32"/>
  <c r="AN29" i="32"/>
  <c r="AI29" i="32"/>
  <c r="AD29" i="32"/>
  <c r="AG29" i="32" s="1" a="1"/>
  <c r="AG29" i="32" s="1"/>
  <c r="Y29" i="32"/>
  <c r="T29" i="32"/>
  <c r="O29" i="32"/>
  <c r="O31" i="32"/>
  <c r="T31" i="32"/>
  <c r="Y31" i="32"/>
  <c r="AD31" i="32"/>
  <c r="AI31" i="32"/>
  <c r="AN31" i="32"/>
  <c r="AS31" i="32"/>
  <c r="AX31" i="32"/>
  <c r="BC31" i="32"/>
  <c r="BH31" i="32"/>
  <c r="BM31" i="32"/>
  <c r="BM33" i="32"/>
  <c r="BH33" i="32"/>
  <c r="BC33" i="32"/>
  <c r="AX33" i="32"/>
  <c r="BA33" i="32" s="1" a="1"/>
  <c r="BA33" i="32" s="1"/>
  <c r="AS33" i="32"/>
  <c r="AN33" i="32"/>
  <c r="AI33" i="32"/>
  <c r="AD33" i="32"/>
  <c r="AF33" i="32" s="1"/>
  <c r="Y33" i="32"/>
  <c r="T33" i="32"/>
  <c r="O33" i="32"/>
  <c r="BM27" i="32"/>
  <c r="BH27" i="32"/>
  <c r="BC27" i="32"/>
  <c r="AX27" i="32"/>
  <c r="BA27" i="32" s="1" a="1"/>
  <c r="BA27" i="32" s="1"/>
  <c r="AS27" i="32"/>
  <c r="AN27" i="32"/>
  <c r="AI27" i="32"/>
  <c r="AD27" i="32"/>
  <c r="AG27" i="32" s="1" a="1"/>
  <c r="AG27" i="32" s="1"/>
  <c r="Y27" i="32"/>
  <c r="T27" i="32"/>
  <c r="O27" i="32"/>
  <c r="BS33" i="32"/>
  <c r="BP33" i="32" a="1"/>
  <c r="BP33" i="32" s="1"/>
  <c r="BO33" i="32"/>
  <c r="BK33" i="32" a="1"/>
  <c r="BK33" i="32" s="1"/>
  <c r="BJ33" i="32"/>
  <c r="BF33" i="32" a="1"/>
  <c r="BF33" i="32" s="1"/>
  <c r="BE33" i="32"/>
  <c r="AV33" i="32" a="1"/>
  <c r="AV33" i="32" s="1"/>
  <c r="AU33" i="32"/>
  <c r="AQ33" i="32" a="1"/>
  <c r="AQ33" i="32" s="1"/>
  <c r="AP33" i="32"/>
  <c r="AL33" i="32" a="1"/>
  <c r="AL33" i="32" s="1"/>
  <c r="AK33" i="32"/>
  <c r="AG33" i="32" a="1"/>
  <c r="AG33" i="32" s="1"/>
  <c r="AB33" i="32" a="1"/>
  <c r="AB33" i="32" s="1"/>
  <c r="AA33" i="32"/>
  <c r="W33" i="32" a="1"/>
  <c r="W33" i="32" s="1"/>
  <c r="V33" i="32"/>
  <c r="R33" i="32" a="1"/>
  <c r="R33" i="32" s="1"/>
  <c r="Q33" i="32"/>
  <c r="BR33" i="32"/>
  <c r="BT33" i="32" s="1"/>
  <c r="M33" i="32" a="1"/>
  <c r="M33" i="32" s="1"/>
  <c r="L33" i="32"/>
  <c r="BS31" i="32"/>
  <c r="BP31" i="32" a="1"/>
  <c r="BP31" i="32" s="1"/>
  <c r="BO31" i="32"/>
  <c r="BK31" i="32" a="1"/>
  <c r="BK31" i="32" s="1"/>
  <c r="BJ31" i="32"/>
  <c r="BF31" i="32" a="1"/>
  <c r="BF31" i="32" s="1"/>
  <c r="BE31" i="32"/>
  <c r="BA31" i="32" a="1"/>
  <c r="BA31" i="32" s="1"/>
  <c r="AZ31" i="32"/>
  <c r="AV31" i="32" a="1"/>
  <c r="AV31" i="32" s="1"/>
  <c r="AU31" i="32"/>
  <c r="AQ31" i="32" a="1"/>
  <c r="AQ31" i="32" s="1"/>
  <c r="AP31" i="32"/>
  <c r="AL31" i="32" a="1"/>
  <c r="AL31" i="32" s="1"/>
  <c r="AK31" i="32"/>
  <c r="AG31" i="32" a="1"/>
  <c r="AG31" i="32" s="1"/>
  <c r="AF31" i="32"/>
  <c r="AB31" i="32" a="1"/>
  <c r="AB31" i="32" s="1"/>
  <c r="AA31" i="32"/>
  <c r="W31" i="32" a="1"/>
  <c r="W31" i="32" s="1"/>
  <c r="V31" i="32"/>
  <c r="R31" i="32" a="1"/>
  <c r="R31" i="32" s="1"/>
  <c r="Q31" i="32"/>
  <c r="BR31" i="32"/>
  <c r="M31" i="32" a="1"/>
  <c r="M31" i="32" s="1"/>
  <c r="L31" i="32"/>
  <c r="BS29" i="32"/>
  <c r="BP29" i="32" a="1"/>
  <c r="BP29" i="32" s="1"/>
  <c r="BO29" i="32"/>
  <c r="BK29" i="32" a="1"/>
  <c r="BK29" i="32" s="1"/>
  <c r="BJ29" i="32"/>
  <c r="BF29" i="32" a="1"/>
  <c r="BF29" i="32" s="1"/>
  <c r="BE29" i="32"/>
  <c r="AV29" i="32" a="1"/>
  <c r="AV29" i="32" s="1"/>
  <c r="AU29" i="32"/>
  <c r="AQ29" i="32" a="1"/>
  <c r="AQ29" i="32" s="1"/>
  <c r="AP29" i="32"/>
  <c r="AL29" i="32" a="1"/>
  <c r="AL29" i="32" s="1"/>
  <c r="AK29" i="32"/>
  <c r="AB29" i="32" a="1"/>
  <c r="AB29" i="32" s="1"/>
  <c r="AA29" i="32"/>
  <c r="W29" i="32" a="1"/>
  <c r="W29" i="32" s="1"/>
  <c r="V29" i="32"/>
  <c r="R29" i="32" a="1"/>
  <c r="R29" i="32" s="1"/>
  <c r="Q29" i="32"/>
  <c r="M29" i="32" a="1"/>
  <c r="M29" i="32" s="1"/>
  <c r="L29" i="32"/>
  <c r="BS27" i="32"/>
  <c r="BP27" i="32" a="1"/>
  <c r="BP27" i="32" s="1"/>
  <c r="BO27" i="32"/>
  <c r="BK27" i="32" a="1"/>
  <c r="BK27" i="32" s="1"/>
  <c r="BJ27" i="32"/>
  <c r="BF27" i="32" a="1"/>
  <c r="BF27" i="32" s="1"/>
  <c r="BE27" i="32"/>
  <c r="AZ27" i="32"/>
  <c r="AV27" i="32" a="1"/>
  <c r="AV27" i="32" s="1"/>
  <c r="AU27" i="32"/>
  <c r="AQ27" i="32" a="1"/>
  <c r="AQ27" i="32" s="1"/>
  <c r="AP27" i="32"/>
  <c r="AL27" i="32" a="1"/>
  <c r="AL27" i="32" s="1"/>
  <c r="AK27" i="32"/>
  <c r="AF27" i="32"/>
  <c r="AB27" i="32" a="1"/>
  <c r="AB27" i="32" s="1"/>
  <c r="AA27" i="32"/>
  <c r="W27" i="32" a="1"/>
  <c r="W27" i="32" s="1"/>
  <c r="V27" i="32"/>
  <c r="R27" i="32" a="1"/>
  <c r="R27" i="32" s="1"/>
  <c r="Q27" i="32"/>
  <c r="M27" i="32" a="1"/>
  <c r="M27" i="32" s="1"/>
  <c r="L27" i="32"/>
  <c r="E92" i="45"/>
  <c r="E91" i="45"/>
  <c r="E90" i="45"/>
  <c r="E89" i="45"/>
  <c r="E88" i="45"/>
  <c r="E87" i="45"/>
  <c r="E86" i="45"/>
  <c r="E85" i="45"/>
  <c r="E84" i="45"/>
  <c r="E83" i="45"/>
  <c r="E82" i="45"/>
  <c r="E81" i="45"/>
  <c r="D81" i="45"/>
  <c r="E93" i="45"/>
  <c r="B89" i="45"/>
  <c r="B82" i="45"/>
  <c r="B81" i="45"/>
  <c r="B86" i="45" s="1"/>
  <c r="BM25" i="32"/>
  <c r="BO25" i="32" s="1"/>
  <c r="BH25" i="32"/>
  <c r="BJ25" i="32" s="1"/>
  <c r="BC25" i="32"/>
  <c r="BE25" i="32" s="1"/>
  <c r="AX25" i="32"/>
  <c r="BA25" i="32" s="1" a="1"/>
  <c r="BA25" i="32" s="1"/>
  <c r="AS25" i="32"/>
  <c r="AU25" i="32" s="1"/>
  <c r="AN25" i="32"/>
  <c r="D87" i="45" s="1"/>
  <c r="AI25" i="32"/>
  <c r="AL25" i="32" s="1" a="1"/>
  <c r="AL25" i="32" s="1"/>
  <c r="AD25" i="32"/>
  <c r="AG25" i="32" s="1" a="1"/>
  <c r="AG25" i="32" s="1"/>
  <c r="Y25" i="32"/>
  <c r="AA25" i="32" s="1"/>
  <c r="T25" i="32"/>
  <c r="D83" i="45" s="1"/>
  <c r="O25" i="32"/>
  <c r="Q25" i="32" s="1"/>
  <c r="BS25" i="32"/>
  <c r="BP25" i="32" a="1"/>
  <c r="BP25" i="32" s="1"/>
  <c r="BK25" i="32" a="1"/>
  <c r="BK25" i="32" s="1"/>
  <c r="AQ25" i="32" a="1"/>
  <c r="AQ25" i="32" s="1"/>
  <c r="W25" i="32" a="1"/>
  <c r="W25" i="32" s="1"/>
  <c r="M25" i="32" a="1"/>
  <c r="M25" i="32" s="1"/>
  <c r="M10" i="32" a="1"/>
  <c r="M10" i="32" s="1"/>
  <c r="L25" i="32"/>
  <c r="E31" i="45"/>
  <c r="BH7" i="32"/>
  <c r="BJ7" i="32" s="1"/>
  <c r="BC7" i="32"/>
  <c r="BE7" i="32"/>
  <c r="T7" i="32"/>
  <c r="L7" i="32"/>
  <c r="I2" i="45"/>
  <c r="E46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D66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D51" i="45"/>
  <c r="E36" i="45"/>
  <c r="E37" i="45"/>
  <c r="E38" i="45"/>
  <c r="E39" i="45"/>
  <c r="E40" i="45"/>
  <c r="E41" i="45"/>
  <c r="E42" i="45"/>
  <c r="E43" i="45"/>
  <c r="E44" i="45"/>
  <c r="E45" i="45"/>
  <c r="E47" i="45"/>
  <c r="D36" i="45"/>
  <c r="E21" i="45"/>
  <c r="E22" i="45"/>
  <c r="E23" i="45"/>
  <c r="E24" i="45"/>
  <c r="E25" i="45"/>
  <c r="E26" i="45"/>
  <c r="E27" i="45"/>
  <c r="E28" i="45"/>
  <c r="E29" i="45"/>
  <c r="E30" i="45"/>
  <c r="E32" i="45"/>
  <c r="D21" i="45"/>
  <c r="E78" i="45"/>
  <c r="E63" i="45"/>
  <c r="E33" i="45"/>
  <c r="E48" i="45"/>
  <c r="E18" i="45"/>
  <c r="E6" i="45"/>
  <c r="E7" i="45"/>
  <c r="E8" i="45"/>
  <c r="E9" i="45"/>
  <c r="E10" i="45"/>
  <c r="E11" i="45"/>
  <c r="E12" i="45"/>
  <c r="E13" i="45"/>
  <c r="E14" i="45"/>
  <c r="E15" i="45"/>
  <c r="E16" i="45"/>
  <c r="E17" i="45"/>
  <c r="D6" i="45"/>
  <c r="B66" i="45"/>
  <c r="B68" i="45" s="1"/>
  <c r="B51" i="45"/>
  <c r="B54" i="45" s="1"/>
  <c r="B36" i="45"/>
  <c r="B40" i="45" s="1"/>
  <c r="B21" i="45"/>
  <c r="B26" i="45" s="1"/>
  <c r="B6" i="45"/>
  <c r="B8" i="45" s="1"/>
  <c r="AF29" i="32" l="1"/>
  <c r="AZ29" i="32"/>
  <c r="BR29" i="32"/>
  <c r="BT29" i="32" s="1"/>
  <c r="AZ33" i="32"/>
  <c r="BR27" i="32"/>
  <c r="BU33" i="32" a="1"/>
  <c r="BU33" i="32" s="1"/>
  <c r="BU31" i="32" a="1"/>
  <c r="BU31" i="32" s="1"/>
  <c r="BT31" i="32"/>
  <c r="BU27" i="32" a="1"/>
  <c r="BU27" i="32" s="1"/>
  <c r="BT27" i="32"/>
  <c r="V25" i="32"/>
  <c r="B85" i="45"/>
  <c r="D85" i="45"/>
  <c r="D89" i="45"/>
  <c r="AP25" i="32"/>
  <c r="B92" i="45"/>
  <c r="B88" i="45"/>
  <c r="B84" i="45"/>
  <c r="D82" i="45"/>
  <c r="D86" i="45"/>
  <c r="D90" i="45"/>
  <c r="C93" i="45"/>
  <c r="B91" i="45"/>
  <c r="B87" i="45"/>
  <c r="B83" i="45"/>
  <c r="D91" i="45"/>
  <c r="B90" i="45"/>
  <c r="D84" i="45"/>
  <c r="D88" i="45"/>
  <c r="D92" i="45"/>
  <c r="AZ25" i="32"/>
  <c r="AF25" i="32"/>
  <c r="AK25" i="32"/>
  <c r="AV25" i="32" a="1"/>
  <c r="AV25" i="32" s="1"/>
  <c r="BR25" i="32"/>
  <c r="AB25" i="32" a="1"/>
  <c r="AB25" i="32" s="1"/>
  <c r="R25" i="32" a="1"/>
  <c r="R25" i="32" s="1"/>
  <c r="BF25" i="32" a="1"/>
  <c r="BF25" i="32" s="1"/>
  <c r="BU25" i="32" a="1"/>
  <c r="BU25" i="32" s="1"/>
  <c r="BT25" i="32"/>
  <c r="C48" i="45"/>
  <c r="C18" i="45"/>
  <c r="C33" i="45"/>
  <c r="C63" i="45"/>
  <c r="C78" i="45"/>
  <c r="B14" i="45"/>
  <c r="B75" i="45"/>
  <c r="B61" i="45"/>
  <c r="B11" i="45"/>
  <c r="B31" i="45"/>
  <c r="B25" i="45"/>
  <c r="B57" i="45"/>
  <c r="B74" i="45"/>
  <c r="B7" i="45"/>
  <c r="B10" i="45"/>
  <c r="B29" i="45"/>
  <c r="B24" i="45"/>
  <c r="B53" i="45"/>
  <c r="B71" i="45"/>
  <c r="B32" i="45"/>
  <c r="B27" i="45"/>
  <c r="B15" i="45"/>
  <c r="B22" i="45"/>
  <c r="B28" i="45"/>
  <c r="B23" i="45"/>
  <c r="B67" i="45"/>
  <c r="B70" i="45"/>
  <c r="B47" i="45"/>
  <c r="B43" i="45"/>
  <c r="B39" i="45"/>
  <c r="B46" i="45"/>
  <c r="B42" i="45"/>
  <c r="B38" i="45"/>
  <c r="B60" i="45"/>
  <c r="B56" i="45"/>
  <c r="B17" i="45"/>
  <c r="B13" i="45"/>
  <c r="B9" i="45"/>
  <c r="B45" i="45"/>
  <c r="B41" i="45"/>
  <c r="B52" i="45"/>
  <c r="B59" i="45"/>
  <c r="B55" i="45"/>
  <c r="B77" i="45"/>
  <c r="B73" i="45"/>
  <c r="B69" i="45"/>
  <c r="B16" i="45"/>
  <c r="B12" i="45"/>
  <c r="B30" i="45"/>
  <c r="B37" i="45"/>
  <c r="B44" i="45"/>
  <c r="B62" i="45"/>
  <c r="B58" i="45"/>
  <c r="B76" i="45"/>
  <c r="B72" i="45"/>
  <c r="BU29" i="32" l="1" a="1"/>
  <c r="BU29" i="32" s="1"/>
  <c r="BS6" i="32"/>
  <c r="BS7" i="32"/>
  <c r="BS8" i="32"/>
  <c r="BS9" i="32"/>
  <c r="BS10" i="32"/>
  <c r="B4" i="44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C2" i="44"/>
  <c r="B4" i="43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C2" i="43"/>
  <c r="B4" i="42"/>
  <c r="B5" i="42" s="1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C2" i="42"/>
  <c r="B4" i="41"/>
  <c r="B5" i="41" s="1"/>
  <c r="B6" i="41" s="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B17" i="41" s="1"/>
  <c r="B18" i="41" s="1"/>
  <c r="B19" i="41" s="1"/>
  <c r="B20" i="41" s="1"/>
  <c r="B21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2" i="41" s="1"/>
  <c r="C2" i="41"/>
  <c r="B4" i="40"/>
  <c r="B5" i="40" s="1"/>
  <c r="B6" i="40" s="1"/>
  <c r="B7" i="40" s="1"/>
  <c r="B8" i="40" s="1"/>
  <c r="B9" i="40" s="1"/>
  <c r="B10" i="40" s="1"/>
  <c r="B11" i="40" s="1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C2" i="40"/>
  <c r="B4" i="39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C2" i="39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C2" i="38"/>
  <c r="B4" i="37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C2" i="37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C2" i="36"/>
  <c r="B4" i="35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C2" i="35"/>
  <c r="G2" i="13"/>
  <c r="D2" i="32"/>
  <c r="M9" i="32" a="1"/>
  <c r="M9" i="32" s="1"/>
  <c r="M8" i="32" a="1"/>
  <c r="M8" i="32" s="1"/>
  <c r="M6" i="32" a="1"/>
  <c r="M6" i="32" s="1"/>
  <c r="M7" i="32" a="1"/>
  <c r="M7" i="32" s="1"/>
  <c r="O10" i="32"/>
  <c r="D67" i="45" s="1"/>
  <c r="BM10" i="32"/>
  <c r="BH10" i="32"/>
  <c r="BC10" i="32"/>
  <c r="AX10" i="32"/>
  <c r="AS10" i="32"/>
  <c r="AN10" i="32"/>
  <c r="AI10" i="32"/>
  <c r="AD10" i="32"/>
  <c r="Y10" i="32"/>
  <c r="T10" i="32"/>
  <c r="L10" i="32"/>
  <c r="L9" i="32"/>
  <c r="L8" i="32"/>
  <c r="L6" i="32"/>
  <c r="O9" i="32"/>
  <c r="D52" i="45" s="1"/>
  <c r="BM9" i="32"/>
  <c r="BH9" i="32"/>
  <c r="BC9" i="32"/>
  <c r="AX9" i="32"/>
  <c r="AS9" i="32"/>
  <c r="AN9" i="32"/>
  <c r="AI9" i="32"/>
  <c r="AD9" i="32"/>
  <c r="Y9" i="32"/>
  <c r="T9" i="32"/>
  <c r="BM8" i="32"/>
  <c r="BH8" i="32"/>
  <c r="BC8" i="32"/>
  <c r="AX8" i="32"/>
  <c r="AS8" i="32"/>
  <c r="AN8" i="32"/>
  <c r="AI8" i="32"/>
  <c r="AD8" i="32"/>
  <c r="Y8" i="32"/>
  <c r="D39" i="45" s="1"/>
  <c r="T8" i="32"/>
  <c r="O8" i="32"/>
  <c r="BM7" i="32"/>
  <c r="AX7" i="32"/>
  <c r="AS7" i="32"/>
  <c r="AN7" i="32"/>
  <c r="AI7" i="32"/>
  <c r="AD7" i="32"/>
  <c r="Y7" i="32"/>
  <c r="O7" i="32"/>
  <c r="BM6" i="32"/>
  <c r="BH6" i="32"/>
  <c r="BC6" i="32"/>
  <c r="AX6" i="32"/>
  <c r="AS6" i="32"/>
  <c r="AN6" i="32"/>
  <c r="AI6" i="32"/>
  <c r="AD6" i="32"/>
  <c r="Y6" i="32"/>
  <c r="T6" i="32"/>
  <c r="D8" i="45" s="1"/>
  <c r="O6" i="32"/>
  <c r="D7" i="45" s="1"/>
  <c r="C2" i="34"/>
  <c r="B4" i="34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C2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D22" i="45" l="1"/>
  <c r="BR7" i="32"/>
  <c r="BU7" i="32" s="1" a="1"/>
  <c r="BU7" i="32" s="1"/>
  <c r="AU9" i="32"/>
  <c r="D58" i="45"/>
  <c r="AB9" i="32" a="1"/>
  <c r="AB9" i="32" s="1"/>
  <c r="D54" i="45"/>
  <c r="AA9" i="32"/>
  <c r="BO9" i="32"/>
  <c r="D62" i="45"/>
  <c r="AF9" i="32"/>
  <c r="D55" i="45"/>
  <c r="BA9" i="32" a="1"/>
  <c r="BA9" i="32" s="1"/>
  <c r="D59" i="45"/>
  <c r="AK9" i="32"/>
  <c r="D56" i="45"/>
  <c r="BE9" i="32"/>
  <c r="D60" i="45"/>
  <c r="V9" i="32"/>
  <c r="D53" i="45"/>
  <c r="AQ9" i="32" a="1"/>
  <c r="AQ9" i="32" s="1"/>
  <c r="D57" i="45"/>
  <c r="BK9" i="32" a="1"/>
  <c r="BK9" i="32" s="1"/>
  <c r="D61" i="45"/>
  <c r="BJ8" i="32"/>
  <c r="D46" i="45"/>
  <c r="W7" i="32" a="1"/>
  <c r="W7" i="32" s="1"/>
  <c r="D23" i="45"/>
  <c r="AL7" i="32" a="1"/>
  <c r="AL7" i="32" s="1"/>
  <c r="D26" i="45"/>
  <c r="BF7" i="32" a="1"/>
  <c r="BF7" i="32" s="1"/>
  <c r="D30" i="45"/>
  <c r="AQ7" i="32" a="1"/>
  <c r="AQ7" i="32" s="1"/>
  <c r="D27" i="45"/>
  <c r="AU7" i="32"/>
  <c r="D28" i="45"/>
  <c r="AK7" i="32"/>
  <c r="BK7" i="32" a="1"/>
  <c r="BK7" i="32" s="1"/>
  <c r="D31" i="45"/>
  <c r="AA7" i="32"/>
  <c r="D24" i="45"/>
  <c r="BO7" i="32"/>
  <c r="D32" i="45"/>
  <c r="AG7" i="32" a="1"/>
  <c r="AG7" i="32" s="1"/>
  <c r="D25" i="45"/>
  <c r="AZ7" i="32"/>
  <c r="D29" i="45"/>
  <c r="AF6" i="32"/>
  <c r="D10" i="45"/>
  <c r="BE6" i="32"/>
  <c r="D15" i="45"/>
  <c r="BA6" i="32" a="1"/>
  <c r="BA6" i="32" s="1"/>
  <c r="D14" i="45"/>
  <c r="AL6" i="32" a="1"/>
  <c r="AL6" i="32" s="1"/>
  <c r="D11" i="45"/>
  <c r="AQ6" i="32" a="1"/>
  <c r="AQ6" i="32" s="1"/>
  <c r="D12" i="45"/>
  <c r="BK6" i="32" a="1"/>
  <c r="BK6" i="32" s="1"/>
  <c r="D16" i="45"/>
  <c r="AB6" i="32" a="1"/>
  <c r="AB6" i="32" s="1"/>
  <c r="D9" i="45"/>
  <c r="AV6" i="32" a="1"/>
  <c r="AV6" i="32" s="1"/>
  <c r="D13" i="45"/>
  <c r="BP6" i="32" a="1"/>
  <c r="BP6" i="32" s="1"/>
  <c r="D17" i="45"/>
  <c r="AA10" i="32"/>
  <c r="D69" i="45"/>
  <c r="AU10" i="32"/>
  <c r="D73" i="45"/>
  <c r="BO10" i="32"/>
  <c r="D77" i="45"/>
  <c r="AF10" i="32"/>
  <c r="D70" i="45"/>
  <c r="AZ10" i="32"/>
  <c r="D74" i="45"/>
  <c r="AL10" i="32" a="1"/>
  <c r="AL10" i="32" s="1"/>
  <c r="D71" i="45"/>
  <c r="BE10" i="32"/>
  <c r="D75" i="45"/>
  <c r="AG10" i="32" a="1"/>
  <c r="AG10" i="32" s="1"/>
  <c r="W10" i="32" a="1"/>
  <c r="W10" i="32" s="1"/>
  <c r="D68" i="45"/>
  <c r="AQ10" i="32" a="1"/>
  <c r="AQ10" i="32" s="1"/>
  <c r="D72" i="45"/>
  <c r="BK10" i="32" a="1"/>
  <c r="BK10" i="32" s="1"/>
  <c r="D76" i="45"/>
  <c r="BA10" i="32" a="1"/>
  <c r="BA10" i="32" s="1"/>
  <c r="R8" i="32" a="1"/>
  <c r="R8" i="32" s="1"/>
  <c r="D37" i="45"/>
  <c r="AK8" i="32"/>
  <c r="D41" i="45"/>
  <c r="BE8" i="32"/>
  <c r="D45" i="45"/>
  <c r="V8" i="32"/>
  <c r="D38" i="45"/>
  <c r="AP8" i="32"/>
  <c r="D42" i="45"/>
  <c r="AV8" i="32" a="1"/>
  <c r="AV8" i="32" s="1"/>
  <c r="D43" i="45"/>
  <c r="BP8" i="32" a="1"/>
  <c r="BP8" i="32" s="1"/>
  <c r="D47" i="45"/>
  <c r="AB8" i="32" a="1"/>
  <c r="AB8" i="32" s="1"/>
  <c r="BK8" i="32" a="1"/>
  <c r="BK8" i="32" s="1"/>
  <c r="AU8" i="32"/>
  <c r="AG8" i="32" a="1"/>
  <c r="AG8" i="32" s="1"/>
  <c r="D40" i="45"/>
  <c r="AZ8" i="32"/>
  <c r="D44" i="45"/>
  <c r="AA8" i="32"/>
  <c r="AQ8" i="32" a="1"/>
  <c r="AQ8" i="32" s="1"/>
  <c r="BJ9" i="32"/>
  <c r="BR9" i="32"/>
  <c r="BU9" i="32" s="1" a="1"/>
  <c r="BU9" i="32" s="1"/>
  <c r="BP9" i="32" a="1"/>
  <c r="BP9" i="32" s="1"/>
  <c r="R9" i="32" a="1"/>
  <c r="R9" i="32" s="1"/>
  <c r="AZ9" i="32"/>
  <c r="BP7" i="32" a="1"/>
  <c r="BP7" i="32" s="1"/>
  <c r="BA7" i="32" a="1"/>
  <c r="BA7" i="32" s="1"/>
  <c r="R7" i="32" a="1"/>
  <c r="R7" i="32" s="1"/>
  <c r="W6" i="32" a="1"/>
  <c r="W6" i="32" s="1"/>
  <c r="Q6" i="32"/>
  <c r="BF6" i="32" a="1"/>
  <c r="BF6" i="32" s="1"/>
  <c r="BP10" i="32" a="1"/>
  <c r="BP10" i="32" s="1"/>
  <c r="BR10" i="32"/>
  <c r="BU10" i="32" s="1" a="1"/>
  <c r="BU10" i="32" s="1"/>
  <c r="AV10" i="32" a="1"/>
  <c r="AV10" i="32" s="1"/>
  <c r="AB10" i="32" a="1"/>
  <c r="AB10" i="32" s="1"/>
  <c r="BF9" i="32" a="1"/>
  <c r="BF9" i="32" s="1"/>
  <c r="AP9" i="32"/>
  <c r="W9" i="32" a="1"/>
  <c r="W9" i="32" s="1"/>
  <c r="AG9" i="32" a="1"/>
  <c r="AG9" i="32" s="1"/>
  <c r="AL9" i="32" a="1"/>
  <c r="AL9" i="32" s="1"/>
  <c r="AV9" i="32" a="1"/>
  <c r="AV9" i="32" s="1"/>
  <c r="W8" i="32" a="1"/>
  <c r="W8" i="32" s="1"/>
  <c r="AL8" i="32" a="1"/>
  <c r="AL8" i="32" s="1"/>
  <c r="BA8" i="32" a="1"/>
  <c r="BA8" i="32" s="1"/>
  <c r="BF8" i="32" a="1"/>
  <c r="BF8" i="32" s="1"/>
  <c r="AF8" i="32"/>
  <c r="BO8" i="32"/>
  <c r="BR8" i="32"/>
  <c r="BU8" i="32" s="1" a="1"/>
  <c r="BU8" i="32" s="1"/>
  <c r="V7" i="32"/>
  <c r="AP7" i="32"/>
  <c r="AV7" i="32" a="1"/>
  <c r="AV7" i="32" s="1"/>
  <c r="AF7" i="32"/>
  <c r="AB7" i="32" a="1"/>
  <c r="AB7" i="32" s="1"/>
  <c r="AG6" i="32" a="1"/>
  <c r="AG6" i="32" s="1"/>
  <c r="V6" i="32"/>
  <c r="AA6" i="32"/>
  <c r="AK6" i="32"/>
  <c r="AP6" i="32"/>
  <c r="AU6" i="32"/>
  <c r="AZ6" i="32"/>
  <c r="BJ6" i="32"/>
  <c r="BO6" i="32"/>
  <c r="R6" i="32" a="1"/>
  <c r="R6" i="32" s="1"/>
  <c r="BR6" i="32"/>
  <c r="BU6" i="32" s="1" a="1"/>
  <c r="BU6" i="32" s="1"/>
  <c r="AK10" i="32"/>
  <c r="AP10" i="32"/>
  <c r="R10" i="32" a="1"/>
  <c r="R10" i="32" s="1"/>
  <c r="BF10" i="32" a="1"/>
  <c r="BF10" i="32" s="1"/>
  <c r="V10" i="32"/>
  <c r="BJ10" i="32"/>
  <c r="BT8" i="32"/>
  <c r="BT9" i="32"/>
  <c r="Q10" i="32"/>
  <c r="Q7" i="32"/>
  <c r="Q9" i="32"/>
  <c r="Q8" i="32"/>
  <c r="C2" i="28"/>
  <c r="C2" i="27"/>
  <c r="C2" i="26"/>
  <c r="C2" i="25"/>
  <c r="C2" i="24"/>
  <c r="C2" i="23"/>
  <c r="C2" i="22"/>
  <c r="C2" i="21"/>
  <c r="B4" i="28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5" i="26"/>
  <c r="B6" i="26" s="1"/>
  <c r="B7" i="26" s="1"/>
  <c r="B5" i="25"/>
  <c r="B6" i="25" s="1"/>
  <c r="B7" i="25" s="1"/>
  <c r="B6" i="22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5" i="22"/>
  <c r="B5" i="2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T7" i="32" l="1"/>
  <c r="BT10" i="32"/>
  <c r="BT6" i="32"/>
  <c r="B4" i="27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4" i="23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<sst xmlns="http://schemas.openxmlformats.org/spreadsheetml/2006/main" count="560" uniqueCount="99">
  <si>
    <t>ROTINAS DO PILAR</t>
  </si>
  <si>
    <t>NÍVEL CRÍTICO</t>
  </si>
  <si>
    <t>NOTA ATUAL</t>
  </si>
  <si>
    <t>#</t>
  </si>
  <si>
    <t>FIM</t>
  </si>
  <si>
    <t>STATUS DO MAPEAMENTO</t>
  </si>
  <si>
    <t>PENDENTE</t>
  </si>
  <si>
    <t>STATUS DO TREINAMENTO/ EXECUÇÃO</t>
  </si>
  <si>
    <t>LISTE AS FUNÇÕES DO CARGO</t>
  </si>
  <si>
    <t>MATRIZ DE PROCESSOS PRIORITÁRIOS</t>
  </si>
  <si>
    <t>INDICADOR</t>
  </si>
  <si>
    <t>STATUS</t>
  </si>
  <si>
    <t>RESPONSÁVEL PELA MEDIÇÃO E COLETA</t>
  </si>
  <si>
    <t>MELHOR</t>
  </si>
  <si>
    <t>META</t>
  </si>
  <si>
    <t>↑</t>
  </si>
  <si>
    <t>↓</t>
  </si>
  <si>
    <t xml:space="preserve"> INDICADOR</t>
  </si>
  <si>
    <t>CAUSA 1</t>
  </si>
  <si>
    <t>CAUSA 2</t>
  </si>
  <si>
    <t>CAUSA 3</t>
  </si>
  <si>
    <t>CAUSA 4</t>
  </si>
  <si>
    <t>CAUSA 5</t>
  </si>
  <si>
    <t>AÇÃO PROPOSTA</t>
  </si>
  <si>
    <t>QUEM</t>
  </si>
  <si>
    <t>PRAZO</t>
  </si>
  <si>
    <t>&lt; HOME</t>
  </si>
  <si>
    <t>&lt;&lt; VOLTAR À MATRIZ</t>
  </si>
  <si>
    <t>É MEDIDO, MAS NÃO É CONFIÁVEL</t>
  </si>
  <si>
    <t>NÃO É MEDIDO</t>
  </si>
  <si>
    <t>MEDIDO E CONFIÁVEL</t>
  </si>
  <si>
    <t>NOME DE 1 PESSOA</t>
  </si>
  <si>
    <r>
      <rPr>
        <b/>
        <sz val="16"/>
        <color rgb="FFFFC000"/>
        <rFont val="Calibri"/>
        <family val="2"/>
        <scheme val="minor"/>
      </rPr>
      <t>ENTRADAS:</t>
    </r>
    <r>
      <rPr>
        <b/>
        <sz val="16"/>
        <color theme="0"/>
        <rFont val="Calibri"/>
        <family val="2"/>
        <scheme val="minor"/>
      </rPr>
      <t xml:space="preserve"> (O QUE A ÁREA RECEBE)
</t>
    </r>
    <r>
      <rPr>
        <b/>
        <sz val="16"/>
        <color rgb="FFFFC000"/>
        <rFont val="Calibri"/>
        <family val="2"/>
        <scheme val="minor"/>
      </rPr>
      <t>SAÍDAS:</t>
    </r>
    <r>
      <rPr>
        <b/>
        <sz val="16"/>
        <color theme="0"/>
        <rFont val="Calibri"/>
        <family val="2"/>
        <scheme val="minor"/>
      </rPr>
      <t xml:space="preserve"> (O QUE A ÁREA ENTREGA)</t>
    </r>
  </si>
  <si>
    <t>REALIZADO</t>
  </si>
  <si>
    <t>DESVIO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</si>
  <si>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</si>
  <si>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</si>
  <si>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</si>
  <si>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</si>
  <si>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</si>
  <si>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</si>
  <si>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</si>
  <si>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</si>
  <si>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</si>
  <si>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</si>
  <si>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</si>
  <si>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</si>
  <si>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R$</t>
  </si>
  <si>
    <t>TIPO MEDIDA</t>
  </si>
  <si>
    <t>COCKPIT:</t>
  </si>
  <si>
    <t>NOME DO PILAR</t>
  </si>
  <si>
    <t>LOGO DA EMPRESA</t>
  </si>
  <si>
    <t>MATRIZ DE INDICADORES 
DA ÁREA</t>
  </si>
  <si>
    <t>PLANO DE AÇÃO ESPECÍFICO 
DA ÁREA</t>
  </si>
  <si>
    <t>1. MATRIZ DE INDICADORES</t>
  </si>
  <si>
    <t>NOME DO CARGO</t>
  </si>
  <si>
    <t>MATRIZ DE CARGOS E FUNÇÕES DA ÁREA</t>
  </si>
  <si>
    <t>%</t>
  </si>
  <si>
    <t>Qnt.</t>
  </si>
  <si>
    <t>Tempo</t>
  </si>
  <si>
    <t>ANO</t>
  </si>
  <si>
    <t>EM ANDAMENTO</t>
  </si>
  <si>
    <t>ATRASADA</t>
  </si>
  <si>
    <t>CONCLUÍDA</t>
  </si>
  <si>
    <t>A INICIAR</t>
  </si>
  <si>
    <t>Meta</t>
  </si>
  <si>
    <t>Real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</si>
  <si>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</si>
  <si>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</si>
  <si>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</si>
  <si>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</si>
  <si>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</si>
  <si>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</si>
  <si>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</si>
  <si>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</si>
  <si>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</si>
  <si>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</si>
  <si>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</si>
  <si>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</si>
  <si>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</si>
  <si>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Indicad</t>
  </si>
  <si>
    <t>Valores em:</t>
  </si>
  <si>
    <t>ANÁLISE GRÁFICA DOS INDICADORES</t>
  </si>
  <si>
    <t>2. ANÁLISE GRÁFICA DOS INDICADORES</t>
  </si>
  <si>
    <t>3. MATRIZ DE PROCESSOS PRIORITÁRIOS</t>
  </si>
  <si>
    <t xml:space="preserve">4. MATRIZ DE CARGOS E FUNÇÕES </t>
  </si>
  <si>
    <t xml:space="preserve">5. PLANO DE AÇÃO ESPECÍFICO </t>
  </si>
  <si>
    <t>Indicador 6...</t>
  </si>
  <si>
    <t>Indicador 7...</t>
  </si>
  <si>
    <t>Indicador 8...</t>
  </si>
  <si>
    <t>Indicador 9...</t>
  </si>
  <si>
    <t>Indicador 10...</t>
  </si>
  <si>
    <t>ALTO</t>
  </si>
  <si>
    <t>MÉDIO</t>
  </si>
  <si>
    <t>BAIXO</t>
  </si>
  <si>
    <t>CONCLUÍDO</t>
  </si>
  <si>
    <t>MÉDIO DO CARGO</t>
  </si>
  <si>
    <t>AVALIAÇÃO DA LIDERANÇA</t>
  </si>
  <si>
    <t>AUTO 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</si>
</sst>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Calibri"/>
      <family val="2"/>
      <scheme val="minor"/>
    </font>
    <font>
      <sz val="16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28"/>
      <color rgb="FF00000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rgb="FFFFC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rgb="FF222222"/>
      <name val="Aptos Narrow"/>
      <family val="2"/>
    </font>
    <font>
      <b/>
      <sz val="7"/>
      <color rgb="FF222222"/>
      <name val="Arial"/>
      <family val="2"/>
    </font>
    <font>
      <b/>
      <sz val="8"/>
      <color rgb="FF222222"/>
      <name val="Arial"/>
      <family val="2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14"/>
      <color rgb="FFFFC00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22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222222"/>
      <name val="Arial"/>
      <family val="2"/>
    </font>
    <font>
      <b/>
      <sz val="18"/>
      <color theme="0"/>
      <name val="Calibri"/>
      <family val="2"/>
      <scheme val="minor"/>
    </font>
    <font>
      <b/>
      <sz val="10"/>
      <name val="Arial"/>
      <family val="2"/>
    </font>
    <font>
      <b/>
      <sz val="24"/>
      <name val="Calibri"/>
      <family val="2"/>
      <scheme val="minor"/>
    </font>
    <font>
      <b/>
      <sz val="36"/>
      <name val="Calibri"/>
      <family val="2"/>
      <scheme val="minor"/>
    </font>
    <font>
      <b/>
      <sz val="48"/>
      <name val="Calibri"/>
      <family val="2"/>
      <scheme val="minor"/>
    </font>
    <font>
      <b/>
      <sz val="36"/>
      <color rgb="FFFFC000"/>
      <name val="Calibri"/>
      <family val="2"/>
      <scheme val="minor"/>
    </font>
    <font>
      <b/>
      <sz val="24"/>
      <name val="Arial"/>
      <family val="2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Arial"/>
      <family val="2"/>
    </font>
    <font>
      <b/>
      <sz val="10"/>
      <color rgb="FFFFC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44" fontId="37" fillId="0" borderId="0" applyFont="0" applyFill="0" applyBorder="0" applyAlignment="0" applyProtection="0"/>
  </cellStyleXfs>
  <cellXfs count="99">
    <xf numFmtId="0" fontId="0" fillId="0" borderId="0" xfId="0"/>
    <xf numFmtId="0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 wrapText="1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6" fillId="0" borderId="0" xfId="1" applyFont="1" applyAlignment="1">
      <alignment horizontal="center" vertical="center"/>
    </xf>
    <xf numFmtId="0" fontId="15" fillId="4" borderId="1" xfId="1" applyFont="1" applyFill="1" applyBorder="1" applyAlignment="1">
      <alignment horizontal="left" vertical="center" wrapText="1"/>
    </xf>
    <xf numFmtId="0" fontId="18" fillId="0" borderId="0" xfId="1" applyFont="1" applyAlignment="1">
      <alignment vertical="center"/>
    </xf>
    <xf numFmtId="0" fontId="20" fillId="0" borderId="0" xfId="0" applyFont="1"/>
    <xf numFmtId="0" fontId="13" fillId="4" borderId="1" xfId="1" applyFont="1" applyFill="1" applyBorder="1" applyAlignment="1">
      <alignment horizontal="left" vertical="center" wrapText="1"/>
    </xf>
    <xf numFmtId="0" fontId="22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26" fillId="10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8" fillId="0" borderId="0" xfId="0" applyFont="1" applyAlignment="1">
      <alignment horizontal="center" wrapText="1"/>
    </xf>
    <xf numFmtId="0" fontId="27" fillId="10" borderId="8" xfId="0" applyFont="1" applyFill="1" applyBorder="1" applyAlignment="1">
      <alignment horizontal="center" vertical="center" wrapText="1"/>
    </xf>
    <xf numFmtId="0" fontId="29" fillId="6" borderId="8" xfId="0" applyFont="1" applyFill="1" applyBorder="1" applyAlignment="1">
      <alignment horizontal="center" vertical="center" wrapText="1"/>
    </xf>
    <xf numFmtId="0" fontId="30" fillId="4" borderId="8" xfId="0" applyFont="1" applyFill="1" applyBorder="1" applyAlignment="1">
      <alignment horizontal="center" vertical="center" wrapText="1"/>
    </xf>
    <xf numFmtId="0" fontId="31" fillId="4" borderId="8" xfId="0" applyFont="1" applyFill="1" applyBorder="1" applyAlignment="1">
      <alignment horizontal="center" vertical="center" wrapText="1"/>
    </xf>
    <xf numFmtId="0" fontId="32" fillId="5" borderId="8" xfId="0" applyFont="1" applyFill="1" applyBorder="1" applyAlignment="1">
      <alignment horizontal="center" vertical="center" wrapText="1"/>
    </xf>
    <xf numFmtId="0" fontId="27" fillId="10" borderId="8" xfId="0" applyFont="1" applyFill="1" applyBorder="1" applyAlignment="1">
      <alignment horizontal="left" vertical="center" wrapText="1"/>
    </xf>
    <xf numFmtId="0" fontId="6" fillId="9" borderId="1" xfId="2" applyFont="1" applyFill="1" applyBorder="1" applyAlignment="1">
      <alignment horizontal="center" vertical="center" wrapText="1"/>
    </xf>
    <xf numFmtId="0" fontId="33" fillId="9" borderId="0" xfId="2" applyFont="1" applyFill="1" applyAlignment="1">
      <alignment horizontal="center" vertical="center" wrapText="1"/>
    </xf>
    <xf numFmtId="0" fontId="19" fillId="3" borderId="1" xfId="2" applyFont="1" applyFill="1" applyBorder="1" applyAlignment="1">
      <alignment horizontal="center" vertical="center" wrapText="1"/>
    </xf>
    <xf numFmtId="0" fontId="35" fillId="4" borderId="1" xfId="1" applyFont="1" applyFill="1" applyBorder="1" applyAlignment="1">
      <alignment horizontal="left" vertical="center" wrapText="1"/>
    </xf>
    <xf numFmtId="0" fontId="38" fillId="9" borderId="0" xfId="0" applyFont="1" applyFill="1" applyAlignment="1">
      <alignment horizontal="center" vertical="center" wrapText="1"/>
    </xf>
    <xf numFmtId="3" fontId="39" fillId="10" borderId="8" xfId="3" applyNumberFormat="1" applyFont="1" applyFill="1" applyBorder="1" applyAlignment="1">
      <alignment horizontal="center" vertical="center" wrapText="1"/>
    </xf>
    <xf numFmtId="0" fontId="41" fillId="0" borderId="9" xfId="0" applyFont="1" applyBorder="1" applyAlignment="1" applyProtection="1">
      <alignment horizontal="center" vertical="center" wrapText="1"/>
      <protection locked="0"/>
    </xf>
    <xf numFmtId="0" fontId="11" fillId="5" borderId="8" xfId="0" applyFont="1" applyFill="1" applyBorder="1" applyAlignment="1" applyProtection="1">
      <alignment horizontal="center" vertical="center"/>
      <protection locked="0"/>
    </xf>
    <xf numFmtId="0" fontId="25" fillId="10" borderId="8" xfId="0" applyFont="1" applyFill="1" applyBorder="1" applyAlignment="1" applyProtection="1">
      <alignment horizontal="center" vertical="center" wrapText="1"/>
      <protection locked="0"/>
    </xf>
    <xf numFmtId="3" fontId="39" fillId="10" borderId="8" xfId="3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5" fillId="2" borderId="0" xfId="2" applyFont="1" applyFill="1" applyAlignment="1">
      <alignment horizontal="center" vertical="center" wrapText="1"/>
    </xf>
    <xf numFmtId="0" fontId="40" fillId="2" borderId="1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40" fillId="2" borderId="8" xfId="0" applyFont="1" applyFill="1" applyBorder="1" applyAlignment="1" applyProtection="1">
      <alignment horizontal="left" vertical="center"/>
      <protection locked="0"/>
    </xf>
    <xf numFmtId="0" fontId="33" fillId="2" borderId="0" xfId="2" applyFont="1" applyFill="1" applyAlignment="1" applyProtection="1">
      <alignment horizontal="center" vertical="center" wrapText="1"/>
      <protection locked="0"/>
    </xf>
    <xf numFmtId="0" fontId="46" fillId="10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48" fillId="10" borderId="1" xfId="0" applyFont="1" applyFill="1" applyBorder="1" applyAlignment="1">
      <alignment horizontal="center" vertical="center" wrapText="1"/>
    </xf>
    <xf numFmtId="0" fontId="33" fillId="2" borderId="1" xfId="2" applyFont="1" applyFill="1" applyBorder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3" fontId="0" fillId="11" borderId="0" xfId="0" applyNumberFormat="1" applyFill="1" applyAlignment="1">
      <alignment horizontal="center" vertical="center"/>
    </xf>
    <xf numFmtId="3" fontId="0" fillId="11" borderId="0" xfId="0" applyNumberFormat="1" applyFill="1" applyAlignment="1">
      <alignment horizontal="left" vertical="center"/>
    </xf>
    <xf numFmtId="1" fontId="0" fillId="11" borderId="0" xfId="0" applyNumberFormat="1" applyFill="1" applyAlignment="1">
      <alignment horizontal="center" vertical="center"/>
    </xf>
    <xf numFmtId="3" fontId="49" fillId="2" borderId="8" xfId="3" applyNumberFormat="1" applyFont="1" applyFill="1" applyBorder="1" applyAlignment="1" applyProtection="1">
      <alignment horizontal="center" vertical="center" wrapText="1"/>
      <protection locked="0"/>
    </xf>
    <xf numFmtId="0" fontId="8" fillId="2" borderId="0" xfId="1" applyFont="1" applyFill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50" fillId="7" borderId="1" xfId="2" applyFont="1" applyFill="1" applyBorder="1" applyAlignment="1">
      <alignment horizontal="center" vertical="center" wrapText="1"/>
    </xf>
    <xf numFmtId="0" fontId="34" fillId="2" borderId="13" xfId="2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34" fillId="8" borderId="5" xfId="0" applyFont="1" applyFill="1" applyBorder="1" applyAlignment="1">
      <alignment horizontal="center" vertical="center"/>
    </xf>
    <xf numFmtId="0" fontId="34" fillId="8" borderId="6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2" fillId="10" borderId="7" xfId="0" applyFont="1" applyFill="1" applyBorder="1" applyAlignment="1" applyProtection="1">
      <alignment horizontal="center" vertical="center"/>
      <protection locked="0"/>
    </xf>
    <xf numFmtId="0" fontId="42" fillId="10" borderId="1" xfId="0" applyFont="1" applyFill="1" applyBorder="1" applyAlignment="1" applyProtection="1">
      <alignment horizontal="center" vertical="center"/>
      <protection locked="0"/>
    </xf>
    <xf numFmtId="0" fontId="40" fillId="2" borderId="1" xfId="0" applyFont="1" applyFill="1" applyBorder="1" applyAlignment="1" applyProtection="1">
      <alignment horizontal="center" vertical="center"/>
      <protection locked="0"/>
    </xf>
    <xf numFmtId="0" fontId="42" fillId="11" borderId="1" xfId="0" applyFont="1" applyFill="1" applyBorder="1" applyAlignment="1" applyProtection="1">
      <alignment horizontal="center" vertical="center"/>
      <protection locked="0"/>
    </xf>
    <xf numFmtId="0" fontId="9" fillId="2" borderId="4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44" fillId="10" borderId="10" xfId="1" applyFont="1" applyFill="1" applyBorder="1" applyAlignment="1">
      <alignment horizontal="center" vertical="center" wrapText="1"/>
    </xf>
    <xf numFmtId="0" fontId="44" fillId="10" borderId="11" xfId="1" applyFont="1" applyFill="1" applyBorder="1" applyAlignment="1">
      <alignment horizontal="center" vertical="center" wrapText="1"/>
    </xf>
    <xf numFmtId="0" fontId="44" fillId="10" borderId="12" xfId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right" vertical="center" wrapText="1"/>
    </xf>
    <xf numFmtId="0" fontId="22" fillId="2" borderId="16" xfId="1" applyFont="1" applyFill="1" applyBorder="1" applyAlignment="1">
      <alignment horizontal="right" vertical="center" wrapText="1"/>
    </xf>
    <xf numFmtId="0" fontId="43" fillId="4" borderId="13" xfId="1" applyFont="1" applyFill="1" applyBorder="1" applyAlignment="1">
      <alignment horizontal="center" vertical="center" wrapText="1"/>
    </xf>
    <xf numFmtId="0" fontId="43" fillId="4" borderId="14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</cellXfs>
  <cellStyles count="4">
    <cellStyle name="Hiperlink" xfId="2" builtinId="8"/>
    <cellStyle name="Moeda" xfId="3" builtinId="4"/>
    <cellStyle name="Normal" xfId="0" builtinId="0"/>
    <cellStyle name="Normal 10 2" xfId="1" xr:uid="{A1047781-C180-481B-BAD6-234F683BF754}"/>
  </cellStyles>
  <dxfs count="58"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</font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</font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</font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theme="0"/>
      </font>
      <fill>
        <patternFill patternType="solid">
          <fgColor auto="1"/>
          <bgColor rgb="FF00B050"/>
        </patternFill>
      </fill>
    </dxf>
    <dxf>
      <font>
        <b/>
        <i val="0"/>
        <color theme="0"/>
      </font>
      <fill>
        <patternFill patternType="solid">
          <fgColor auto="1"/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'1.'!$C$25</c:f>
          <c:strCache>
            <c:ptCount val="1"/>
            <c:pt idx="0">
              <c:v>Indicador 6...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'2.'!$E$80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'2.'!$C$81:$C$92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'2.'!$E$81:$E$92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3-4F97-8E8E-E32A63F53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'2.'!$D$80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'2.'!$C$81:$C$92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'2.'!$D$81:$D$92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3-4F97-8E8E-E32A63F537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'1.'!$C$27</c:f>
          <c:strCache>
            <c:ptCount val="1"/>
            <c:pt idx="0">
              <c:v>Indicador 7...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'2.'!$E$95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'2.'!$C$96:$C$107</c:f>
            </c:multiLvlStrRef>
          </c:cat>
          <c:val>
            <c:numRef>
              <c:f>'2.'!$E$96:$E$107</c:f>
            </c:numRef>
          </c:val>
          <c:extLst>
            <c:ext xmlns:c16="http://schemas.microsoft.com/office/drawing/2014/chart" uri="{C3380CC4-5D6E-409C-BE32-E72D297353CC}">
              <c16:uniqueId val="{00000000-09D4-469F-AF9C-94B22364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'2.'!$D$95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'2.'!$C$96:$C$107</c:f>
            </c:multiLvlStrRef>
          </c:cat>
          <c:val>
            <c:numRef>
              <c:f>'2.'!$D$96:$D$107</c:f>
            </c:numRef>
          </c:val>
          <c:smooth val="0"/>
          <c:extLst>
            <c:ext xmlns:c16="http://schemas.microsoft.com/office/drawing/2014/chart" uri="{C3380CC4-5D6E-409C-BE32-E72D297353CC}">
              <c16:uniqueId val="{00000001-09D4-469F-AF9C-94B2236418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'1.'!$C$29</c:f>
          <c:strCache>
            <c:ptCount val="1"/>
            <c:pt idx="0">
              <c:v>Indicador 8...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'2.'!$E$110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'2.'!$C$111:$C$122</c:f>
            </c:multiLvlStrRef>
          </c:cat>
          <c:val>
            <c:numRef>
              <c:f>'2.'!$E$111:$E$122</c:f>
            </c:numRef>
          </c:val>
          <c:extLst>
            <c:ext xmlns:c16="http://schemas.microsoft.com/office/drawing/2014/chart" uri="{C3380CC4-5D6E-409C-BE32-E72D297353CC}">
              <c16:uniqueId val="{00000000-37AF-4F8B-A744-869DAE782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'2.'!$D$110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'2.'!$C$111:$C$122</c:f>
            </c:multiLvlStrRef>
          </c:cat>
          <c:val>
            <c:numRef>
              <c:f>'2.'!$D$111:$D$122</c:f>
            </c:numRef>
          </c:val>
          <c:smooth val="0"/>
          <c:extLst>
            <c:ext xmlns:c16="http://schemas.microsoft.com/office/drawing/2014/chart" uri="{C3380CC4-5D6E-409C-BE32-E72D297353CC}">
              <c16:uniqueId val="{00000001-37AF-4F8B-A744-869DAE782F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'1.'!$C$31</c:f>
          <c:strCache>
            <c:ptCount val="1"/>
            <c:pt idx="0">
              <c:v>Indicador 9...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'2.'!$E$125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'2.'!$C$126:$C$137</c:f>
            </c:multiLvlStrRef>
          </c:cat>
          <c:val>
            <c:numRef>
              <c:f>'2.'!$E$126:$E$137</c:f>
            </c:numRef>
          </c:val>
          <c:extLst>
            <c:ext xmlns:c16="http://schemas.microsoft.com/office/drawing/2014/chart" uri="{C3380CC4-5D6E-409C-BE32-E72D297353CC}">
              <c16:uniqueId val="{00000000-113D-470A-8527-F439C6E6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'2.'!$D$125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'2.'!$C$126:$C$137</c:f>
            </c:multiLvlStrRef>
          </c:cat>
          <c:val>
            <c:numRef>
              <c:f>'2.'!$D$126:$D$137</c:f>
            </c:numRef>
          </c:val>
          <c:smooth val="0"/>
          <c:extLst>
            <c:ext xmlns:c16="http://schemas.microsoft.com/office/drawing/2014/chart" uri="{C3380CC4-5D6E-409C-BE32-E72D297353CC}">
              <c16:uniqueId val="{00000001-113D-470A-8527-F439C6E608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'1.'!$C$10</c:f>
          <c:strCache>
            <c:ptCount val="1"/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'2.'!$E$65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'2.'!$C$66:$C$77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'2.'!$E$66:$E$77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F-4DBD-B387-ED9AA2EEF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'2.'!$D$65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'2.'!$C$66:$C$77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'2.'!$D$66:$D$77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F-4DBD-B387-ED9AA2EEF4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'1.'!$C$9</c:f>
          <c:strCache>
            <c:ptCount val="1"/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'2.'!$E$50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'2.'!$C$51:$C$62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'2.'!$E$51:$E$62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D-4957-BB22-21D68F99F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'2.'!$D$50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'2.'!$C$51:$C$62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'2.'!$D$51:$D$62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D-4957-BB22-21D68F99F4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'1.'!$C$7</c:f>
          <c:strCache>
            <c:ptCount val="1"/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'2.'!$E$20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'2.'!$C$21:$C$32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'2.'!$E$21:$E$32</c:f>
              <c:numCache>
                <c:formatCode>0</c:formatCode>
                <c:ptCount val="12"/>
                <c:pt idx="0" formatCode="#,##0">
                  <c:v>0</c:v>
                </c:pt>
                <c:pt idx="1">
                  <c:v>0</c:v>
                </c:pt>
                <c:pt idx="2" formatCode="#,##0">
                  <c:v>0</c:v>
                </c:pt>
                <c:pt idx="3">
                  <c:v>0</c:v>
                </c:pt>
                <c:pt idx="4" formatCode="#,##0">
                  <c:v>0</c:v>
                </c:pt>
                <c:pt idx="5">
                  <c:v>0</c:v>
                </c:pt>
                <c:pt idx="6" formatCode="#,##0">
                  <c:v>0</c:v>
                </c:pt>
                <c:pt idx="7">
                  <c:v>0</c:v>
                </c:pt>
                <c:pt idx="8" formatCode="#,##0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5-442D-A7C0-739E16CA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'2.'!$D$20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'2.'!$C$21:$C$32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'2.'!$D$21:$D$32</c:f>
              <c:numCache>
                <c:formatCode>0</c:formatCode>
                <c:ptCount val="12"/>
                <c:pt idx="0" formatCode="#,##0">
                  <c:v>0</c:v>
                </c:pt>
                <c:pt idx="1">
                  <c:v>0</c:v>
                </c:pt>
                <c:pt idx="2" formatCode="#,##0">
                  <c:v>0</c:v>
                </c:pt>
                <c:pt idx="3">
                  <c:v>0</c:v>
                </c:pt>
                <c:pt idx="4" formatCode="#,##0">
                  <c:v>0</c:v>
                </c:pt>
                <c:pt idx="5">
                  <c:v>0</c:v>
                </c:pt>
                <c:pt idx="6" formatCode="#,##0">
                  <c:v>0</c:v>
                </c:pt>
                <c:pt idx="7">
                  <c:v>0</c:v>
                </c:pt>
                <c:pt idx="8" formatCode="#,##0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5-442D-A7C0-739E16CA7A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'1.'!$C$8</c:f>
          <c:strCache>
            <c:ptCount val="1"/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'2.'!$E$35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'2.'!$C$36:$C$47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'2.'!$E$36:$E$47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D-4DCD-BE0C-F475666C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'2.'!$D$35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'2.'!$C$36:$C$47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'2.'!$D$36:$D$47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D-4DCD-BE0C-F475666CA5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'1.'!$C$6</c:f>
          <c:strCache>
            <c:ptCount val="1"/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C00-4889-B41D-C0AD2D6D764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6AE-4EFE-9273-F62D8574E991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AE-4EFE-9273-F62D8574E991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'2.'!$C$6:$C$17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'2.'!$E$6:$E$17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13000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3-4001-BA11-C72543AE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'2.'!$D$5</c:f>
              <c:strCache>
                <c:ptCount val="1"/>
                <c:pt idx="0">
                  <c:v>Meta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'2.'!$C$6:$C$17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'2.'!$D$6:$D$17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3-4001-BA11-C72543AE61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chemeClr val="tx1">
          <a:lumMod val="85000"/>
          <a:lumOff val="15000"/>
        </a:schemeClr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'1.'!$C$33</c:f>
          <c:strCache>
            <c:ptCount val="1"/>
            <c:pt idx="0">
              <c:v>Indicador 10...</c:v>
            </c:pt>
          </c:strCache>
        </c:strRef>
      </c:tx>
      <c:layout>
        <c:manualLayout>
          <c:xMode val="edge"/>
          <c:yMode val="edge"/>
          <c:x val="3.110966007297869E-2"/>
          <c:y val="2.8603603603603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'2.'!$E$140</c:f>
              <c:strCache>
                <c:ptCount val="1"/>
                <c:pt idx="0">
                  <c:v>Real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'2.'!$C$141:$C$152</c:f>
            </c:multiLvlStrRef>
          </c:cat>
          <c:val>
            <c:numRef>
              <c:f>'2.'!$E$141:$E$152</c:f>
            </c:numRef>
          </c:val>
          <c:extLst>
            <c:ext xmlns:c16="http://schemas.microsoft.com/office/drawing/2014/chart" uri="{C3380CC4-5D6E-409C-BE32-E72D297353CC}">
              <c16:uniqueId val="{00000000-BF09-4C4E-8F6A-EFA25A09A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1404738111"/>
        <c:axId val="1404735711"/>
      </c:barChart>
      <c:lineChart>
        <c:grouping val="standard"/>
        <c:varyColors val="0"/>
        <c:ser>
          <c:idx val="0"/>
          <c:order val="0"/>
          <c:tx>
            <c:strRef>
              <c:f>'2.'!$D$140</c:f>
              <c:strCache>
                <c:ptCount val="1"/>
                <c:pt idx="0">
                  <c:v>Meta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  <a:prstDash val="sysDash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'2.'!$C$141:$C$152</c:f>
            </c:multiLvlStrRef>
          </c:cat>
          <c:val>
            <c:numRef>
              <c:f>'2.'!$D$141:$D$152</c:f>
            </c:numRef>
          </c:val>
          <c:smooth val="0"/>
          <c:extLst>
            <c:ext xmlns:c16="http://schemas.microsoft.com/office/drawing/2014/chart" uri="{C3380CC4-5D6E-409C-BE32-E72D297353CC}">
              <c16:uniqueId val="{00000001-BF09-4C4E-8F6A-EFA25A09A5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738111"/>
        <c:axId val="1404735711"/>
      </c:lineChart>
      <c:catAx>
        <c:axId val="14047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35711"/>
        <c:crosses val="autoZero"/>
        <c:auto val="1"/>
        <c:lblAlgn val="ctr"/>
        <c:lblOffset val="100"/>
        <c:noMultiLvlLbl val="0"/>
      </c:catAx>
      <c:valAx>
        <c:axId val="140473571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40473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19050" cap="flat" cmpd="sng" algn="ctr">
      <a:solidFill>
        <a:sysClr val="windowText" lastClr="000000"/>
      </a:solidFill>
      <a:round/>
    </a:ln>
    <a:effectLst>
      <a:glow rad="101600">
        <a:schemeClr val="bg1">
          <a:lumMod val="50000"/>
          <a:alpha val="8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14</xdr:col>
      <xdr:colOff>0</xdr:colOff>
      <xdr:row>92</xdr:row>
      <xdr:rowOff>187500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A6522A8A-0B75-4D46-B000-C295F6ECA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94</xdr:row>
      <xdr:rowOff>0</xdr:rowOff>
    </xdr:from>
    <xdr:to>
      <xdr:col>14</xdr:col>
      <xdr:colOff>0</xdr:colOff>
      <xdr:row>107</xdr:row>
      <xdr:rowOff>187500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ACA2B826-0D7B-4433-8F20-E891BD5D1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109</xdr:row>
      <xdr:rowOff>0</xdr:rowOff>
    </xdr:from>
    <xdr:to>
      <xdr:col>14</xdr:col>
      <xdr:colOff>0</xdr:colOff>
      <xdr:row>122</xdr:row>
      <xdr:rowOff>187500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523E1C7-598F-4320-B1ED-40EC00883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124</xdr:row>
      <xdr:rowOff>0</xdr:rowOff>
    </xdr:from>
    <xdr:to>
      <xdr:col>14</xdr:col>
      <xdr:colOff>0</xdr:colOff>
      <xdr:row>137</xdr:row>
      <xdr:rowOff>187500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92FE99C5-B9FD-4464-B589-F2520A454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64</xdr:row>
      <xdr:rowOff>0</xdr:rowOff>
    </xdr:from>
    <xdr:to>
      <xdr:col>14</xdr:col>
      <xdr:colOff>0</xdr:colOff>
      <xdr:row>77</xdr:row>
      <xdr:rowOff>187500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03F0738-3F80-4ED5-B37B-4BE81EDC0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14</xdr:col>
      <xdr:colOff>0</xdr:colOff>
      <xdr:row>62</xdr:row>
      <xdr:rowOff>187500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D9D6C42-B182-4CDB-9AAB-07EB0AE43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14</xdr:col>
      <xdr:colOff>0</xdr:colOff>
      <xdr:row>32</xdr:row>
      <xdr:rowOff>187500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5CAE34-F25B-4E3F-AE68-09C5E2E10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14</xdr:col>
      <xdr:colOff>0</xdr:colOff>
      <xdr:row>47</xdr:row>
      <xdr:rowOff>187500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8A339F2D-013F-4986-BFF3-B1C19A0A7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14</xdr:col>
      <xdr:colOff>0</xdr:colOff>
      <xdr:row>17</xdr:row>
      <xdr:rowOff>181150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A83F1D35-989B-4339-A782-6C3881B2D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552451</xdr:colOff>
      <xdr:row>4</xdr:row>
      <xdr:rowOff>171450</xdr:rowOff>
    </xdr:from>
    <xdr:to>
      <xdr:col>11</xdr:col>
      <xdr:colOff>305251</xdr:colOff>
      <xdr:row>6</xdr:row>
      <xdr:rowOff>142875</xdr:rowOff>
    </xdr:to>
    <xdr:sp macro="" textlink="$B$18">
      <xdr:nvSpPr>
        <xdr:cNvPr id="4" name="CaixaDeTexto 3">
          <a:extLst>
            <a:ext uri="{FF2B5EF4-FFF2-40B4-BE49-F238E27FC236}">
              <a16:creationId xmlns:a16="http://schemas.microsoft.com/office/drawing/2014/main" id="{432D9B9B-86EC-CEBF-B209-EEBBB451A52E}"/>
            </a:ext>
          </a:extLst>
        </xdr:cNvPr>
        <xdr:cNvSpPr txBox="1"/>
      </xdr:nvSpPr>
      <xdr:spPr>
        <a:xfrm>
          <a:off x="6105526" y="361950"/>
          <a:ext cx="972000" cy="352425"/>
        </a:xfrm>
        <a:prstGeom prst="round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1341612-0F8D-4268-ADBA-2D8593CD3237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495300</xdr:colOff>
      <xdr:row>4</xdr:row>
      <xdr:rowOff>171450</xdr:rowOff>
    </xdr:from>
    <xdr:to>
      <xdr:col>13</xdr:col>
      <xdr:colOff>438150</xdr:colOff>
      <xdr:row>6</xdr:row>
      <xdr:rowOff>142875</xdr:rowOff>
    </xdr:to>
    <xdr:sp macro="" textlink="$E$18">
      <xdr:nvSpPr>
        <xdr:cNvPr id="10" name="CaixaDeTexto 9">
          <a:extLst>
            <a:ext uri="{FF2B5EF4-FFF2-40B4-BE49-F238E27FC236}">
              <a16:creationId xmlns:a16="http://schemas.microsoft.com/office/drawing/2014/main" id="{B8396F29-4CDA-8388-7C16-D56EDD846EA6}"/>
            </a:ext>
          </a:extLst>
        </xdr:cNvPr>
        <xdr:cNvSpPr txBox="1"/>
      </xdr:nvSpPr>
      <xdr:spPr>
        <a:xfrm>
          <a:off x="7877175" y="361950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>
              <a:lumMod val="85000"/>
              <a:lumOff val="15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2AAB6E-E3C3-4D6D-AA52-85860B4C34E5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19</xdr:row>
      <xdr:rowOff>161925</xdr:rowOff>
    </xdr:from>
    <xdr:to>
      <xdr:col>11</xdr:col>
      <xdr:colOff>257625</xdr:colOff>
      <xdr:row>21</xdr:row>
      <xdr:rowOff>133350</xdr:rowOff>
    </xdr:to>
    <xdr:sp macro="" textlink="$B$33">
      <xdr:nvSpPr>
        <xdr:cNvPr id="12" name="CaixaDeTexto 11">
          <a:extLst>
            <a:ext uri="{FF2B5EF4-FFF2-40B4-BE49-F238E27FC236}">
              <a16:creationId xmlns:a16="http://schemas.microsoft.com/office/drawing/2014/main" id="{6D0C2BD4-F1FE-4B29-A953-99DD6ABD0F81}"/>
            </a:ext>
          </a:extLst>
        </xdr:cNvPr>
        <xdr:cNvSpPr txBox="1"/>
      </xdr:nvSpPr>
      <xdr:spPr>
        <a:xfrm>
          <a:off x="6057900" y="320992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A70DBE1-78FB-4264-A2DC-1E32B2ABEFCE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19</xdr:row>
      <xdr:rowOff>161925</xdr:rowOff>
    </xdr:from>
    <xdr:to>
      <xdr:col>13</xdr:col>
      <xdr:colOff>390525</xdr:colOff>
      <xdr:row>21</xdr:row>
      <xdr:rowOff>133350</xdr:rowOff>
    </xdr:to>
    <xdr:sp macro="" textlink="$E$33">
      <xdr:nvSpPr>
        <xdr:cNvPr id="13" name="CaixaDeTexto 12">
          <a:extLst>
            <a:ext uri="{FF2B5EF4-FFF2-40B4-BE49-F238E27FC236}">
              <a16:creationId xmlns:a16="http://schemas.microsoft.com/office/drawing/2014/main" id="{DEAC78E5-0904-4D6C-901D-EA6590F0ED4D}"/>
            </a:ext>
          </a:extLst>
        </xdr:cNvPr>
        <xdr:cNvSpPr txBox="1"/>
      </xdr:nvSpPr>
      <xdr:spPr>
        <a:xfrm>
          <a:off x="7829550" y="320992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8AE756B-7E75-4291-B892-496767F895B3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34</xdr:row>
      <xdr:rowOff>161925</xdr:rowOff>
    </xdr:from>
    <xdr:to>
      <xdr:col>11</xdr:col>
      <xdr:colOff>257625</xdr:colOff>
      <xdr:row>36</xdr:row>
      <xdr:rowOff>133350</xdr:rowOff>
    </xdr:to>
    <xdr:sp macro="" textlink="$B$48">
      <xdr:nvSpPr>
        <xdr:cNvPr id="14" name="CaixaDeTexto 13">
          <a:extLst>
            <a:ext uri="{FF2B5EF4-FFF2-40B4-BE49-F238E27FC236}">
              <a16:creationId xmlns:a16="http://schemas.microsoft.com/office/drawing/2014/main" id="{58412B56-0693-4399-8DB1-EEB2E0E22C0E}"/>
            </a:ext>
          </a:extLst>
        </xdr:cNvPr>
        <xdr:cNvSpPr txBox="1"/>
      </xdr:nvSpPr>
      <xdr:spPr>
        <a:xfrm>
          <a:off x="6057900" y="606742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E99E66-4B5D-4A28-A06D-1F832211C9F4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34</xdr:row>
      <xdr:rowOff>161925</xdr:rowOff>
    </xdr:from>
    <xdr:to>
      <xdr:col>13</xdr:col>
      <xdr:colOff>390525</xdr:colOff>
      <xdr:row>36</xdr:row>
      <xdr:rowOff>133350</xdr:rowOff>
    </xdr:to>
    <xdr:sp macro="" textlink="$E$48">
      <xdr:nvSpPr>
        <xdr:cNvPr id="15" name="CaixaDeTexto 14">
          <a:extLst>
            <a:ext uri="{FF2B5EF4-FFF2-40B4-BE49-F238E27FC236}">
              <a16:creationId xmlns:a16="http://schemas.microsoft.com/office/drawing/2014/main" id="{289FFF07-952D-482C-AB07-9E38DDEF9644}"/>
            </a:ext>
          </a:extLst>
        </xdr:cNvPr>
        <xdr:cNvSpPr txBox="1"/>
      </xdr:nvSpPr>
      <xdr:spPr>
        <a:xfrm>
          <a:off x="7829550" y="606742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B2C7F5-0ACF-41D5-A23A-3876C3DE1EBC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↓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49</xdr:row>
      <xdr:rowOff>161925</xdr:rowOff>
    </xdr:from>
    <xdr:to>
      <xdr:col>11</xdr:col>
      <xdr:colOff>257625</xdr:colOff>
      <xdr:row>51</xdr:row>
      <xdr:rowOff>133350</xdr:rowOff>
    </xdr:to>
    <xdr:sp macro="" textlink="$B$63">
      <xdr:nvSpPr>
        <xdr:cNvPr id="16" name="CaixaDeTexto 15">
          <a:extLst>
            <a:ext uri="{FF2B5EF4-FFF2-40B4-BE49-F238E27FC236}">
              <a16:creationId xmlns:a16="http://schemas.microsoft.com/office/drawing/2014/main" id="{6EBCDF2B-54C9-47EA-82A3-92BBBC1A0FD5}"/>
            </a:ext>
          </a:extLst>
        </xdr:cNvPr>
        <xdr:cNvSpPr txBox="1"/>
      </xdr:nvSpPr>
      <xdr:spPr>
        <a:xfrm>
          <a:off x="6057900" y="892492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E2134B7-E746-4858-B593-0D11D8E89D14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49</xdr:row>
      <xdr:rowOff>161925</xdr:rowOff>
    </xdr:from>
    <xdr:to>
      <xdr:col>13</xdr:col>
      <xdr:colOff>390525</xdr:colOff>
      <xdr:row>51</xdr:row>
      <xdr:rowOff>133350</xdr:rowOff>
    </xdr:to>
    <xdr:sp macro="" textlink="$E$63">
      <xdr:nvSpPr>
        <xdr:cNvPr id="17" name="CaixaDeTexto 16">
          <a:extLst>
            <a:ext uri="{FF2B5EF4-FFF2-40B4-BE49-F238E27FC236}">
              <a16:creationId xmlns:a16="http://schemas.microsoft.com/office/drawing/2014/main" id="{0EF033C1-B7EA-4B77-A8E2-37ACF6ECFF0F}"/>
            </a:ext>
          </a:extLst>
        </xdr:cNvPr>
        <xdr:cNvSpPr txBox="1"/>
      </xdr:nvSpPr>
      <xdr:spPr>
        <a:xfrm>
          <a:off x="7829550" y="892492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B9AC31A-EC56-4EE3-8693-F74915F16EA3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64</xdr:row>
      <xdr:rowOff>161925</xdr:rowOff>
    </xdr:from>
    <xdr:to>
      <xdr:col>11</xdr:col>
      <xdr:colOff>257625</xdr:colOff>
      <xdr:row>66</xdr:row>
      <xdr:rowOff>133350</xdr:rowOff>
    </xdr:to>
    <xdr:sp macro="" textlink="$B$78">
      <xdr:nvSpPr>
        <xdr:cNvPr id="18" name="CaixaDeTexto 17">
          <a:extLst>
            <a:ext uri="{FF2B5EF4-FFF2-40B4-BE49-F238E27FC236}">
              <a16:creationId xmlns:a16="http://schemas.microsoft.com/office/drawing/2014/main" id="{0533A7B3-4F2C-4242-B26D-6977B486EC5B}"/>
            </a:ext>
          </a:extLst>
        </xdr:cNvPr>
        <xdr:cNvSpPr txBox="1"/>
      </xdr:nvSpPr>
      <xdr:spPr>
        <a:xfrm>
          <a:off x="6057900" y="1178242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64</xdr:row>
      <xdr:rowOff>161925</xdr:rowOff>
    </xdr:from>
    <xdr:to>
      <xdr:col>13</xdr:col>
      <xdr:colOff>390525</xdr:colOff>
      <xdr:row>66</xdr:row>
      <xdr:rowOff>133350</xdr:rowOff>
    </xdr:to>
    <xdr:sp macro="" textlink="$E$78">
      <xdr:nvSpPr>
        <xdr:cNvPr id="19" name="CaixaDeTexto 18">
          <a:extLst>
            <a:ext uri="{FF2B5EF4-FFF2-40B4-BE49-F238E27FC236}">
              <a16:creationId xmlns:a16="http://schemas.microsoft.com/office/drawing/2014/main" id="{C23601CE-25BD-47B7-9A09-CC6B4AD1C513}"/>
            </a:ext>
          </a:extLst>
        </xdr:cNvPr>
        <xdr:cNvSpPr txBox="1"/>
      </xdr:nvSpPr>
      <xdr:spPr>
        <a:xfrm>
          <a:off x="7829550" y="1178242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EAAE1CF-9135-4D2C-87C3-DB65B7A98BB2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276225</xdr:colOff>
      <xdr:row>4</xdr:row>
      <xdr:rowOff>171450</xdr:rowOff>
    </xdr:from>
    <xdr:to>
      <xdr:col>12</xdr:col>
      <xdr:colOff>422625</xdr:colOff>
      <xdr:row>6</xdr:row>
      <xdr:rowOff>142875</xdr:rowOff>
    </xdr:to>
    <xdr:sp macro="" textlink="$C$18">
      <xdr:nvSpPr>
        <xdr:cNvPr id="33" name="CaixaDeTexto 32">
          <a:extLst>
            <a:ext uri="{FF2B5EF4-FFF2-40B4-BE49-F238E27FC236}">
              <a16:creationId xmlns:a16="http://schemas.microsoft.com/office/drawing/2014/main" id="{7F906F11-92AB-4244-B77A-989D2714518E}"/>
            </a:ext>
          </a:extLst>
        </xdr:cNvPr>
        <xdr:cNvSpPr txBox="1"/>
      </xdr:nvSpPr>
      <xdr:spPr>
        <a:xfrm>
          <a:off x="7048500" y="361950"/>
          <a:ext cx="75600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5E409D4-D881-4BA6-AC58-D74681491FF8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R$</a:t>
          </a:fld>
          <a:endParaRPr lang="en-US" sz="2400" b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19</xdr:row>
      <xdr:rowOff>161925</xdr:rowOff>
    </xdr:from>
    <xdr:to>
      <xdr:col>12</xdr:col>
      <xdr:colOff>375000</xdr:colOff>
      <xdr:row>21</xdr:row>
      <xdr:rowOff>133350</xdr:rowOff>
    </xdr:to>
    <xdr:sp macro="" textlink="$C$33">
      <xdr:nvSpPr>
        <xdr:cNvPr id="34" name="CaixaDeTexto 33">
          <a:extLst>
            <a:ext uri="{FF2B5EF4-FFF2-40B4-BE49-F238E27FC236}">
              <a16:creationId xmlns:a16="http://schemas.microsoft.com/office/drawing/2014/main" id="{7D3D496D-771E-E6C4-96F1-FF44CAFE3A9B}"/>
            </a:ext>
          </a:extLst>
        </xdr:cNvPr>
        <xdr:cNvSpPr txBox="1"/>
      </xdr:nvSpPr>
      <xdr:spPr>
        <a:xfrm>
          <a:off x="7000875" y="3209925"/>
          <a:ext cx="756000" cy="352425"/>
        </a:xfrm>
        <a:prstGeom prst="roundRect">
          <a:avLst/>
        </a:prstGeom>
        <a:solidFill>
          <a:schemeClr val="bg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3565C2F-6D40-48AA-BA74-AD78DAA5418A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%</a:t>
          </a:fld>
          <a:endParaRPr lang="en-US" sz="24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238125</xdr:colOff>
      <xdr:row>34</xdr:row>
      <xdr:rowOff>161925</xdr:rowOff>
    </xdr:from>
    <xdr:to>
      <xdr:col>12</xdr:col>
      <xdr:colOff>384525</xdr:colOff>
      <xdr:row>36</xdr:row>
      <xdr:rowOff>133350</xdr:rowOff>
    </xdr:to>
    <xdr:sp macro="" textlink="$C$48">
      <xdr:nvSpPr>
        <xdr:cNvPr id="35" name="CaixaDeTexto 34">
          <a:extLst>
            <a:ext uri="{FF2B5EF4-FFF2-40B4-BE49-F238E27FC236}">
              <a16:creationId xmlns:a16="http://schemas.microsoft.com/office/drawing/2014/main" id="{EB277555-860F-165F-AD26-0F34DFCB64FC}"/>
            </a:ext>
          </a:extLst>
        </xdr:cNvPr>
        <xdr:cNvSpPr txBox="1"/>
      </xdr:nvSpPr>
      <xdr:spPr>
        <a:xfrm>
          <a:off x="7010400" y="606742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87039D5-1CE6-43E2-A9BF-926D8A6F00DE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Tempo</a:t>
          </a:fld>
          <a:endParaRPr lang="en-US" sz="1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49</xdr:row>
      <xdr:rowOff>161925</xdr:rowOff>
    </xdr:from>
    <xdr:to>
      <xdr:col>12</xdr:col>
      <xdr:colOff>375000</xdr:colOff>
      <xdr:row>51</xdr:row>
      <xdr:rowOff>133350</xdr:rowOff>
    </xdr:to>
    <xdr:sp macro="" textlink="$C$63">
      <xdr:nvSpPr>
        <xdr:cNvPr id="36" name="CaixaDeTexto 35">
          <a:extLst>
            <a:ext uri="{FF2B5EF4-FFF2-40B4-BE49-F238E27FC236}">
              <a16:creationId xmlns:a16="http://schemas.microsoft.com/office/drawing/2014/main" id="{EC5B6A57-83E4-BF74-4286-55FFC9E74143}"/>
            </a:ext>
          </a:extLst>
        </xdr:cNvPr>
        <xdr:cNvSpPr txBox="1"/>
      </xdr:nvSpPr>
      <xdr:spPr>
        <a:xfrm>
          <a:off x="7000875" y="892492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2262A4A-D7D4-4EF1-9E4D-E0AEC666041C}" type="TxLink">
            <a:rPr lang="en-US" sz="1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R$</a:t>
          </a:fld>
          <a:endParaRPr lang="en-US" sz="2400" b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64</xdr:row>
      <xdr:rowOff>161925</xdr:rowOff>
    </xdr:from>
    <xdr:to>
      <xdr:col>12</xdr:col>
      <xdr:colOff>375000</xdr:colOff>
      <xdr:row>66</xdr:row>
      <xdr:rowOff>133350</xdr:rowOff>
    </xdr:to>
    <xdr:sp macro="" textlink="$C$78">
      <xdr:nvSpPr>
        <xdr:cNvPr id="37" name="CaixaDeTexto 36">
          <a:extLst>
            <a:ext uri="{FF2B5EF4-FFF2-40B4-BE49-F238E27FC236}">
              <a16:creationId xmlns:a16="http://schemas.microsoft.com/office/drawing/2014/main" id="{B15F9734-D007-A98E-C4E9-51D3E10CC9A5}"/>
            </a:ext>
          </a:extLst>
        </xdr:cNvPr>
        <xdr:cNvSpPr txBox="1"/>
      </xdr:nvSpPr>
      <xdr:spPr>
        <a:xfrm>
          <a:off x="7000875" y="1178242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5D8BF69-F008-44E8-9FBC-9F096635C9AC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Qnt.</a:t>
          </a:fld>
          <a:endParaRPr lang="en-US" sz="24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79</xdr:row>
      <xdr:rowOff>161925</xdr:rowOff>
    </xdr:from>
    <xdr:to>
      <xdr:col>11</xdr:col>
      <xdr:colOff>257625</xdr:colOff>
      <xdr:row>81</xdr:row>
      <xdr:rowOff>133350</xdr:rowOff>
    </xdr:to>
    <xdr:sp macro="" textlink="$B$78">
      <xdr:nvSpPr>
        <xdr:cNvPr id="5" name="CaixaDeTexto 4">
          <a:extLst>
            <a:ext uri="{FF2B5EF4-FFF2-40B4-BE49-F238E27FC236}">
              <a16:creationId xmlns:a16="http://schemas.microsoft.com/office/drawing/2014/main" id="{53A487F7-F8EB-405D-BB78-6DF72B46220E}"/>
            </a:ext>
          </a:extLst>
        </xdr:cNvPr>
        <xdr:cNvSpPr txBox="1"/>
      </xdr:nvSpPr>
      <xdr:spPr>
        <a:xfrm>
          <a:off x="6057900" y="123348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79</xdr:row>
      <xdr:rowOff>161925</xdr:rowOff>
    </xdr:from>
    <xdr:to>
      <xdr:col>13</xdr:col>
      <xdr:colOff>390525</xdr:colOff>
      <xdr:row>81</xdr:row>
      <xdr:rowOff>133350</xdr:rowOff>
    </xdr:to>
    <xdr:sp macro="" textlink="$E$93">
      <xdr:nvSpPr>
        <xdr:cNvPr id="6" name="CaixaDeTexto 5">
          <a:extLst>
            <a:ext uri="{FF2B5EF4-FFF2-40B4-BE49-F238E27FC236}">
              <a16:creationId xmlns:a16="http://schemas.microsoft.com/office/drawing/2014/main" id="{8951E13B-5E6E-4E49-8C22-57FA0A0C0814}"/>
            </a:ext>
          </a:extLst>
        </xdr:cNvPr>
        <xdr:cNvSpPr txBox="1"/>
      </xdr:nvSpPr>
      <xdr:spPr>
        <a:xfrm>
          <a:off x="7829550" y="123348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2943EAC-4759-447E-961C-D37262BC3DDF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↓</a:t>
          </a:fld>
          <a:endParaRPr lang="en-US" sz="2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79</xdr:row>
      <xdr:rowOff>161925</xdr:rowOff>
    </xdr:from>
    <xdr:to>
      <xdr:col>12</xdr:col>
      <xdr:colOff>375000</xdr:colOff>
      <xdr:row>81</xdr:row>
      <xdr:rowOff>133350</xdr:rowOff>
    </xdr:to>
    <xdr:sp macro="" textlink="$C$93">
      <xdr:nvSpPr>
        <xdr:cNvPr id="7" name="CaixaDeTexto 6">
          <a:extLst>
            <a:ext uri="{FF2B5EF4-FFF2-40B4-BE49-F238E27FC236}">
              <a16:creationId xmlns:a16="http://schemas.microsoft.com/office/drawing/2014/main" id="{2E8DF746-3F4A-4E78-BBC4-49174C53B47F}"/>
            </a:ext>
          </a:extLst>
        </xdr:cNvPr>
        <xdr:cNvSpPr txBox="1"/>
      </xdr:nvSpPr>
      <xdr:spPr>
        <a:xfrm>
          <a:off x="7000875" y="123348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970630-EECE-4827-8DF7-2178076B7619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Tempo</a:t>
          </a:fld>
          <a:endParaRPr lang="en-US" sz="36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94</xdr:row>
      <xdr:rowOff>161925</xdr:rowOff>
    </xdr:from>
    <xdr:to>
      <xdr:col>11</xdr:col>
      <xdr:colOff>257625</xdr:colOff>
      <xdr:row>96</xdr:row>
      <xdr:rowOff>133350</xdr:rowOff>
    </xdr:to>
    <xdr:sp macro="" textlink="$B$78">
      <xdr:nvSpPr>
        <xdr:cNvPr id="8" name="CaixaDeTexto 7">
          <a:extLst>
            <a:ext uri="{FF2B5EF4-FFF2-40B4-BE49-F238E27FC236}">
              <a16:creationId xmlns:a16="http://schemas.microsoft.com/office/drawing/2014/main" id="{BAD7E488-64CD-46B7-9E2E-DA2D1A79BC18}"/>
            </a:ext>
          </a:extLst>
        </xdr:cNvPr>
        <xdr:cNvSpPr txBox="1"/>
      </xdr:nvSpPr>
      <xdr:spPr>
        <a:xfrm>
          <a:off x="6057900" y="151923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94</xdr:row>
      <xdr:rowOff>161925</xdr:rowOff>
    </xdr:from>
    <xdr:to>
      <xdr:col>13</xdr:col>
      <xdr:colOff>390525</xdr:colOff>
      <xdr:row>96</xdr:row>
      <xdr:rowOff>133350</xdr:rowOff>
    </xdr:to>
    <xdr:sp macro="" textlink="$E$108">
      <xdr:nvSpPr>
        <xdr:cNvPr id="11" name="CaixaDeTexto 10">
          <a:extLst>
            <a:ext uri="{FF2B5EF4-FFF2-40B4-BE49-F238E27FC236}">
              <a16:creationId xmlns:a16="http://schemas.microsoft.com/office/drawing/2014/main" id="{B04AC2A8-3FFA-4502-976F-E5CEA879A79A}"/>
            </a:ext>
          </a:extLst>
        </xdr:cNvPr>
        <xdr:cNvSpPr txBox="1"/>
      </xdr:nvSpPr>
      <xdr:spPr>
        <a:xfrm>
          <a:off x="7829550" y="151923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E60ED5-5B32-4785-8B94-182EF394DBD0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40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94</xdr:row>
      <xdr:rowOff>161925</xdr:rowOff>
    </xdr:from>
    <xdr:to>
      <xdr:col>12</xdr:col>
      <xdr:colOff>375000</xdr:colOff>
      <xdr:row>96</xdr:row>
      <xdr:rowOff>133350</xdr:rowOff>
    </xdr:to>
    <xdr:sp macro="" textlink="$C$108">
      <xdr:nvSpPr>
        <xdr:cNvPr id="22" name="CaixaDeTexto 21">
          <a:extLst>
            <a:ext uri="{FF2B5EF4-FFF2-40B4-BE49-F238E27FC236}">
              <a16:creationId xmlns:a16="http://schemas.microsoft.com/office/drawing/2014/main" id="{CE6C1CDF-A39F-4BBF-A372-37A9026069F3}"/>
            </a:ext>
          </a:extLst>
        </xdr:cNvPr>
        <xdr:cNvSpPr txBox="1"/>
      </xdr:nvSpPr>
      <xdr:spPr>
        <a:xfrm>
          <a:off x="7000875" y="151923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DBDE4C-2D4E-4A16-909E-C62FFE53C0CC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Qnt.</a:t>
          </a:fld>
          <a:endParaRPr lang="en-US" sz="4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109</xdr:row>
      <xdr:rowOff>161925</xdr:rowOff>
    </xdr:from>
    <xdr:to>
      <xdr:col>11</xdr:col>
      <xdr:colOff>257625</xdr:colOff>
      <xdr:row>111</xdr:row>
      <xdr:rowOff>133350</xdr:rowOff>
    </xdr:to>
    <xdr:sp macro="" textlink="$B$78">
      <xdr:nvSpPr>
        <xdr:cNvPr id="24" name="CaixaDeTexto 23">
          <a:extLst>
            <a:ext uri="{FF2B5EF4-FFF2-40B4-BE49-F238E27FC236}">
              <a16:creationId xmlns:a16="http://schemas.microsoft.com/office/drawing/2014/main" id="{9E45D30A-95C3-4163-A877-451593371A4C}"/>
            </a:ext>
          </a:extLst>
        </xdr:cNvPr>
        <xdr:cNvSpPr txBox="1"/>
      </xdr:nvSpPr>
      <xdr:spPr>
        <a:xfrm>
          <a:off x="6057900" y="180498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109</xdr:row>
      <xdr:rowOff>161925</xdr:rowOff>
    </xdr:from>
    <xdr:to>
      <xdr:col>13</xdr:col>
      <xdr:colOff>390525</xdr:colOff>
      <xdr:row>111</xdr:row>
      <xdr:rowOff>133350</xdr:rowOff>
    </xdr:to>
    <xdr:sp macro="" textlink="$E$123">
      <xdr:nvSpPr>
        <xdr:cNvPr id="25" name="CaixaDeTexto 24">
          <a:extLst>
            <a:ext uri="{FF2B5EF4-FFF2-40B4-BE49-F238E27FC236}">
              <a16:creationId xmlns:a16="http://schemas.microsoft.com/office/drawing/2014/main" id="{28022E68-6A32-4794-8F86-4CC4A5C64322}"/>
            </a:ext>
          </a:extLst>
        </xdr:cNvPr>
        <xdr:cNvSpPr txBox="1"/>
      </xdr:nvSpPr>
      <xdr:spPr>
        <a:xfrm>
          <a:off x="7829550" y="180498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CCDAC86-2A7B-4B17-B10E-4C30C7B0EC9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↓</a:t>
          </a:fld>
          <a:endParaRPr lang="en-US" sz="54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109</xdr:row>
      <xdr:rowOff>161925</xdr:rowOff>
    </xdr:from>
    <xdr:to>
      <xdr:col>12</xdr:col>
      <xdr:colOff>375000</xdr:colOff>
      <xdr:row>111</xdr:row>
      <xdr:rowOff>133350</xdr:rowOff>
    </xdr:to>
    <xdr:sp macro="" textlink="$C$123">
      <xdr:nvSpPr>
        <xdr:cNvPr id="26" name="CaixaDeTexto 25">
          <a:extLst>
            <a:ext uri="{FF2B5EF4-FFF2-40B4-BE49-F238E27FC236}">
              <a16:creationId xmlns:a16="http://schemas.microsoft.com/office/drawing/2014/main" id="{80AAA49B-0463-4EDD-8888-CC120CA47308}"/>
            </a:ext>
          </a:extLst>
        </xdr:cNvPr>
        <xdr:cNvSpPr txBox="1"/>
      </xdr:nvSpPr>
      <xdr:spPr>
        <a:xfrm>
          <a:off x="7000875" y="180498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5C7800F-B3FF-4256-BDD6-B5AE442DC6AB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R$</a:t>
          </a:fld>
          <a:endParaRPr lang="en-US" sz="66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139</xdr:row>
      <xdr:rowOff>161925</xdr:rowOff>
    </xdr:from>
    <xdr:to>
      <xdr:col>11</xdr:col>
      <xdr:colOff>257625</xdr:colOff>
      <xdr:row>141</xdr:row>
      <xdr:rowOff>133350</xdr:rowOff>
    </xdr:to>
    <xdr:sp macro="" textlink="$B$78">
      <xdr:nvSpPr>
        <xdr:cNvPr id="29" name="CaixaDeTexto 28">
          <a:extLst>
            <a:ext uri="{FF2B5EF4-FFF2-40B4-BE49-F238E27FC236}">
              <a16:creationId xmlns:a16="http://schemas.microsoft.com/office/drawing/2014/main" id="{45FDF70C-45B6-4996-81A2-5E73BCECA141}"/>
            </a:ext>
          </a:extLst>
        </xdr:cNvPr>
        <xdr:cNvSpPr txBox="1"/>
      </xdr:nvSpPr>
      <xdr:spPr>
        <a:xfrm>
          <a:off x="6057900" y="209073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139</xdr:row>
      <xdr:rowOff>161925</xdr:rowOff>
    </xdr:from>
    <xdr:to>
      <xdr:col>13</xdr:col>
      <xdr:colOff>390525</xdr:colOff>
      <xdr:row>141</xdr:row>
      <xdr:rowOff>133350</xdr:rowOff>
    </xdr:to>
    <xdr:sp macro="" textlink="$E$153">
      <xdr:nvSpPr>
        <xdr:cNvPr id="31" name="CaixaDeTexto 30">
          <a:extLst>
            <a:ext uri="{FF2B5EF4-FFF2-40B4-BE49-F238E27FC236}">
              <a16:creationId xmlns:a16="http://schemas.microsoft.com/office/drawing/2014/main" id="{3DD59A0D-74C6-4D55-83BE-6F1C1373D2CB}"/>
            </a:ext>
          </a:extLst>
        </xdr:cNvPr>
        <xdr:cNvSpPr txBox="1"/>
      </xdr:nvSpPr>
      <xdr:spPr>
        <a:xfrm>
          <a:off x="7829550" y="209073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ACE5C68-7F32-4862-B473-EAAFACBA157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↓</a:t>
          </a:fld>
          <a:endParaRPr lang="en-US" sz="72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139</xdr:row>
      <xdr:rowOff>161925</xdr:rowOff>
    </xdr:from>
    <xdr:to>
      <xdr:col>12</xdr:col>
      <xdr:colOff>375000</xdr:colOff>
      <xdr:row>141</xdr:row>
      <xdr:rowOff>133350</xdr:rowOff>
    </xdr:to>
    <xdr:sp macro="" textlink="$C$153">
      <xdr:nvSpPr>
        <xdr:cNvPr id="32" name="CaixaDeTexto 31">
          <a:extLst>
            <a:ext uri="{FF2B5EF4-FFF2-40B4-BE49-F238E27FC236}">
              <a16:creationId xmlns:a16="http://schemas.microsoft.com/office/drawing/2014/main" id="{E6DDDA64-3240-4F3E-AC4D-0E36705144F9}"/>
            </a:ext>
          </a:extLst>
        </xdr:cNvPr>
        <xdr:cNvSpPr txBox="1"/>
      </xdr:nvSpPr>
      <xdr:spPr>
        <a:xfrm>
          <a:off x="7000875" y="209073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AB6F3E7-9487-4A11-8A37-16DB2888766B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Qnt.</a:t>
          </a:fld>
          <a:endParaRPr lang="en-US" sz="8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504825</xdr:colOff>
      <xdr:row>124</xdr:row>
      <xdr:rowOff>161925</xdr:rowOff>
    </xdr:from>
    <xdr:to>
      <xdr:col>11</xdr:col>
      <xdr:colOff>257625</xdr:colOff>
      <xdr:row>126</xdr:row>
      <xdr:rowOff>133350</xdr:rowOff>
    </xdr:to>
    <xdr:sp macro="" textlink="$B$78">
      <xdr:nvSpPr>
        <xdr:cNvPr id="38" name="CaixaDeTexto 37">
          <a:extLst>
            <a:ext uri="{FF2B5EF4-FFF2-40B4-BE49-F238E27FC236}">
              <a16:creationId xmlns:a16="http://schemas.microsoft.com/office/drawing/2014/main" id="{EE607E5A-863F-4FD5-8332-597DC3B77598}"/>
            </a:ext>
          </a:extLst>
        </xdr:cNvPr>
        <xdr:cNvSpPr txBox="1"/>
      </xdr:nvSpPr>
      <xdr:spPr>
        <a:xfrm>
          <a:off x="6057900" y="20907375"/>
          <a:ext cx="972000" cy="352425"/>
        </a:xfrm>
        <a:prstGeom prst="rect">
          <a:avLst/>
        </a:prstGeom>
        <a:noFill/>
        <a:ln w="158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BF9C77-159F-4B8B-B0E7-47BF0430C35B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Valores em:</a:t>
          </a:fld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447675</xdr:colOff>
      <xdr:row>124</xdr:row>
      <xdr:rowOff>161925</xdr:rowOff>
    </xdr:from>
    <xdr:to>
      <xdr:col>13</xdr:col>
      <xdr:colOff>390525</xdr:colOff>
      <xdr:row>126</xdr:row>
      <xdr:rowOff>133350</xdr:rowOff>
    </xdr:to>
    <xdr:sp macro="" textlink="$E$138">
      <xdr:nvSpPr>
        <xdr:cNvPr id="39" name="CaixaDeTexto 38">
          <a:extLst>
            <a:ext uri="{FF2B5EF4-FFF2-40B4-BE49-F238E27FC236}">
              <a16:creationId xmlns:a16="http://schemas.microsoft.com/office/drawing/2014/main" id="{8B66681B-62B2-4B09-895F-1AAB7A22D213}"/>
            </a:ext>
          </a:extLst>
        </xdr:cNvPr>
        <xdr:cNvSpPr txBox="1"/>
      </xdr:nvSpPr>
      <xdr:spPr>
        <a:xfrm>
          <a:off x="7829550" y="20907375"/>
          <a:ext cx="552450" cy="352425"/>
        </a:xfrm>
        <a:prstGeom prst="roundRect">
          <a:avLst/>
        </a:prstGeom>
        <a:solidFill>
          <a:schemeClr val="bg1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D599524-A695-4EC6-A92D-E06111BCA489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↑</a:t>
          </a:fld>
          <a:endParaRPr lang="en-US" sz="72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228600</xdr:colOff>
      <xdr:row>124</xdr:row>
      <xdr:rowOff>161925</xdr:rowOff>
    </xdr:from>
    <xdr:to>
      <xdr:col>12</xdr:col>
      <xdr:colOff>375000</xdr:colOff>
      <xdr:row>126</xdr:row>
      <xdr:rowOff>133350</xdr:rowOff>
    </xdr:to>
    <xdr:sp macro="" textlink="$C$138">
      <xdr:nvSpPr>
        <xdr:cNvPr id="40" name="CaixaDeTexto 39">
          <a:extLst>
            <a:ext uri="{FF2B5EF4-FFF2-40B4-BE49-F238E27FC236}">
              <a16:creationId xmlns:a16="http://schemas.microsoft.com/office/drawing/2014/main" id="{575BE3B7-3108-4E9D-8064-470B4FD1D791}"/>
            </a:ext>
          </a:extLst>
        </xdr:cNvPr>
        <xdr:cNvSpPr txBox="1"/>
      </xdr:nvSpPr>
      <xdr:spPr>
        <a:xfrm>
          <a:off x="7000875" y="20907375"/>
          <a:ext cx="756000" cy="352425"/>
        </a:xfrm>
        <a:prstGeom prst="round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8F0AD24-4461-486E-9E49-BF0979C07517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%</a:t>
          </a:fld>
          <a:endParaRPr lang="en-US" sz="8800" b="1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14</xdr:col>
      <xdr:colOff>0</xdr:colOff>
      <xdr:row>152</xdr:row>
      <xdr:rowOff>187500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5DBF5196-D918-41F9-A55D-097011DFE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CELPAV/NOV96/CELPAV/COMPPR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D0BFC2\Link%20Salto%20Pil&#227;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arcoabs\Meus%20Documentos\Meus%20Documentos\RESUMO%20DO%20DBASE%20PARA%20O%20VIVEI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ownloads/CONSULTORIAS/CONSULTORIA%20EINSTEIN/3)%20MATERIAIS%20CONSULTOR/FERRAMENTAS/Vcp_la_110/c/CELPAV/NOV96/CELPAV/COMPPRO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bilio/Desktop/REICHE%20CONSULTORIA/10.%20MASTERMIND/20230802_VERTTI%20TECNOLOGIA_FABIO_VIRGINIA_GABRIEL/Mentoria_Daniel_Reiche_Fabio_Vertti%20Tecnologi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onsultor/Downloads/calculo_de_ponto_de_equilibrio_15_02_2022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2eb811e401631d4/Documentos/2019/PESSOAL/EINSTEIN/MATERIAL%20TREINAMENTO%20EINSTEIN/Vcp_la_110/c/CELPAV/NOV96/CELPAV/COMPPRO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Apoio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"/>
    </sheetNames>
    <sheetDataSet>
      <sheetData sheetId="0" refreshError="1">
        <row r="2">
          <cell r="C2" t="str">
            <v>Series</v>
          </cell>
          <cell r="D2" t="str">
            <v>Series</v>
          </cell>
        </row>
        <row r="3">
          <cell r="A3" t="str">
            <v>Contratual</v>
          </cell>
          <cell r="C3">
            <v>0.4763</v>
          </cell>
          <cell r="D3">
            <v>0.52370000000000005</v>
          </cell>
        </row>
        <row r="4">
          <cell r="A4" t="str">
            <v>Reprog. Orçam.</v>
          </cell>
          <cell r="C4">
            <v>0.55742957456172493</v>
          </cell>
          <cell r="D4">
            <v>0.44257042543827507</v>
          </cell>
        </row>
        <row r="5">
          <cell r="A5" t="str">
            <v>Real</v>
          </cell>
          <cell r="C5">
            <v>0.51600000000000001</v>
          </cell>
          <cell r="D5">
            <v>0.48399999999999999</v>
          </cell>
        </row>
        <row r="12">
          <cell r="B12" t="str">
            <v>Contratual</v>
          </cell>
          <cell r="C12" t="str">
            <v>Real</v>
          </cell>
        </row>
        <row r="13">
          <cell r="B13">
            <v>188.396764913211</v>
          </cell>
          <cell r="C13">
            <v>188.396764913211</v>
          </cell>
        </row>
        <row r="14">
          <cell r="A14" t="str">
            <v>Projeção</v>
          </cell>
          <cell r="B14">
            <v>98.663385785048604</v>
          </cell>
          <cell r="C14">
            <v>92.990767277740204</v>
          </cell>
        </row>
        <row r="15">
          <cell r="A15" t="str">
            <v>Acumulado até a data</v>
          </cell>
          <cell r="B15">
            <v>89.733379128162397</v>
          </cell>
          <cell r="C15">
            <v>95.405997635470797</v>
          </cell>
        </row>
        <row r="20">
          <cell r="B20" t="str">
            <v>Contratual</v>
          </cell>
          <cell r="C20" t="str">
            <v>Real</v>
          </cell>
        </row>
        <row r="21">
          <cell r="B21">
            <v>0</v>
          </cell>
          <cell r="C21">
            <v>36.671778419999995</v>
          </cell>
        </row>
        <row r="22">
          <cell r="A22" t="str">
            <v>Projeção</v>
          </cell>
          <cell r="B22">
            <v>0</v>
          </cell>
          <cell r="C22">
            <v>21.917291229999993</v>
          </cell>
        </row>
        <row r="23">
          <cell r="A23" t="str">
            <v>Acumulado até a data</v>
          </cell>
          <cell r="B23">
            <v>0</v>
          </cell>
          <cell r="C23">
            <v>14.754487190000003</v>
          </cell>
        </row>
        <row r="27">
          <cell r="B27" t="str">
            <v>Faturas Atrasadas</v>
          </cell>
          <cell r="C27" t="str">
            <v>FaturasaVencer</v>
          </cell>
          <cell r="D27" t="str">
            <v>ServiçosExec. ÑMedidos</v>
          </cell>
          <cell r="E27" t="str">
            <v>ServiçosMed. ÑFaturados</v>
          </cell>
          <cell r="F27" t="str">
            <v>Adianta-mentos</v>
          </cell>
          <cell r="G27" t="str">
            <v>PosiçãodeCrédito</v>
          </cell>
        </row>
        <row r="29">
          <cell r="A29" t="str">
            <v>Até 30 dias</v>
          </cell>
          <cell r="C29">
            <v>-13.013610628967099</v>
          </cell>
          <cell r="D29">
            <v>0</v>
          </cell>
          <cell r="E29">
            <v>0</v>
          </cell>
          <cell r="F29">
            <v>0</v>
          </cell>
          <cell r="G29" t="str">
            <v>e</v>
          </cell>
        </row>
        <row r="30">
          <cell r="A30" t="str">
            <v>De 30 a 90 dias</v>
          </cell>
          <cell r="B30">
            <v>0</v>
          </cell>
        </row>
        <row r="31">
          <cell r="A31" t="str">
            <v>Mais de 90 dias</v>
          </cell>
        </row>
        <row r="32">
          <cell r="A32" t="str">
            <v>Via Recibo</v>
          </cell>
        </row>
        <row r="33">
          <cell r="A33" t="str">
            <v>Via Fatura</v>
          </cell>
        </row>
        <row r="38">
          <cell r="C38" t="str">
            <v>Apresentado</v>
          </cell>
          <cell r="D38" t="str">
            <v>Label</v>
          </cell>
        </row>
        <row r="40">
          <cell r="A40" t="str">
            <v>Reprovado</v>
          </cell>
          <cell r="C40">
            <v>0</v>
          </cell>
        </row>
        <row r="41">
          <cell r="A41" t="str">
            <v>Não esperado</v>
          </cell>
          <cell r="C41">
            <v>1.5452216287262768</v>
          </cell>
        </row>
        <row r="42">
          <cell r="A42" t="str">
            <v>Esperado</v>
          </cell>
          <cell r="C42">
            <v>1.3445187631389617</v>
          </cell>
        </row>
        <row r="43">
          <cell r="A43" t="str">
            <v>Aprovado</v>
          </cell>
          <cell r="C43">
            <v>0.15</v>
          </cell>
        </row>
        <row r="44">
          <cell r="A44" t="str">
            <v>LB</v>
          </cell>
          <cell r="B44">
            <v>0.71517630642431274</v>
          </cell>
        </row>
        <row r="45">
          <cell r="A45" t="str">
            <v>Custo</v>
          </cell>
          <cell r="B45">
            <v>2.1745640854409256</v>
          </cell>
        </row>
        <row r="47">
          <cell r="A47" t="str">
            <v>Claims</v>
          </cell>
          <cell r="B47">
            <v>1</v>
          </cell>
        </row>
        <row r="48">
          <cell r="A48" t="str">
            <v>Alteraçãode Escopo</v>
          </cell>
          <cell r="B48">
            <v>0</v>
          </cell>
        </row>
        <row r="51">
          <cell r="B51" t="str">
            <v>Taxa deFreqüênciac afastam.</v>
          </cell>
        </row>
        <row r="52">
          <cell r="B52">
            <v>1.1000000000000001</v>
          </cell>
        </row>
        <row r="53">
          <cell r="A53" t="str">
            <v>Series</v>
          </cell>
          <cell r="B53">
            <v>0</v>
          </cell>
        </row>
        <row r="54">
          <cell r="A54" t="str">
            <v>Atual</v>
          </cell>
          <cell r="B54">
            <v>2</v>
          </cell>
        </row>
        <row r="56">
          <cell r="B56" t="str">
            <v>Taxa deGravidade</v>
          </cell>
        </row>
        <row r="57">
          <cell r="B57">
            <v>300</v>
          </cell>
        </row>
        <row r="58">
          <cell r="A58" t="str">
            <v>Series</v>
          </cell>
          <cell r="B58">
            <v>179</v>
          </cell>
        </row>
        <row r="59">
          <cell r="A59" t="str">
            <v>Atual</v>
          </cell>
          <cell r="B59">
            <v>121</v>
          </cell>
        </row>
        <row r="61">
          <cell r="B61" t="str">
            <v>AvaliaçãoAmbiental</v>
          </cell>
        </row>
        <row r="62">
          <cell r="B62">
            <v>8.6</v>
          </cell>
        </row>
        <row r="63">
          <cell r="A63" t="str">
            <v>Series</v>
          </cell>
          <cell r="B63">
            <v>-0.41999999999999993</v>
          </cell>
        </row>
        <row r="64">
          <cell r="A64" t="str">
            <v>Atual</v>
          </cell>
          <cell r="B64">
            <v>9.02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O DBASE PARA O VIVEIRO"/>
      <sheetName val="RESUMO_DO_DBASE_PARA_O_VIVEIRO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"/>
      <sheetName val="1"/>
      <sheetName val="2"/>
      <sheetName val="3"/>
      <sheetName val="4"/>
      <sheetName val="5"/>
      <sheetName val="6"/>
      <sheetName val="pivot"/>
      <sheetName val="Mentoria_Daniel_Reiche_Fabio_V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ad"/>
      <sheetName val="PE"/>
      <sheetName val="AC"/>
      <sheetName val="RC"/>
      <sheetName val="GR"/>
      <sheetName val="RI"/>
      <sheetName val="Instruções"/>
      <sheetName val="GR_Dados"/>
    </sheetNames>
    <sheetDataSet>
      <sheetData sheetId="0" refreshError="1"/>
      <sheetData sheetId="1">
        <row r="12">
          <cell r="B12" t="str">
            <v>Camisa</v>
          </cell>
        </row>
        <row r="13">
          <cell r="B13" t="str">
            <v>Calça</v>
          </cell>
        </row>
        <row r="14">
          <cell r="B14" t="str">
            <v>Camiseta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FFF7-07AD-4BC3-8DCE-3563B07E1C8D}">
  <sheetPr codeName="Planilha1">
    <tabColor theme="0" tint="-0.14999847407452621"/>
  </sheetPr>
  <dimension ref="B2:O6"/>
  <sheetViews>
    <sheetView showGridLines="0" zoomScaleNormal="100" workbookViewId="0">
      <selection activeCell="B2" sqref="B2:C2"/>
    </sheetView>
  </sheetViews>
  <sheetFormatPr defaultRowHeight="15" x14ac:dyDescent="0.25"/>
  <cols>
    <col min="2" max="2" width="8.5703125" customWidth="1"/>
    <col min="3" max="3" width="18.85546875" customWidth="1"/>
    <col min="4" max="4" width="0.85546875" customWidth="1"/>
    <col min="5" max="5" width="8.140625" customWidth="1"/>
    <col min="6" max="6" width="18.85546875" customWidth="1"/>
    <col min="7" max="7" width="0.85546875" customWidth="1"/>
    <col min="8" max="8" width="8.5703125" customWidth="1"/>
    <col min="9" max="9" width="18.85546875" customWidth="1"/>
    <col min="10" max="10" width="0.85546875" customWidth="1"/>
    <col min="11" max="11" width="8.5703125" customWidth="1"/>
    <col min="12" max="12" width="18.85546875" customWidth="1"/>
    <col min="13" max="13" width="0.85546875" customWidth="1"/>
    <col min="14" max="14" width="8.5703125" customWidth="1"/>
    <col min="15" max="15" width="18.85546875" customWidth="1"/>
  </cols>
  <sheetData>
    <row r="2" spans="2:15" ht="59.1" customHeight="1" x14ac:dyDescent="0.25">
      <c r="B2" s="75" t="s">
        <v>49</v>
      </c>
      <c r="C2" s="76"/>
      <c r="E2" s="77" t="s">
        <v>50</v>
      </c>
      <c r="F2" s="77"/>
      <c r="G2" s="77"/>
      <c r="H2" s="77"/>
      <c r="I2" s="77"/>
      <c r="J2" s="77"/>
      <c r="K2" s="77"/>
      <c r="L2" s="78"/>
      <c r="N2" s="73" t="s">
        <v>51</v>
      </c>
      <c r="O2" s="74"/>
    </row>
    <row r="3" spans="2:15" ht="8.1" customHeight="1" x14ac:dyDescent="0.25"/>
    <row r="4" spans="2:15" ht="74.45" customHeight="1" x14ac:dyDescent="0.25">
      <c r="B4" s="31">
        <v>1</v>
      </c>
      <c r="C4" s="53" t="s">
        <v>52</v>
      </c>
      <c r="E4" s="31">
        <v>2</v>
      </c>
      <c r="F4" s="53" t="s">
        <v>82</v>
      </c>
      <c r="H4" s="31">
        <v>3</v>
      </c>
      <c r="I4" s="53" t="s">
        <v>9</v>
      </c>
      <c r="K4" s="31">
        <v>4</v>
      </c>
      <c r="L4" s="53" t="s">
        <v>56</v>
      </c>
      <c r="N4" s="31">
        <v>5</v>
      </c>
      <c r="O4" s="53" t="s">
        <v>53</v>
      </c>
    </row>
    <row r="5" spans="2:15" ht="8.1" customHeight="1" x14ac:dyDescent="0.25"/>
    <row r="6" spans="2:15" ht="56.45" customHeight="1" x14ac:dyDescent="0.25">
      <c r="B6" s="71" t="s">
        <v>32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</row>
  </sheetData>
  <mergeCells count="4">
    <mergeCell ref="B6:O6"/>
    <mergeCell ref="N2:O2"/>
    <mergeCell ref="B2:C2"/>
    <mergeCell ref="E2:L2"/>
  </mergeCells>
  <hyperlinks>
    <hyperlink ref="B4" location="'1.'!A1" display="'1.'!A1" xr:uid="{EF778135-2564-4CD3-BDB8-EB6BFFB8A39C}"/>
    <hyperlink ref="H4" location="'3.'!A1" display="'3.'!A1" xr:uid="{4BC7A2E8-B87A-4A29-B2DA-0EF12764172A}"/>
    <hyperlink ref="K4" location="'4.'!A1" display="'4.'!A1" xr:uid="{36C736AF-108B-440D-9E74-90623B42B272}"/>
    <hyperlink ref="N4" location="'5.'!A1" display="'5.'!A1" xr:uid="{8F886D7C-7347-4278-9F1A-1CB3CCD65E46}"/>
    <hyperlink ref="E4" location="'2.'!A1" display="'2.'!A1" xr:uid="{EF65B105-1D57-4811-8429-C070BF8A999D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5CD0-0A11-400A-9F83-4AB0AC771A6F}">
  <sheetPr codeName="Planilha2">
    <tabColor theme="0" tint="-0.14999847407452621"/>
  </sheetPr>
  <dimension ref="A1:BV33"/>
  <sheetViews>
    <sheetView showGridLines="0" tabSelected="1" zoomScale="70" zoomScaleNormal="70" workbookViewId="0">
      <pane ySplit="4" topLeftCell="A6" activePane="bottomLeft" state="frozen"/>
      <selection activeCell="H9" sqref="H9"/>
      <selection pane="bottomLeft" activeCell="C6" sqref="C6"/>
    </sheetView>
  </sheetViews>
  <sheetFormatPr defaultColWidth="0" defaultRowHeight="15" x14ac:dyDescent="0.25"/>
  <cols>
    <col min="1" max="1" width="1.28515625" customWidth="1"/>
    <col min="2" max="2" width="10.85546875" customWidth="1"/>
    <col min="3" max="3" width="66.5703125" customWidth="1"/>
    <col min="4" max="4" width="14.42578125" customWidth="1"/>
    <col min="5" max="5" width="17.85546875" customWidth="1"/>
    <col min="6" max="6" width="20.7109375" bestFit="1" customWidth="1"/>
    <col min="7" max="7" width="1" customWidth="1"/>
    <col min="8" max="8" width="12" style="17" customWidth="1"/>
    <col min="9" max="9" width="2.5703125" style="17" customWidth="1"/>
    <col min="10" max="12" width="10.7109375" style="17" customWidth="1"/>
    <col min="13" max="13" width="6.7109375" style="17" bestFit="1" customWidth="1"/>
    <col min="14" max="14" width="1.140625" customWidth="1"/>
    <col min="15" max="17" width="10.7109375" style="17" customWidth="1"/>
    <col min="18" max="18" width="6.7109375" style="17" bestFit="1" customWidth="1"/>
    <col min="19" max="19" width="1.140625" customWidth="1"/>
    <col min="20" max="22" width="10.7109375" style="17" customWidth="1"/>
    <col min="23" max="23" width="6.7109375" style="17" bestFit="1" customWidth="1"/>
    <col min="24" max="24" width="1.140625" customWidth="1"/>
    <col min="25" max="27" width="10.7109375" style="17" customWidth="1"/>
    <col min="28" max="28" width="6.7109375" style="17" bestFit="1" customWidth="1"/>
    <col min="29" max="29" width="1.140625" customWidth="1"/>
    <col min="30" max="32" width="10.7109375" style="17" customWidth="1"/>
    <col min="33" max="33" width="6.7109375" style="17" bestFit="1" customWidth="1"/>
    <col min="34" max="34" width="1.140625" customWidth="1"/>
    <col min="35" max="37" width="10.7109375" style="17" customWidth="1"/>
    <col min="38" max="38" width="6.7109375" style="17" bestFit="1" customWidth="1"/>
    <col min="39" max="39" width="1.140625" customWidth="1"/>
    <col min="40" max="42" width="10.7109375" style="17" customWidth="1"/>
    <col min="43" max="43" width="6.7109375" style="17" bestFit="1" customWidth="1"/>
    <col min="44" max="44" width="1.140625" customWidth="1"/>
    <col min="45" max="47" width="10.7109375" style="17" customWidth="1"/>
    <col min="48" max="48" width="6.7109375" style="17" bestFit="1" customWidth="1"/>
    <col min="49" max="49" width="1.140625" customWidth="1"/>
    <col min="50" max="52" width="10.7109375" style="17" customWidth="1"/>
    <col min="53" max="53" width="6.7109375" style="17" bestFit="1" customWidth="1"/>
    <col min="54" max="54" width="1.140625" customWidth="1"/>
    <col min="55" max="57" width="10.7109375" style="17" customWidth="1"/>
    <col min="58" max="58" width="6.7109375" style="17" bestFit="1" customWidth="1"/>
    <col min="59" max="59" width="1.140625" customWidth="1"/>
    <col min="60" max="62" width="10.7109375" style="17" customWidth="1"/>
    <col min="63" max="63" width="6.7109375" style="17" bestFit="1" customWidth="1"/>
    <col min="64" max="64" width="1.140625" customWidth="1"/>
    <col min="65" max="67" width="10.7109375" style="17" customWidth="1"/>
    <col min="68" max="68" width="6.7109375" style="17" bestFit="1" customWidth="1"/>
    <col min="69" max="69" width="2.7109375" customWidth="1"/>
    <col min="70" max="70" width="11.42578125" bestFit="1" customWidth="1"/>
    <col min="71" max="71" width="9.7109375" bestFit="1" customWidth="1"/>
    <col min="72" max="72" width="12.140625" bestFit="1" customWidth="1"/>
    <col min="73" max="73" width="6.7109375" bestFit="1" customWidth="1"/>
    <col min="74" max="74" width="1.140625" customWidth="1"/>
    <col min="75" max="16384" width="9.140625" hidden="1"/>
  </cols>
  <sheetData>
    <row r="1" spans="2:73" ht="5.45" customHeight="1" x14ac:dyDescent="0.25"/>
    <row r="2" spans="2:73" ht="51" customHeight="1" x14ac:dyDescent="0.25">
      <c r="B2" s="50" t="s">
        <v>26</v>
      </c>
      <c r="C2" s="52" t="s">
        <v>54</v>
      </c>
      <c r="D2" s="80" t="str">
        <f>HOME!E2</f>
        <v>NOME DO PILAR</v>
      </c>
      <c r="E2" s="81"/>
      <c r="F2" s="81"/>
      <c r="G2" s="81"/>
      <c r="H2" s="81"/>
      <c r="J2" s="79" t="s">
        <v>35</v>
      </c>
      <c r="K2" s="79"/>
      <c r="L2" s="79"/>
      <c r="M2" s="79"/>
      <c r="O2" s="79" t="s">
        <v>36</v>
      </c>
      <c r="P2" s="79"/>
      <c r="Q2" s="79"/>
      <c r="R2" s="79"/>
      <c r="T2" s="79" t="s">
        <v>37</v>
      </c>
      <c r="U2" s="79"/>
      <c r="V2" s="79"/>
      <c r="W2" s="79"/>
      <c r="Y2" s="79" t="s">
        <v>38</v>
      </c>
      <c r="Z2" s="79"/>
      <c r="AA2" s="79"/>
      <c r="AB2" s="79"/>
      <c r="AD2" s="79" t="s">
        <v>39</v>
      </c>
      <c r="AE2" s="79"/>
      <c r="AF2" s="79"/>
      <c r="AG2" s="79"/>
      <c r="AI2" s="79" t="s">
        <v>40</v>
      </c>
      <c r="AJ2" s="79"/>
      <c r="AK2" s="79"/>
      <c r="AL2" s="79"/>
      <c r="AN2" s="79" t="s">
        <v>41</v>
      </c>
      <c r="AO2" s="79"/>
      <c r="AP2" s="79"/>
      <c r="AQ2" s="79"/>
      <c r="AS2" s="79" t="s">
        <v>42</v>
      </c>
      <c r="AT2" s="79"/>
      <c r="AU2" s="79"/>
      <c r="AV2" s="79"/>
      <c r="AX2" s="79" t="s">
        <v>43</v>
      </c>
      <c r="AY2" s="79"/>
      <c r="AZ2" s="79"/>
      <c r="BA2" s="79"/>
      <c r="BC2" s="79" t="s">
        <v>44</v>
      </c>
      <c r="BD2" s="79"/>
      <c r="BE2" s="79"/>
      <c r="BF2" s="79"/>
      <c r="BH2" s="79" t="s">
        <v>45</v>
      </c>
      <c r="BI2" s="79"/>
      <c r="BJ2" s="79"/>
      <c r="BK2" s="79"/>
      <c r="BM2" s="79" t="s">
        <v>46</v>
      </c>
      <c r="BN2" s="79"/>
      <c r="BO2" s="79"/>
      <c r="BP2" s="79"/>
      <c r="BR2" s="79" t="s">
        <v>60</v>
      </c>
      <c r="BS2" s="79"/>
      <c r="BT2" s="79"/>
      <c r="BU2" s="79"/>
    </row>
    <row r="3" spans="2:73" ht="6" customHeight="1" x14ac:dyDescent="0.25">
      <c r="F3" s="18"/>
      <c r="BR3" s="17"/>
      <c r="BS3" s="17"/>
      <c r="BT3" s="17"/>
      <c r="BU3" s="17"/>
    </row>
    <row r="4" spans="2:73" s="18" customFormat="1" ht="29.1" customHeight="1" x14ac:dyDescent="0.25">
      <c r="B4" s="45" t="s">
        <v>3</v>
      </c>
      <c r="C4" s="45" t="s">
        <v>10</v>
      </c>
      <c r="D4" s="46" t="s">
        <v>48</v>
      </c>
      <c r="E4" s="47" t="s">
        <v>11</v>
      </c>
      <c r="F4" s="47" t="s">
        <v>12</v>
      </c>
      <c r="H4" s="21" t="s">
        <v>13</v>
      </c>
      <c r="I4" s="17"/>
      <c r="J4" s="35" t="s">
        <v>14</v>
      </c>
      <c r="K4" s="35" t="s">
        <v>33</v>
      </c>
      <c r="L4" s="35" t="s">
        <v>34</v>
      </c>
      <c r="M4" s="35" t="s">
        <v>11</v>
      </c>
      <c r="O4" s="35" t="s">
        <v>14</v>
      </c>
      <c r="P4" s="35" t="s">
        <v>33</v>
      </c>
      <c r="Q4" s="35" t="s">
        <v>34</v>
      </c>
      <c r="R4" s="35" t="s">
        <v>11</v>
      </c>
      <c r="T4" s="35" t="s">
        <v>14</v>
      </c>
      <c r="U4" s="35" t="s">
        <v>33</v>
      </c>
      <c r="V4" s="35" t="s">
        <v>34</v>
      </c>
      <c r="W4" s="35" t="s">
        <v>11</v>
      </c>
      <c r="Y4" s="35" t="s">
        <v>14</v>
      </c>
      <c r="Z4" s="35" t="s">
        <v>33</v>
      </c>
      <c r="AA4" s="35" t="s">
        <v>34</v>
      </c>
      <c r="AB4" s="35" t="s">
        <v>11</v>
      </c>
      <c r="AD4" s="35" t="s">
        <v>14</v>
      </c>
      <c r="AE4" s="35" t="s">
        <v>33</v>
      </c>
      <c r="AF4" s="35" t="s">
        <v>34</v>
      </c>
      <c r="AG4" s="35" t="s">
        <v>11</v>
      </c>
      <c r="AI4" s="35" t="s">
        <v>14</v>
      </c>
      <c r="AJ4" s="35" t="s">
        <v>33</v>
      </c>
      <c r="AK4" s="35" t="s">
        <v>34</v>
      </c>
      <c r="AL4" s="35" t="s">
        <v>11</v>
      </c>
      <c r="AN4" s="35" t="s">
        <v>14</v>
      </c>
      <c r="AO4" s="35" t="s">
        <v>33</v>
      </c>
      <c r="AP4" s="35" t="s">
        <v>34</v>
      </c>
      <c r="AQ4" s="35" t="s">
        <v>11</v>
      </c>
      <c r="AS4" s="35" t="s">
        <v>14</v>
      </c>
      <c r="AT4" s="35" t="s">
        <v>33</v>
      </c>
      <c r="AU4" s="35" t="s">
        <v>34</v>
      </c>
      <c r="AV4" s="35" t="s">
        <v>11</v>
      </c>
      <c r="AX4" s="35" t="s">
        <v>14</v>
      </c>
      <c r="AY4" s="35" t="s">
        <v>33</v>
      </c>
      <c r="AZ4" s="35" t="s">
        <v>34</v>
      </c>
      <c r="BA4" s="35" t="s">
        <v>11</v>
      </c>
      <c r="BC4" s="35" t="s">
        <v>14</v>
      </c>
      <c r="BD4" s="35" t="s">
        <v>33</v>
      </c>
      <c r="BE4" s="35" t="s">
        <v>34</v>
      </c>
      <c r="BF4" s="35" t="s">
        <v>11</v>
      </c>
      <c r="BH4" s="35" t="s">
        <v>14</v>
      </c>
      <c r="BI4" s="35" t="s">
        <v>33</v>
      </c>
      <c r="BJ4" s="35" t="s">
        <v>34</v>
      </c>
      <c r="BK4" s="35" t="s">
        <v>11</v>
      </c>
      <c r="BM4" s="35" t="s">
        <v>14</v>
      </c>
      <c r="BN4" s="35" t="s">
        <v>33</v>
      </c>
      <c r="BO4" s="35" t="s">
        <v>34</v>
      </c>
      <c r="BP4" s="35" t="s">
        <v>11</v>
      </c>
      <c r="BR4" s="35" t="s">
        <v>14</v>
      </c>
      <c r="BS4" s="35" t="s">
        <v>33</v>
      </c>
      <c r="BT4" s="35" t="s">
        <v>34</v>
      </c>
      <c r="BU4" s="35" t="s">
        <v>11</v>
      </c>
    </row>
    <row r="5" spans="2:73" s="2" customFormat="1" ht="4.5" customHeight="1" x14ac:dyDescent="0.25">
      <c r="I5" s="17"/>
    </row>
    <row r="6" spans="2:73" s="2" customFormat="1" ht="51" customHeight="1" x14ac:dyDescent="0.25">
      <c r="B6" s="48">
        <v>1</v>
      </c>
      <c r="C6" s="49"/>
      <c r="D6" s="61" t="s">
        <v>47</v>
      </c>
      <c r="E6" s="37" t="s">
        <v>28</v>
      </c>
      <c r="F6" s="38" t="s">
        <v>31</v>
      </c>
      <c r="G6"/>
      <c r="H6" s="39" t="s">
        <v>15</v>
      </c>
      <c r="I6" s="17"/>
      <c r="J6" s="40"/>
      <c r="K6" s="40"/>
      <c r="L6" s="36">
        <f t="shared" ref="L6:L10" si="0">IF(H6="↓",J6-K6,IF(H6="↑",K6-J6,0))</f>
        <v>0</v>
      </c>
      <c r="M6" s="51" cm="1">
        <f t="array" ref="M6">_xlfn.IFS($H$6="↑",IF(K6&gt;=J6,3,IF(K6&gt;=J6*80%,2,1)),$H$6="↓",IF(K6&gt;J6,1,IF(K6&gt;=J6*80%,3,3)))</f>
        <v>3</v>
      </c>
      <c r="O6" s="40">
        <f>$J$6</f>
        <v>0</v>
      </c>
      <c r="P6" s="40"/>
      <c r="Q6" s="36">
        <f>IF($H$6="↓",O6-P6,IF($H$6="↑",P6-O6,0))</f>
        <v>0</v>
      </c>
      <c r="R6" s="51" cm="1">
        <f t="array" ref="R6">_xlfn.IFS($H$6="↑",IF(P6&gt;=O6,3,IF(P6&gt;=O6*80%,2,1)),$H$6="↓",IF(P6&gt;O6,1,IF(P6&gt;=O6*80%,3,3)))</f>
        <v>3</v>
      </c>
      <c r="T6" s="40">
        <f>$J$6</f>
        <v>0</v>
      </c>
      <c r="U6" s="40">
        <v>13000</v>
      </c>
      <c r="V6" s="36">
        <f>IF($H$6="↓",T6-U6,IF($H$6="↑",U6-T6,0))</f>
        <v>13000</v>
      </c>
      <c r="W6" s="51" cm="1">
        <f t="array" ref="W6">_xlfn.IFS($H$6="↑",IF(U6&gt;=T6,3,IF(U6&gt;=T6*80%,2,1)),$H$6="↓",IF(U6&gt;T6,1,IF(U6&gt;=T6*80%,3,3)))</f>
        <v>3</v>
      </c>
      <c r="Y6" s="40">
        <f>$J$6</f>
        <v>0</v>
      </c>
      <c r="Z6" s="40"/>
      <c r="AA6" s="36">
        <f>IF($H$6="↓",Y6-Z6,IF($H$6="↑",Z6-Y6,0))</f>
        <v>0</v>
      </c>
      <c r="AB6" s="51" cm="1">
        <f t="array" ref="AB6">_xlfn.IFS($H$6="↑",IF(Z6&gt;=Y6,3,IF(Z6&gt;=Y6*80%,2,1)),$H$6="↓",IF(Z6&gt;Y6,1,IF(Z6&gt;=Y6*80%,3,3)))</f>
        <v>3</v>
      </c>
      <c r="AD6" s="40">
        <f>$J$6</f>
        <v>0</v>
      </c>
      <c r="AE6" s="40"/>
      <c r="AF6" s="36">
        <f>IF($H$6="↓",AD6-AE6,IF($H$6="↑",AE6-AD6,0))</f>
        <v>0</v>
      </c>
      <c r="AG6" s="51" cm="1">
        <f t="array" ref="AG6">_xlfn.IFS($H$6="↑",IF(AE6&gt;=AD6,3,IF(AE6&gt;=AD6*80%,2,1)),$H$6="↓",IF(AE6&gt;AD6,1,IF(AE6&gt;=AD6*80%,3,3)))</f>
        <v>3</v>
      </c>
      <c r="AI6" s="40">
        <f>$J$6</f>
        <v>0</v>
      </c>
      <c r="AJ6" s="40"/>
      <c r="AK6" s="36">
        <f>IF($H$6="↓",AI6-AJ6,IF($H$6="↑",AJ6-AI6,0))</f>
        <v>0</v>
      </c>
      <c r="AL6" s="51" cm="1">
        <f t="array" ref="AL6">_xlfn.IFS($H$6="↑",IF(AJ6&gt;=AI6,3,IF(AJ6&gt;=AI6*80%,2,1)),$H$6="↓",IF(AJ6&gt;AI6,1,IF(AJ6&gt;=AI6*80%,3,3)))</f>
        <v>3</v>
      </c>
      <c r="AN6" s="40">
        <f>$J$6</f>
        <v>0</v>
      </c>
      <c r="AO6" s="40"/>
      <c r="AP6" s="36">
        <f>IF($H$6="↓",AN6-AO6,IF($H$6="↑",AO6-AN6,0))</f>
        <v>0</v>
      </c>
      <c r="AQ6" s="51" cm="1">
        <f t="array" ref="AQ6">_xlfn.IFS($H$6="↑",IF(AO6&gt;=AN6,3,IF(AO6&gt;=AN6*80%,2,1)),$H$6="↓",IF(AO6&gt;AN6,1,IF(AO6&gt;=AN6*80%,3,3)))</f>
        <v>3</v>
      </c>
      <c r="AS6" s="40">
        <f>$J$6</f>
        <v>0</v>
      </c>
      <c r="AT6" s="40"/>
      <c r="AU6" s="36">
        <f>IF($H$6="↓",AS6-AT6,IF($H$6="↑",AT6-AS6,0))</f>
        <v>0</v>
      </c>
      <c r="AV6" s="51" cm="1">
        <f t="array" ref="AV6">_xlfn.IFS($H$6="↑",IF(AT6&gt;=AS6,3,IF(AT6&gt;=AS6*80%,2,1)),$H$6="↓",IF(AT6&gt;AS6,1,IF(AT6&gt;=AS6*80%,3,3)))</f>
        <v>3</v>
      </c>
      <c r="AX6" s="40">
        <f>$J$6</f>
        <v>0</v>
      </c>
      <c r="AY6" s="40"/>
      <c r="AZ6" s="36">
        <f>IF($H$6="↓",AX6-AY6,IF($H$6="↑",AY6-AX6,0))</f>
        <v>0</v>
      </c>
      <c r="BA6" s="51" cm="1">
        <f t="array" ref="BA6">_xlfn.IFS($H$6="↑",IF(AY6&gt;=AX6,3,IF(AY6&gt;=AX6*80%,2,1)),$H$6="↓",IF(AY6&gt;AX6,1,IF(AY6&gt;=AX6*80%,3,3)))</f>
        <v>3</v>
      </c>
      <c r="BC6" s="40">
        <f>$J$6</f>
        <v>0</v>
      </c>
      <c r="BD6" s="40"/>
      <c r="BE6" s="36">
        <f>IF($H$6="↓",BC6-BD6,IF($H$6="↑",BD6-BC6,0))</f>
        <v>0</v>
      </c>
      <c r="BF6" s="51" cm="1">
        <f t="array" ref="BF6">_xlfn.IFS($H$6="↑",IF(BD6&gt;=BC6,3,IF(BD6&gt;=BC6*80%,2,1)),$H$6="↓",IF(BD6&gt;BC6,1,IF(BD6&gt;=BC6*80%,3,3)))</f>
        <v>3</v>
      </c>
      <c r="BH6" s="40">
        <f>$J$6</f>
        <v>0</v>
      </c>
      <c r="BI6" s="40"/>
      <c r="BJ6" s="36">
        <f>IF($H$6="↓",BH6-BI6,IF($H$6="↑",BI6-BH6,0))</f>
        <v>0</v>
      </c>
      <c r="BK6" s="51" cm="1">
        <f t="array" ref="BK6">_xlfn.IFS($H$6="↑",IF(BI6&gt;=BH6,3,IF(BI6&gt;=BH6*80%,2,1)),$H$6="↓",IF(BI6&gt;BH6,1,IF(BI6&gt;=BH6*80%,3,3)))</f>
        <v>3</v>
      </c>
      <c r="BM6" s="40">
        <f>$J$6</f>
        <v>0</v>
      </c>
      <c r="BN6" s="40"/>
      <c r="BO6" s="36">
        <f>IF($H$6="↓",BM6-BN6,IF($H$6="↑",BN6-BM6,0))</f>
        <v>0</v>
      </c>
      <c r="BP6" s="51" cm="1">
        <f t="array" ref="BP6">_xlfn.IFS($H$6="↑",IF(BN6&gt;=BM6,3,IF(BN6&gt;=BM6*80%,2,1)),$H$6="↓",IF(BN6&gt;BM6,1,IF(BN6&gt;=BM6*80%,3,3)))</f>
        <v>3</v>
      </c>
      <c r="BR6" s="40">
        <f>SUM(J6,O6,T6,Y6,AD6,AI6,AN6,AS6,AX6,BC6,BH6,BM6)</f>
        <v>0</v>
      </c>
      <c r="BS6" s="40">
        <f>SUM(K6,P6,U6,Z6,AE6,AJ6,AO6,AT6,AY6,BD6,BI6,BN6)</f>
        <v>13000</v>
      </c>
      <c r="BT6" s="36">
        <f>IF($H$6="↓",BR6-BS6,IF($H$6="↑",BS6-BR6,0))</f>
        <v>13000</v>
      </c>
      <c r="BU6" s="51" cm="1">
        <f t="array" ref="BU6">_xlfn.IFS($H$6="↑",IF(BS6&gt;=BR6,3,IF(BS6&gt;=BR6*80%,2,1)),$H$6="↓",IF(BS6&gt;BR6,1,IF(BS6&gt;=BR6*80%,3,3)))</f>
        <v>3</v>
      </c>
    </row>
    <row r="7" spans="2:73" ht="51" customHeight="1" x14ac:dyDescent="0.25">
      <c r="B7" s="48">
        <v>2</v>
      </c>
      <c r="C7" s="49"/>
      <c r="D7" s="61" t="s">
        <v>57</v>
      </c>
      <c r="E7" s="37" t="s">
        <v>29</v>
      </c>
      <c r="F7" s="38" t="s">
        <v>31</v>
      </c>
      <c r="H7" s="39" t="s">
        <v>15</v>
      </c>
      <c r="J7" s="40"/>
      <c r="K7" s="40"/>
      <c r="L7" s="36">
        <f t="shared" si="0"/>
        <v>0</v>
      </c>
      <c r="M7" s="51" cm="1">
        <f t="array" ref="M7">_xlfn.IFS($H$7="↑",IF(K7&gt;=J7,3,IF(K7&gt;=J7*80%,2,1)),$H$7="↓",IF(K7&gt;J7,1,IF(K7&gt;=J7*80%,3,3)))</f>
        <v>3</v>
      </c>
      <c r="O7" s="40">
        <f>$J$7</f>
        <v>0</v>
      </c>
      <c r="P7" s="40"/>
      <c r="Q7" s="36">
        <f>IF($H$7="↓",O7-P7,IF($H$7="↑",P7-O7,0))</f>
        <v>0</v>
      </c>
      <c r="R7" s="51" cm="1">
        <f t="array" ref="R7">_xlfn.IFS($H$7="↑",IF(P7&gt;=O7,3,IF(P7&gt;=O7*80%,2,1)),$H$7="↓",IF(P7&gt;O7,1,IF(P7&gt;=O7*80%,3,3)))</f>
        <v>3</v>
      </c>
      <c r="T7" s="40">
        <f>$J$7</f>
        <v>0</v>
      </c>
      <c r="U7" s="40"/>
      <c r="V7" s="36">
        <f>IF($H$7="↓",T7-U7,IF($H$7="↑",U7-T7,0))</f>
        <v>0</v>
      </c>
      <c r="W7" s="51" cm="1">
        <f t="array" ref="W7">_xlfn.IFS($H$7="↑",IF(U7&gt;=T7,3,IF(U7&gt;=T7*80%,2,1)),$H$7="↓",IF(U7&gt;T7,1,IF(U7&gt;=T7*80%,3,3)))</f>
        <v>3</v>
      </c>
      <c r="Y7" s="40">
        <f>$J$7</f>
        <v>0</v>
      </c>
      <c r="Z7" s="40"/>
      <c r="AA7" s="36">
        <f>IF($H$7="↓",Y7-Z7,IF($H$7="↑",Z7-Y7,0))</f>
        <v>0</v>
      </c>
      <c r="AB7" s="51" cm="1">
        <f t="array" ref="AB7">_xlfn.IFS($H$7="↑",IF(Z7&gt;=Y7,3,IF(Z7&gt;=Y7*80%,2,1)),$H$7="↓",IF(Z7&gt;Y7,1,IF(Z7&gt;=Y7*80%,3,3)))</f>
        <v>3</v>
      </c>
      <c r="AD7" s="40">
        <f>$J$7</f>
        <v>0</v>
      </c>
      <c r="AE7" s="40"/>
      <c r="AF7" s="36">
        <f>IF($H$7="↓",AD7-AE7,IF($H$7="↑",AE7-AD7,0))</f>
        <v>0</v>
      </c>
      <c r="AG7" s="51" cm="1">
        <f t="array" ref="AG7">_xlfn.IFS($H$7="↑",IF(AE7&gt;=AD7,3,IF(AE7&gt;=AD7*80%,2,1)),$H$7="↓",IF(AE7&gt;AD7,1,IF(AE7&gt;=AD7*80%,3,3)))</f>
        <v>3</v>
      </c>
      <c r="AI7" s="40">
        <f>$J$7</f>
        <v>0</v>
      </c>
      <c r="AJ7" s="40"/>
      <c r="AK7" s="36">
        <f>IF($H$7="↓",AI7-AJ7,IF($H$7="↑",AJ7-AI7,0))</f>
        <v>0</v>
      </c>
      <c r="AL7" s="51" cm="1">
        <f t="array" ref="AL7">_xlfn.IFS($H$7="↑",IF(AJ7&gt;=AI7,3,IF(AJ7&gt;=AI7*80%,2,1)),$H$7="↓",IF(AJ7&gt;AI7,1,IF(AJ7&gt;=AI7*80%,3,3)))</f>
        <v>3</v>
      </c>
      <c r="AN7" s="40">
        <f>$J$7</f>
        <v>0</v>
      </c>
      <c r="AO7" s="40"/>
      <c r="AP7" s="36">
        <f>IF($H$7="↓",AN7-AO7,IF($H$7="↑",AO7-AN7,0))</f>
        <v>0</v>
      </c>
      <c r="AQ7" s="51" cm="1">
        <f t="array" ref="AQ7">_xlfn.IFS($H$7="↑",IF(AO7&gt;=AN7,3,IF(AO7&gt;=AN7*80%,2,1)),$H$7="↓",IF(AO7&gt;AN7,1,IF(AO7&gt;=AN7*80%,3,3)))</f>
        <v>3</v>
      </c>
      <c r="AS7" s="40">
        <f>$J$7</f>
        <v>0</v>
      </c>
      <c r="AT7" s="40"/>
      <c r="AU7" s="36">
        <f>IF($H$7="↓",AS7-AT7,IF($H$7="↑",AT7-AS7,0))</f>
        <v>0</v>
      </c>
      <c r="AV7" s="51" cm="1">
        <f t="array" ref="AV7">_xlfn.IFS($H$7="↑",IF(AT7&gt;=AS7,3,IF(AT7&gt;=AS7*80%,2,1)),$H$7="↓",IF(AT7&gt;AS7,1,IF(AT7&gt;=AS7*80%,3,3)))</f>
        <v>3</v>
      </c>
      <c r="AX7" s="40">
        <f>$J$7</f>
        <v>0</v>
      </c>
      <c r="AY7" s="40"/>
      <c r="AZ7" s="36">
        <f>IF($H$7="↓",AX7-AY7,IF($H$7="↑",AY7-AX7,0))</f>
        <v>0</v>
      </c>
      <c r="BA7" s="51" cm="1">
        <f t="array" ref="BA7">_xlfn.IFS($H$7="↑",IF(AY7&gt;=AX7,3,IF(AY7&gt;=AX7*80%,2,1)),$H$7="↓",IF(AY7&gt;AX7,1,IF(AY7&gt;=AX7*80%,3,3)))</f>
        <v>3</v>
      </c>
      <c r="BC7" s="40">
        <f>$J$7</f>
        <v>0</v>
      </c>
      <c r="BD7" s="40"/>
      <c r="BE7" s="36">
        <f>IF($H$6="↓",BC7-BD7,IF($H$6="↑",BD7-BC7,0))</f>
        <v>0</v>
      </c>
      <c r="BF7" s="51" cm="1">
        <f t="array" ref="BF7">_xlfn.IFS($H$7="↑",IF(BD7&gt;=BC7,3,IF(BD7&gt;=BC7*80%,2,1)),$H$7="↓",IF(BD7&gt;BC7,1,IF(BD7&gt;=BC7*80%,3,3)))</f>
        <v>3</v>
      </c>
      <c r="BH7" s="40">
        <f>$J$7</f>
        <v>0</v>
      </c>
      <c r="BI7" s="40"/>
      <c r="BJ7" s="36">
        <f>IF($H$6="↓",BH7-BI7,IF($H$6="↑",BI7-BH7,0))</f>
        <v>0</v>
      </c>
      <c r="BK7" s="51" cm="1">
        <f t="array" ref="BK7">_xlfn.IFS($H$7="↑",IF(BI7&gt;=BH7,3,IF(BI7&gt;=BH7*80%,2,1)),$H$7="↓",IF(BI7&gt;BH7,1,IF(BI7&gt;=BH7*80%,3,3)))</f>
        <v>3</v>
      </c>
      <c r="BM7" s="40">
        <f>$J$7</f>
        <v>0</v>
      </c>
      <c r="BN7" s="40"/>
      <c r="BO7" s="36">
        <f>IF($H$7="↓",BM7-BN7,IF($H$7="↑",BN7-BM7,0))</f>
        <v>0</v>
      </c>
      <c r="BP7" s="51" cm="1">
        <f t="array" ref="BP7">_xlfn.IFS($H$7="↑",IF(BN7&gt;=BM7,3,IF(BN7&gt;=BM7*80%,2,1)),$H$7="↓",IF(BN7&gt;BM7,1,IF(BN7&gt;=BM7*80%,3,3)))</f>
        <v>3</v>
      </c>
      <c r="BR7" s="40">
        <f t="shared" ref="BR7:BS10" si="1">SUM(J7,O7,T7,Y7,AD7,AI7,AN7,AS7,AX7,BC7,BH7,BM7)</f>
        <v>0</v>
      </c>
      <c r="BS7" s="40">
        <f t="shared" si="1"/>
        <v>0</v>
      </c>
      <c r="BT7" s="36">
        <f>IF($H$7="↓",BR7-BS7,IF($H$7="↑",BS7-BR7,0))</f>
        <v>0</v>
      </c>
      <c r="BU7" s="51" cm="1">
        <f t="array" ref="BU7">_xlfn.IFS($H$7="↑",IF(BS7&gt;=BR7,3,IF(BS7&gt;=BR7*80%,2,1)),$H$7="↓",IF(BS7&gt;BR7,1,IF(BS7&gt;=BR7*80%,3,3)))</f>
        <v>3</v>
      </c>
    </row>
    <row r="8" spans="2:73" ht="51" customHeight="1" x14ac:dyDescent="0.25">
      <c r="B8" s="48">
        <v>3</v>
      </c>
      <c r="C8" s="49"/>
      <c r="D8" s="61" t="s">
        <v>59</v>
      </c>
      <c r="E8" s="37" t="s">
        <v>28</v>
      </c>
      <c r="F8" s="38" t="s">
        <v>31</v>
      </c>
      <c r="H8" s="39" t="s">
        <v>16</v>
      </c>
      <c r="J8" s="40"/>
      <c r="K8" s="40"/>
      <c r="L8" s="36">
        <f t="shared" si="0"/>
        <v>0</v>
      </c>
      <c r="M8" s="51" cm="1">
        <f t="array" ref="M8">_xlfn.IFS($H$8="↑",IF(K8&gt;=J8,3,IF(K8&gt;=J8*80%,2,1)),$H$8="↓",IF(K8&gt;J8,1,IF(K8&gt;=J8*80%,3,3)))</f>
        <v>3</v>
      </c>
      <c r="O8" s="40">
        <f>$J$8</f>
        <v>0</v>
      </c>
      <c r="P8" s="40"/>
      <c r="Q8" s="36">
        <f>IF($H$8="↓",O8-P8,IF($H$8="↑",P8-O8,0))</f>
        <v>0</v>
      </c>
      <c r="R8" s="51" cm="1">
        <f t="array" ref="R8">_xlfn.IFS($H$8="↑",IF(P8&gt;=O8,3,IF(P8&gt;=O8*80%,2,1)),$H$8="↓",IF(P8&gt;O8,1,IF(P8&gt;=O8*80%,3,3)))</f>
        <v>3</v>
      </c>
      <c r="T8" s="40">
        <f>$J$8</f>
        <v>0</v>
      </c>
      <c r="U8" s="40"/>
      <c r="V8" s="36">
        <f>IF($H$8="↓",T8-U8,IF($H$8="↑",U8-T8,0))</f>
        <v>0</v>
      </c>
      <c r="W8" s="51" cm="1">
        <f t="array" ref="W8">_xlfn.IFS($H$8="↑",IF(U8&gt;=T8,3,IF(U8&gt;=T8*80%,2,1)),$H$8="↓",IF(U8&gt;T8,1,IF(U8&gt;=T8*80%,3,3)))</f>
        <v>3</v>
      </c>
      <c r="Y8" s="40">
        <f>$J$8</f>
        <v>0</v>
      </c>
      <c r="Z8" s="40"/>
      <c r="AA8" s="36">
        <f>IF($H$8="↓",Y8-Z8,IF($H$8="↑",Z8-Y8,0))</f>
        <v>0</v>
      </c>
      <c r="AB8" s="51" cm="1">
        <f t="array" ref="AB8">_xlfn.IFS($H$8="↑",IF(Z8&gt;=Y8,3,IF(Z8&gt;=Y8*80%,2,1)),$H$8="↓",IF(Z8&gt;Y8,1,IF(Z8&gt;=Y8*80%,3,3)))</f>
        <v>3</v>
      </c>
      <c r="AD8" s="40">
        <f>$J$8</f>
        <v>0</v>
      </c>
      <c r="AE8" s="40"/>
      <c r="AF8" s="36">
        <f>IF($H$8="↓",AD8-AE8,IF($H$8="↑",AE8-AD8,0))</f>
        <v>0</v>
      </c>
      <c r="AG8" s="51" cm="1">
        <f t="array" ref="AG8">_xlfn.IFS($H$8="↑",IF(AE8&gt;=AD8,3,IF(AE8&gt;=AD8*80%,2,1)),$H$8="↓",IF(AE8&gt;AD8,1,IF(AE8&gt;=AD8*80%,3,3)))</f>
        <v>3</v>
      </c>
      <c r="AI8" s="40">
        <f>$J$8</f>
        <v>0</v>
      </c>
      <c r="AJ8" s="40"/>
      <c r="AK8" s="36">
        <f>IF($H$8="↓",AI8-AJ8,IF($H$8="↑",AJ8-AI8,0))</f>
        <v>0</v>
      </c>
      <c r="AL8" s="51" cm="1">
        <f t="array" ref="AL8">_xlfn.IFS($H$8="↑",IF(AJ8&gt;=AI8,3,IF(AJ8&gt;=AI8*80%,2,1)),$H$8="↓",IF(AJ8&gt;AI8,1,IF(AJ8&gt;=AI8*80%,3,3)))</f>
        <v>3</v>
      </c>
      <c r="AN8" s="40">
        <f>$J$8</f>
        <v>0</v>
      </c>
      <c r="AO8" s="40"/>
      <c r="AP8" s="36">
        <f>IF($H$8="↓",AN8-AO8,IF($H$8="↑",AO8-AN8,0))</f>
        <v>0</v>
      </c>
      <c r="AQ8" s="51" cm="1">
        <f t="array" ref="AQ8">_xlfn.IFS($H$8="↑",IF(AO8&gt;=AN8,3,IF(AO8&gt;=AN8*80%,2,1)),$H$8="↓",IF(AO8&gt;AN8,1,IF(AO8&gt;=AN8*80%,3,3)))</f>
        <v>3</v>
      </c>
      <c r="AS8" s="40">
        <f>$J$8</f>
        <v>0</v>
      </c>
      <c r="AT8" s="40"/>
      <c r="AU8" s="36">
        <f>IF($H$8="↓",AS8-AT8,IF($H$8="↑",AT8-AS8,0))</f>
        <v>0</v>
      </c>
      <c r="AV8" s="51" cm="1">
        <f t="array" ref="AV8">_xlfn.IFS($H$8="↑",IF(AT8&gt;=AS8,3,IF(AT8&gt;=AS8*80%,2,1)),$H$8="↓",IF(AT8&gt;AS8,1,IF(AT8&gt;=AS8*80%,3,3)))</f>
        <v>3</v>
      </c>
      <c r="AX8" s="40">
        <f>$J$8</f>
        <v>0</v>
      </c>
      <c r="AY8" s="40"/>
      <c r="AZ8" s="36">
        <f>IF($H$8="↓",AX8-AY8,IF($H$8="↑",AY8-AX8,0))</f>
        <v>0</v>
      </c>
      <c r="BA8" s="51" cm="1">
        <f t="array" ref="BA8">_xlfn.IFS($H$8="↑",IF(AY8&gt;=AX8,3,IF(AY8&gt;=AX8*80%,2,1)),$H$8="↓",IF(AY8&gt;AX8,1,IF(AY8&gt;=AX8*80%,3,3)))</f>
        <v>3</v>
      </c>
      <c r="BC8" s="40">
        <f>$J$8</f>
        <v>0</v>
      </c>
      <c r="BD8" s="40"/>
      <c r="BE8" s="36">
        <f>IF($H$8="↓",BC8-BD8,IF($H$8="↑",BD8-BC8,0))</f>
        <v>0</v>
      </c>
      <c r="BF8" s="51" cm="1">
        <f t="array" ref="BF8">_xlfn.IFS($H$8="↑",IF(BD8&gt;=BC8,3,IF(BD8&gt;=BC8*80%,2,1)),$H$8="↓",IF(BD8&gt;BC8,1,IF(BD8&gt;=BC8*80%,3,3)))</f>
        <v>3</v>
      </c>
      <c r="BH8" s="40">
        <f>$J$8</f>
        <v>0</v>
      </c>
      <c r="BI8" s="40"/>
      <c r="BJ8" s="36">
        <f>IF($H$8="↓",BH8-BI8,IF($H$8="↑",BI8-BH8,0))</f>
        <v>0</v>
      </c>
      <c r="BK8" s="51" cm="1">
        <f t="array" ref="BK8">_xlfn.IFS($H$8="↑",IF(BI8&gt;=BH8,3,IF(BI8&gt;=BH8*80%,2,1)),$H$8="↓",IF(BI8&gt;BH8,1,IF(BI8&gt;=BH8*80%,3,3)))</f>
        <v>3</v>
      </c>
      <c r="BM8" s="40">
        <f>$J$8</f>
        <v>0</v>
      </c>
      <c r="BN8" s="40"/>
      <c r="BO8" s="36">
        <f>IF($H$8="↓",BM8-BN8,IF($H$8="↑",BN8-BM8,0))</f>
        <v>0</v>
      </c>
      <c r="BP8" s="51" cm="1">
        <f t="array" ref="BP8">_xlfn.IFS($H$8="↑",IF(BN8&gt;=BM8,3,IF(BN8&gt;=BM8*80%,2,1)),$H$8="↓",IF(BN8&gt;BM8,1,IF(BN8&gt;=BM8*80%,3,3)))</f>
        <v>3</v>
      </c>
      <c r="BR8" s="40">
        <f t="shared" si="1"/>
        <v>0</v>
      </c>
      <c r="BS8" s="40">
        <f t="shared" si="1"/>
        <v>0</v>
      </c>
      <c r="BT8" s="36">
        <f>IF($H$8="↓",BR8-BS8,IF($H$8="↑",BS8-BR8,0))</f>
        <v>0</v>
      </c>
      <c r="BU8" s="51" cm="1">
        <f t="array" ref="BU8">_xlfn.IFS($H$8="↑",IF(BS8&gt;=BR8,3,IF(BS8&gt;=BR8*80%,2,1)),$H$8="↓",IF(BS8&gt;BR8,1,IF(BS8&gt;=BR8*80%,3,3)))</f>
        <v>3</v>
      </c>
    </row>
    <row r="9" spans="2:73" ht="51" customHeight="1" x14ac:dyDescent="0.25">
      <c r="B9" s="48">
        <v>4</v>
      </c>
      <c r="C9" s="49"/>
      <c r="D9" s="61" t="s">
        <v>47</v>
      </c>
      <c r="E9" s="37" t="s">
        <v>30</v>
      </c>
      <c r="F9" s="38" t="s">
        <v>31</v>
      </c>
      <c r="H9" s="39" t="s">
        <v>15</v>
      </c>
      <c r="J9" s="40"/>
      <c r="K9" s="40"/>
      <c r="L9" s="36">
        <f t="shared" si="0"/>
        <v>0</v>
      </c>
      <c r="M9" s="51" cm="1">
        <f t="array" ref="M9">_xlfn.IFS($H$9="↑",IF(K9&gt;=J9,3,IF(K9&gt;=J9*80%,2,1)),$H$9="↓",IF(K9&gt;J9,1,IF(K9&gt;=J9*80%,3,3)))</f>
        <v>3</v>
      </c>
      <c r="O9" s="40">
        <f>$J$9</f>
        <v>0</v>
      </c>
      <c r="P9" s="40"/>
      <c r="Q9" s="36">
        <f>IF($H$9="↓",O9-P9,IF($H$9="↑",P9-O9,0))</f>
        <v>0</v>
      </c>
      <c r="R9" s="51" cm="1">
        <f t="array" ref="R9">_xlfn.IFS($H$9="↑",IF(P9&gt;=O9,3,IF(P9&gt;=O9*80%,2,1)),$H$9="↓",IF(P9&gt;O9,1,IF(P9&gt;=O9*80%,3,3)))</f>
        <v>3</v>
      </c>
      <c r="T9" s="40">
        <f>$J$9</f>
        <v>0</v>
      </c>
      <c r="U9" s="40"/>
      <c r="V9" s="36">
        <f>IF($H$9="↓",T9-U9,IF($H$9="↑",U9-T9,0))</f>
        <v>0</v>
      </c>
      <c r="W9" s="51" cm="1">
        <f t="array" ref="W9">_xlfn.IFS($H$9="↑",IF(U9&gt;=T9,3,IF(U9&gt;=T9*80%,2,1)),$H$9="↓",IF(U9&gt;T9,1,IF(U9&gt;=T9*80%,3,3)))</f>
        <v>3</v>
      </c>
      <c r="Y9" s="40">
        <f>$J$9</f>
        <v>0</v>
      </c>
      <c r="Z9" s="40"/>
      <c r="AA9" s="36">
        <f>IF($H$9="↓",Y9-Z9,IF($H$9="↑",Z9-Y9,0))</f>
        <v>0</v>
      </c>
      <c r="AB9" s="51" cm="1">
        <f t="array" ref="AB9">_xlfn.IFS($H$9="↑",IF(Z9&gt;=Y9,3,IF(Z9&gt;=Y9*80%,2,1)),$H$9="↓",IF(Z9&gt;Y9,1,IF(Z9&gt;=Y9*80%,3,3)))</f>
        <v>3</v>
      </c>
      <c r="AD9" s="40">
        <f>$J$9</f>
        <v>0</v>
      </c>
      <c r="AE9" s="40"/>
      <c r="AF9" s="36">
        <f>IF($H$9="↓",AD9-AE9,IF($H$9="↑",AE9-AD9,0))</f>
        <v>0</v>
      </c>
      <c r="AG9" s="51" cm="1">
        <f t="array" ref="AG9">_xlfn.IFS($H$9="↑",IF(AE9&gt;=AD9,3,IF(AE9&gt;=AD9*80%,2,1)),$H$9="↓",IF(AE9&gt;AD9,1,IF(AE9&gt;=AD9*80%,3,3)))</f>
        <v>3</v>
      </c>
      <c r="AI9" s="40">
        <f>$J$9</f>
        <v>0</v>
      </c>
      <c r="AJ9" s="40"/>
      <c r="AK9" s="36">
        <f>IF($H$9="↓",AI9-AJ9,IF($H$9="↑",AJ9-AI9,0))</f>
        <v>0</v>
      </c>
      <c r="AL9" s="51" cm="1">
        <f t="array" ref="AL9">_xlfn.IFS($H$9="↑",IF(AJ9&gt;=AI9,3,IF(AJ9&gt;=AI9*80%,2,1)),$H$9="↓",IF(AJ9&gt;AI9,1,IF(AJ9&gt;=AI9*80%,3,3)))</f>
        <v>3</v>
      </c>
      <c r="AN9" s="40">
        <f>$J$9</f>
        <v>0</v>
      </c>
      <c r="AO9" s="40"/>
      <c r="AP9" s="36">
        <f>IF($H$9="↓",AN9-AO9,IF($H$9="↑",AO9-AN9,0))</f>
        <v>0</v>
      </c>
      <c r="AQ9" s="51" cm="1">
        <f t="array" ref="AQ9">_xlfn.IFS($H$9="↑",IF(AO9&gt;=AN9,3,IF(AO9&gt;=AN9*80%,2,1)),$H$9="↓",IF(AO9&gt;AN9,1,IF(AO9&gt;=AN9*80%,3,3)))</f>
        <v>3</v>
      </c>
      <c r="AS9" s="40">
        <f>$J$9</f>
        <v>0</v>
      </c>
      <c r="AT9" s="40"/>
      <c r="AU9" s="36">
        <f>IF($H$9="↓",AS9-AT9,IF($H$9="↑",AT9-AS9,0))</f>
        <v>0</v>
      </c>
      <c r="AV9" s="51" cm="1">
        <f t="array" ref="AV9">_xlfn.IFS($H$9="↑",IF(AT9&gt;=AS9,3,IF(AT9&gt;=AS9*80%,2,1)),$H$9="↓",IF(AT9&gt;AS9,1,IF(AT9&gt;=AS9*80%,3,3)))</f>
        <v>3</v>
      </c>
      <c r="AX9" s="40">
        <f>$J$9</f>
        <v>0</v>
      </c>
      <c r="AY9" s="40"/>
      <c r="AZ9" s="36">
        <f>IF($H$9="↓",AX9-AY9,IF($H$9="↑",AY9-AX9,0))</f>
        <v>0</v>
      </c>
      <c r="BA9" s="51" cm="1">
        <f t="array" ref="BA9">_xlfn.IFS($H$9="↑",IF(AY9&gt;=AX9,3,IF(AY9&gt;=AX9*80%,2,1)),$H$9="↓",IF(AY9&gt;AX9,1,IF(AY9&gt;=AX9*80%,3,3)))</f>
        <v>3</v>
      </c>
      <c r="BC9" s="40">
        <f>$J$9</f>
        <v>0</v>
      </c>
      <c r="BD9" s="40"/>
      <c r="BE9" s="36">
        <f>IF($H$9="↓",BC9-BD9,IF($H$9="↑",BD9-BC9,0))</f>
        <v>0</v>
      </c>
      <c r="BF9" s="51" cm="1">
        <f t="array" ref="BF9">_xlfn.IFS($H$9="↑",IF(BD9&gt;=BC9,3,IF(BD9&gt;=BC9*80%,2,1)),$H$9="↓",IF(BD9&gt;BC9,1,IF(BD9&gt;=BC9*80%,3,3)))</f>
        <v>3</v>
      </c>
      <c r="BH9" s="40">
        <f>$J$9</f>
        <v>0</v>
      </c>
      <c r="BI9" s="40"/>
      <c r="BJ9" s="36">
        <f>IF($H$9="↓",BH9-BI9,IF($H$9="↑",BI9-BH9,0))</f>
        <v>0</v>
      </c>
      <c r="BK9" s="51" cm="1">
        <f t="array" ref="BK9">_xlfn.IFS($H$9="↑",IF(BI9&gt;=BH9,3,IF(BI9&gt;=BH9*80%,2,1)),$H$9="↓",IF(BI9&gt;BH9,1,IF(BI9&gt;=BH9*80%,3,3)))</f>
        <v>3</v>
      </c>
      <c r="BM9" s="40">
        <f>$J$9</f>
        <v>0</v>
      </c>
      <c r="BN9" s="40"/>
      <c r="BO9" s="36">
        <f>IF($H$9="↓",BM9-BN9,IF($H$9="↑",BN9-BM9,0))</f>
        <v>0</v>
      </c>
      <c r="BP9" s="51" cm="1">
        <f t="array" ref="BP9">_xlfn.IFS($H$9="↑",IF(BN9&gt;=BM9,3,IF(BN9&gt;=BM9*80%,2,1)),$H$9="↓",IF(BN9&gt;BM9,1,IF(BN9&gt;=BM9*80%,3,3)))</f>
        <v>3</v>
      </c>
      <c r="BR9" s="40">
        <f t="shared" si="1"/>
        <v>0</v>
      </c>
      <c r="BS9" s="40">
        <f t="shared" si="1"/>
        <v>0</v>
      </c>
      <c r="BT9" s="36">
        <f>IF($H$9="↓",BR9-BS9,IF($H$9="↑",BS9-BR9,0))</f>
        <v>0</v>
      </c>
      <c r="BU9" s="51" cm="1">
        <f t="array" ref="BU9">_xlfn.IFS($H$9="↑",IF(BS9&gt;=BR9,3,IF(BS9&gt;=BR9*80%,2,1)),$H$9="↓",IF(BS9&gt;BR9,1,IF(BS9&gt;=BR9*80%,3,3)))</f>
        <v>3</v>
      </c>
    </row>
    <row r="10" spans="2:73" ht="51" customHeight="1" x14ac:dyDescent="0.25">
      <c r="B10" s="48">
        <v>5</v>
      </c>
      <c r="C10" s="49"/>
      <c r="D10" s="61" t="s">
        <v>58</v>
      </c>
      <c r="E10" s="37" t="s">
        <v>28</v>
      </c>
      <c r="F10" s="38" t="s">
        <v>31</v>
      </c>
      <c r="H10" s="39" t="s">
        <v>15</v>
      </c>
      <c r="J10" s="40"/>
      <c r="K10" s="40"/>
      <c r="L10" s="36">
        <f t="shared" si="0"/>
        <v>0</v>
      </c>
      <c r="M10" s="51" cm="1">
        <f t="array" ref="M10">_xlfn.IFS($H$10="↑",IF(K10&gt;=J10,3,IF(K10&gt;=J10*80%,2,1)),$H$10="↓",IF(K10&gt;J10,1,IF(K10&gt;=J10*80%,3,3)))</f>
        <v>3</v>
      </c>
      <c r="O10" s="40">
        <f>$J$10</f>
        <v>0</v>
      </c>
      <c r="P10" s="40"/>
      <c r="Q10" s="36">
        <f>IF($H$10="↓",O10-P10,IF($H$10="↑",P10-O10,0))</f>
        <v>0</v>
      </c>
      <c r="R10" s="51" cm="1">
        <f t="array" ref="R10">_xlfn.IFS($H$10="↑",IF(P10&gt;=O10,3,IF(P10&gt;=O10*80%,2,1)),$H$10="↓",IF(P10&gt;O10,1,IF(P10&gt;=O10*80%,3,3)))</f>
        <v>3</v>
      </c>
      <c r="T10" s="40">
        <f>$J$10</f>
        <v>0</v>
      </c>
      <c r="U10" s="40"/>
      <c r="V10" s="36">
        <f>IF($H$10="↓",T10-U10,IF($H$10="↑",U10-T10,0))</f>
        <v>0</v>
      </c>
      <c r="W10" s="51" cm="1">
        <f t="array" ref="W10">_xlfn.IFS($H$10="↑",IF(U10&gt;=T10,3,IF(U10&gt;=T10*80%,2,1)),$H$10="↓",IF(U10&gt;T10,1,IF(U10&gt;=T10*80%,3,3)))</f>
        <v>3</v>
      </c>
      <c r="Y10" s="40">
        <f>$J$10</f>
        <v>0</v>
      </c>
      <c r="Z10" s="40"/>
      <c r="AA10" s="36">
        <f>IF($H$10="↓",Y10-Z10,IF($H$10="↑",Z10-Y10,0))</f>
        <v>0</v>
      </c>
      <c r="AB10" s="51" cm="1">
        <f t="array" ref="AB10">_xlfn.IFS($H$10="↑",IF(Z10&gt;=Y10,3,IF(Z10&gt;=Y10*80%,2,1)),$H$10="↓",IF(Z10&gt;Y10,1,IF(Z10&gt;=Y10*80%,3,3)))</f>
        <v>3</v>
      </c>
      <c r="AD10" s="40">
        <f>$J$10</f>
        <v>0</v>
      </c>
      <c r="AE10" s="40"/>
      <c r="AF10" s="36">
        <f>IF($H$10="↓",AD10-AE10,IF($H$10="↑",AE10-AD10,0))</f>
        <v>0</v>
      </c>
      <c r="AG10" s="51" cm="1">
        <f t="array" ref="AG10">_xlfn.IFS($H$10="↑",IF(AE10&gt;=AD10,3,IF(AE10&gt;=AD10*80%,2,1)),$H$10="↓",IF(AE10&gt;AD10,1,IF(AE10&gt;=AD10*80%,3,3)))</f>
        <v>3</v>
      </c>
      <c r="AI10" s="40">
        <f>$J$10</f>
        <v>0</v>
      </c>
      <c r="AJ10" s="40"/>
      <c r="AK10" s="36">
        <f>IF($H$10="↓",AI10-AJ10,IF($H$10="↑",AJ10-AI10,0))</f>
        <v>0</v>
      </c>
      <c r="AL10" s="51" cm="1">
        <f t="array" ref="AL10">_xlfn.IFS($H$10="↑",IF(AJ10&gt;=AI10,3,IF(AJ10&gt;=AI10*80%,2,1)),$H$10="↓",IF(AJ10&gt;AI10,1,IF(AJ10&gt;=AI10*80%,3,3)))</f>
        <v>3</v>
      </c>
      <c r="AN10" s="40">
        <f>$J$10</f>
        <v>0</v>
      </c>
      <c r="AO10" s="40"/>
      <c r="AP10" s="36">
        <f>IF($H$10="↓",AN10-AO10,IF($H$10="↑",AO10-AN10,0))</f>
        <v>0</v>
      </c>
      <c r="AQ10" s="51" cm="1">
        <f t="array" ref="AQ10">_xlfn.IFS($H$10="↑",IF(AO10&gt;=AN10,3,IF(AO10&gt;=AN10*80%,2,1)),$H$10="↓",IF(AO10&gt;AN10,1,IF(AO10&gt;=AN10*80%,3,3)))</f>
        <v>3</v>
      </c>
      <c r="AS10" s="40">
        <f>$J$10</f>
        <v>0</v>
      </c>
      <c r="AT10" s="40"/>
      <c r="AU10" s="36">
        <f>IF($H$10="↓",AS10-AT10,IF($H$10="↑",AT10-AS10,0))</f>
        <v>0</v>
      </c>
      <c r="AV10" s="51" cm="1">
        <f t="array" ref="AV10">_xlfn.IFS($H$10="↑",IF(AT10&gt;=AS10,3,IF(AT10&gt;=AS10*80%,2,1)),$H$10="↓",IF(AT10&gt;AS10,1,IF(AT10&gt;=AS10*80%,3,3)))</f>
        <v>3</v>
      </c>
      <c r="AX10" s="40">
        <f>$J$10</f>
        <v>0</v>
      </c>
      <c r="AY10" s="40"/>
      <c r="AZ10" s="36">
        <f>IF($H$10="↓",AX10-AY10,IF($H$10="↑",AY10-AX10,0))</f>
        <v>0</v>
      </c>
      <c r="BA10" s="51" cm="1">
        <f t="array" ref="BA10">_xlfn.IFS($H$10="↑",IF(AY10&gt;=AX10,3,IF(AY10&gt;=AX10*80%,2,1)),$H$10="↓",IF(AY10&gt;AX10,1,IF(AY10&gt;=AX10*80%,3,3)))</f>
        <v>3</v>
      </c>
      <c r="BC10" s="40">
        <f>$J$10</f>
        <v>0</v>
      </c>
      <c r="BD10" s="40"/>
      <c r="BE10" s="36">
        <f>IF($H$10="↓",BC10-BD10,IF($H$10="↑",BD10-BC10,0))</f>
        <v>0</v>
      </c>
      <c r="BF10" s="51" cm="1">
        <f t="array" ref="BF10">_xlfn.IFS($H$10="↑",IF(BD10&gt;=BC10,3,IF(BD10&gt;=BC10*80%,2,1)),$H$10="↓",IF(BD10&gt;BC10,1,IF(BD10&gt;=BC10*80%,3,3)))</f>
        <v>3</v>
      </c>
      <c r="BH10" s="40">
        <f>$J$10</f>
        <v>0</v>
      </c>
      <c r="BI10" s="40"/>
      <c r="BJ10" s="36">
        <f>IF($H$10="↓",BH10-BI10,IF($H$10="↑",BI10-BH10,0))</f>
        <v>0</v>
      </c>
      <c r="BK10" s="51" cm="1">
        <f t="array" ref="BK10">_xlfn.IFS($H$10="↑",IF(BI10&gt;=BH10,3,IF(BI10&gt;=BH10*80%,2,1)),$H$10="↓",IF(BI10&gt;BH10,1,IF(BI10&gt;=BH10*80%,3,3)))</f>
        <v>3</v>
      </c>
      <c r="BM10" s="40">
        <f>$J$10</f>
        <v>0</v>
      </c>
      <c r="BN10" s="40"/>
      <c r="BO10" s="36">
        <f>IF($H$10="↓",BM10-BN10,IF($H$10="↑",BN10-BM10,0))</f>
        <v>0</v>
      </c>
      <c r="BP10" s="51" cm="1">
        <f t="array" ref="BP10">_xlfn.IFS($H$10="↑",IF(BN10&gt;=BM10,3,IF(BN10&gt;=BM10*80%,2,1)),$H$10="↓",IF(BN10&gt;BM10,1,IF(BN10&gt;=BM10*80%,3,3)))</f>
        <v>3</v>
      </c>
      <c r="BR10" s="40">
        <f t="shared" si="1"/>
        <v>0</v>
      </c>
      <c r="BS10" s="40">
        <f t="shared" si="1"/>
        <v>0</v>
      </c>
      <c r="BT10" s="36">
        <f>IF($H$10="↓",BR10-BS10,IF($H$10="↑",BS10-BR10,0))</f>
        <v>0</v>
      </c>
      <c r="BU10" s="51" cm="1">
        <f t="array" ref="BU10">_xlfn.IFS($H$10="↑",IF(BS10&gt;=BR10,3,IF(BS10&gt;=BR10*80%,2,1)),$H$10="↓",IF(BS10&gt;BR10,1,IF(BS10&gt;=BR10*80%,3,3)))</f>
        <v>3</v>
      </c>
    </row>
    <row r="12" spans="2:73" ht="5.25" customHeight="1" x14ac:dyDescent="0.25"/>
    <row r="25" spans="2:73" ht="51" customHeight="1" x14ac:dyDescent="0.25">
      <c r="B25" s="48">
        <v>6</v>
      </c>
      <c r="C25" s="49" t="s">
        <v>87</v>
      </c>
      <c r="D25" s="61" t="s">
        <v>59</v>
      </c>
      <c r="E25" s="37" t="s">
        <v>29</v>
      </c>
      <c r="F25" s="38" t="s">
        <v>31</v>
      </c>
      <c r="H25" s="39" t="s">
        <v>16</v>
      </c>
      <c r="J25" s="40">
        <v>5</v>
      </c>
      <c r="K25" s="40">
        <v>5</v>
      </c>
      <c r="L25" s="36">
        <f>IF(H25="↓",J25-K25,IF(H25="↑",K25-J25,0))</f>
        <v>0</v>
      </c>
      <c r="M25" s="51" cm="1">
        <f t="array" ref="M25">_xlfn.IFS($H$9="↑",IF(K25&gt;=J25,3,IF(K25&gt;=J25*80%,2,1)),$H$9="↓",IF(K25&gt;J25,1,IF(K25&gt;=J25*80%,3,3)))</f>
        <v>3</v>
      </c>
      <c r="O25" s="40">
        <f>$J$25</f>
        <v>5</v>
      </c>
      <c r="P25" s="40"/>
      <c r="Q25" s="36">
        <f>IF($H$25="↓",O25-P25,IF($H$25="↑",P25-O25,0))</f>
        <v>5</v>
      </c>
      <c r="R25" s="51" cm="1">
        <f t="array" ref="R25">_xlfn.IFS($H$9="↑",IF(P25&gt;=O25,3,IF(P25&gt;=O25*80%,2,1)),$H$9="↓",IF(P25&gt;O25,1,IF(P25&gt;=O25*80%,3,3)))</f>
        <v>1</v>
      </c>
      <c r="T25" s="40">
        <f>$J$25</f>
        <v>5</v>
      </c>
      <c r="U25" s="40"/>
      <c r="V25" s="36">
        <f>IF($H$25="↓",T25-U25,IF($H$25="↑",U25-T25,0))</f>
        <v>5</v>
      </c>
      <c r="W25" s="51" cm="1">
        <f t="array" ref="W25">_xlfn.IFS($H$9="↑",IF(U25&gt;=T25,3,IF(U25&gt;=T25*80%,2,1)),$H$9="↓",IF(U25&gt;T25,1,IF(U25&gt;=T25*80%,3,3)))</f>
        <v>1</v>
      </c>
      <c r="Y25" s="40">
        <f>$J$25</f>
        <v>5</v>
      </c>
      <c r="Z25" s="40"/>
      <c r="AA25" s="36">
        <f>IF($H$25="↓",Y25-Z25,IF($H$25="↑",Z25-Y25,0))</f>
        <v>5</v>
      </c>
      <c r="AB25" s="51" cm="1">
        <f t="array" ref="AB25">_xlfn.IFS($H$9="↑",IF(Z25&gt;=Y25,3,IF(Z25&gt;=Y25*80%,2,1)),$H$9="↓",IF(Z25&gt;Y25,1,IF(Z25&gt;=Y25*80%,3,3)))</f>
        <v>1</v>
      </c>
      <c r="AD25" s="40">
        <f>$J$25</f>
        <v>5</v>
      </c>
      <c r="AE25" s="40"/>
      <c r="AF25" s="36">
        <f>IF($H$25="↓",AD25-AE25,IF($H$25="↑",AE25-AD25,0))</f>
        <v>5</v>
      </c>
      <c r="AG25" s="51" cm="1">
        <f t="array" ref="AG25">_xlfn.IFS($H$9="↑",IF(AE25&gt;=AD25,3,IF(AE25&gt;=AD25*80%,2,1)),$H$9="↓",IF(AE25&gt;AD25,1,IF(AE25&gt;=AD25*80%,3,3)))</f>
        <v>1</v>
      </c>
      <c r="AI25" s="40">
        <f>$J$25</f>
        <v>5</v>
      </c>
      <c r="AJ25" s="40"/>
      <c r="AK25" s="36">
        <f>IF($H$25="↓",AI25-AJ25,IF($H$25="↑",AJ25-AI25,0))</f>
        <v>5</v>
      </c>
      <c r="AL25" s="51" cm="1">
        <f t="array" ref="AL25">_xlfn.IFS($H$9="↑",IF(AJ25&gt;=AI25,3,IF(AJ25&gt;=AI25*80%,2,1)),$H$9="↓",IF(AJ25&gt;AI25,1,IF(AJ25&gt;=AI25*80%,3,3)))</f>
        <v>1</v>
      </c>
      <c r="AN25" s="40">
        <f>$J$25</f>
        <v>5</v>
      </c>
      <c r="AO25" s="40"/>
      <c r="AP25" s="36">
        <f>IF($H$25="↓",AN25-AO25,IF($H$25="↑",AO25-AN25,0))</f>
        <v>5</v>
      </c>
      <c r="AQ25" s="51" cm="1">
        <f t="array" ref="AQ25">_xlfn.IFS($H$9="↑",IF(AO25&gt;=AN25,3,IF(AO25&gt;=AN25*80%,2,1)),$H$9="↓",IF(AO25&gt;AN25,1,IF(AO25&gt;=AN25*80%,3,3)))</f>
        <v>1</v>
      </c>
      <c r="AS25" s="40">
        <f>$J$25</f>
        <v>5</v>
      </c>
      <c r="AT25" s="40"/>
      <c r="AU25" s="36">
        <f>IF($H$25="↓",AS25-AT25,IF($H$25="↑",AT25-AS25,0))</f>
        <v>5</v>
      </c>
      <c r="AV25" s="51" cm="1">
        <f t="array" ref="AV25">_xlfn.IFS($H$9="↑",IF(AT25&gt;=AS25,3,IF(AT25&gt;=AS25*80%,2,1)),$H$9="↓",IF(AT25&gt;AS25,1,IF(AT25&gt;=AS25*80%,3,3)))</f>
        <v>1</v>
      </c>
      <c r="AX25" s="40">
        <f>$J$25</f>
        <v>5</v>
      </c>
      <c r="AY25" s="40"/>
      <c r="AZ25" s="36">
        <f>IF($H$25="↓",AX25-AY25,IF($H$25="↑",AY25-AX25,0))</f>
        <v>5</v>
      </c>
      <c r="BA25" s="51" cm="1">
        <f t="array" ref="BA25">_xlfn.IFS($H$9="↑",IF(AY25&gt;=AX25,3,IF(AY25&gt;=AX25*80%,2,1)),$H$9="↓",IF(AY25&gt;AX25,1,IF(AY25&gt;=AX25*80%,3,3)))</f>
        <v>1</v>
      </c>
      <c r="BC25" s="40">
        <f>$J$25</f>
        <v>5</v>
      </c>
      <c r="BD25" s="40"/>
      <c r="BE25" s="36">
        <f>IF($H$25="↓",BC25-BD25,IF($H$25="↑",BD25-BC25,0))</f>
        <v>5</v>
      </c>
      <c r="BF25" s="51" cm="1">
        <f t="array" ref="BF25">_xlfn.IFS($H$9="↑",IF(BD25&gt;=BC25,3,IF(BD25&gt;=BC25*80%,2,1)),$H$9="↓",IF(BD25&gt;BC25,1,IF(BD25&gt;=BC25*80%,3,3)))</f>
        <v>1</v>
      </c>
      <c r="BH25" s="40">
        <f>$J$25</f>
        <v>5</v>
      </c>
      <c r="BI25" s="40"/>
      <c r="BJ25" s="36">
        <f>IF($H$25="↓",BH25-BI25,IF($H$25="↑",BI25-BH25,0))</f>
        <v>5</v>
      </c>
      <c r="BK25" s="51" cm="1">
        <f t="array" ref="BK25">_xlfn.IFS($H$9="↑",IF(BI25&gt;=BH25,3,IF(BI25&gt;=BH25*80%,2,1)),$H$9="↓",IF(BI25&gt;BH25,1,IF(BI25&gt;=BH25*80%,3,3)))</f>
        <v>1</v>
      </c>
      <c r="BM25" s="40">
        <f>$J$25</f>
        <v>5</v>
      </c>
      <c r="BN25" s="40"/>
      <c r="BO25" s="36">
        <f>IF($H$25="↓",BM25-BN25,IF($H$25="↑",BN25-BM25,0))</f>
        <v>5</v>
      </c>
      <c r="BP25" s="51" cm="1">
        <f t="array" ref="BP25">_xlfn.IFS($H$9="↑",IF(BN25&gt;=BM25,3,IF(BN25&gt;=BM25*80%,2,1)),$H$9="↓",IF(BN25&gt;BM25,1,IF(BN25&gt;=BM25*80%,3,3)))</f>
        <v>1</v>
      </c>
      <c r="BR25" s="40">
        <f t="shared" ref="BR25" si="2">SUM(J25,O25,T25,Y25,AD25,AI25,AN25,AS25,AX25,BC25,BH25,BM25)</f>
        <v>60</v>
      </c>
      <c r="BS25" s="40">
        <f t="shared" ref="BS25" si="3">SUM(K25,P25,U25,Z25,AE25,AJ25,AO25,AT25,AY25,BD25,BI25,BN25)</f>
        <v>5</v>
      </c>
      <c r="BT25" s="36">
        <f>IF($H$9="↓",BR25-BS25,IF($H$9="↑",BS25-BR25,0))</f>
        <v>-55</v>
      </c>
      <c r="BU25" s="51" cm="1">
        <f t="array" ref="BU25">_xlfn.IFS($H$9="↑",IF(BS25&gt;=BR25,3,IF(BS25&gt;=BR25*80%,2,1)),$H$9="↓",IF(BS25&gt;BR25,1,IF(BS25&gt;=BR25*80%,3,3)))</f>
        <v>1</v>
      </c>
    </row>
    <row r="26" spans="2:73" hidden="1" x14ac:dyDescent="0.25"/>
    <row r="27" spans="2:73" ht="51" customHeight="1" x14ac:dyDescent="0.25">
      <c r="B27" s="48">
        <v>7</v>
      </c>
      <c r="C27" s="49" t="s">
        <v>88</v>
      </c>
      <c r="D27" s="61" t="s">
        <v>58</v>
      </c>
      <c r="E27" s="37" t="s">
        <v>30</v>
      </c>
      <c r="F27" s="38" t="s">
        <v>31</v>
      </c>
      <c r="H27" s="39" t="s">
        <v>15</v>
      </c>
      <c r="J27" s="40">
        <v>500</v>
      </c>
      <c r="K27" s="40">
        <v>500</v>
      </c>
      <c r="L27" s="36">
        <f>IF(H27="↓",J27-K27,IF(H27="↑",K27-J27,0))</f>
        <v>0</v>
      </c>
      <c r="M27" s="51" cm="1">
        <f t="array" ref="M27">_xlfn.IFS($H$9="↑",IF(K27&gt;=J27,3,IF(K27&gt;=J27*80%,2,1)),$H$9="↓",IF(K27&gt;J27,1,IF(K27&gt;=J27*80%,3,3)))</f>
        <v>3</v>
      </c>
      <c r="O27" s="40">
        <f>$J$27</f>
        <v>500</v>
      </c>
      <c r="P27" s="40"/>
      <c r="Q27" s="36">
        <f>IF($H$25="↓",O27-P27,IF($H$25="↑",P27-O27,0))</f>
        <v>500</v>
      </c>
      <c r="R27" s="51" cm="1">
        <f t="array" ref="R27">_xlfn.IFS($H$9="↑",IF(P27&gt;=O27,3,IF(P27&gt;=O27*80%,2,1)),$H$9="↓",IF(P27&gt;O27,1,IF(P27&gt;=O27*80%,3,3)))</f>
        <v>1</v>
      </c>
      <c r="T27" s="40">
        <f>$J$27</f>
        <v>500</v>
      </c>
      <c r="U27" s="40"/>
      <c r="V27" s="36">
        <f>IF($H$25="↓",T27-U27,IF($H$25="↑",U27-T27,0))</f>
        <v>500</v>
      </c>
      <c r="W27" s="51" cm="1">
        <f t="array" ref="W27">_xlfn.IFS($H$9="↑",IF(U27&gt;=T27,3,IF(U27&gt;=T27*80%,2,1)),$H$9="↓",IF(U27&gt;T27,1,IF(U27&gt;=T27*80%,3,3)))</f>
        <v>1</v>
      </c>
      <c r="Y27" s="40">
        <f>$J$27</f>
        <v>500</v>
      </c>
      <c r="Z27" s="40"/>
      <c r="AA27" s="36">
        <f>IF($H$25="↓",Y27-Z27,IF($H$25="↑",Z27-Y27,0))</f>
        <v>500</v>
      </c>
      <c r="AB27" s="51" cm="1">
        <f t="array" ref="AB27">_xlfn.IFS($H$9="↑",IF(Z27&gt;=Y27,3,IF(Z27&gt;=Y27*80%,2,1)),$H$9="↓",IF(Z27&gt;Y27,1,IF(Z27&gt;=Y27*80%,3,3)))</f>
        <v>1</v>
      </c>
      <c r="AD27" s="40">
        <f>$J$27</f>
        <v>500</v>
      </c>
      <c r="AE27" s="40"/>
      <c r="AF27" s="36">
        <f>IF($H$25="↓",AD27-AE27,IF($H$25="↑",AE27-AD27,0))</f>
        <v>500</v>
      </c>
      <c r="AG27" s="51" cm="1">
        <f t="array" ref="AG27">_xlfn.IFS($H$9="↑",IF(AE27&gt;=AD27,3,IF(AE27&gt;=AD27*80%,2,1)),$H$9="↓",IF(AE27&gt;AD27,1,IF(AE27&gt;=AD27*80%,3,3)))</f>
        <v>1</v>
      </c>
      <c r="AI27" s="40">
        <f>$J$27</f>
        <v>500</v>
      </c>
      <c r="AJ27" s="40"/>
      <c r="AK27" s="36">
        <f>IF($H$25="↓",AI27-AJ27,IF($H$25="↑",AJ27-AI27,0))</f>
        <v>500</v>
      </c>
      <c r="AL27" s="51" cm="1">
        <f t="array" ref="AL27">_xlfn.IFS($H$9="↑",IF(AJ27&gt;=AI27,3,IF(AJ27&gt;=AI27*80%,2,1)),$H$9="↓",IF(AJ27&gt;AI27,1,IF(AJ27&gt;=AI27*80%,3,3)))</f>
        <v>1</v>
      </c>
      <c r="AN27" s="40">
        <f>$J$27</f>
        <v>500</v>
      </c>
      <c r="AO27" s="40"/>
      <c r="AP27" s="36">
        <f>IF($H$25="↓",AN27-AO27,IF($H$25="↑",AO27-AN27,0))</f>
        <v>500</v>
      </c>
      <c r="AQ27" s="51" cm="1">
        <f t="array" ref="AQ27">_xlfn.IFS($H$9="↑",IF(AO27&gt;=AN27,3,IF(AO27&gt;=AN27*80%,2,1)),$H$9="↓",IF(AO27&gt;AN27,1,IF(AO27&gt;=AN27*80%,3,3)))</f>
        <v>1</v>
      </c>
      <c r="AS27" s="40">
        <f>$J$27</f>
        <v>500</v>
      </c>
      <c r="AT27" s="40"/>
      <c r="AU27" s="36">
        <f>IF($H$25="↓",AS27-AT27,IF($H$25="↑",AT27-AS27,0))</f>
        <v>500</v>
      </c>
      <c r="AV27" s="51" cm="1">
        <f t="array" ref="AV27">_xlfn.IFS($H$9="↑",IF(AT27&gt;=AS27,3,IF(AT27&gt;=AS27*80%,2,1)),$H$9="↓",IF(AT27&gt;AS27,1,IF(AT27&gt;=AS27*80%,3,3)))</f>
        <v>1</v>
      </c>
      <c r="AX27" s="40">
        <f>$J$27</f>
        <v>500</v>
      </c>
      <c r="AY27" s="40"/>
      <c r="AZ27" s="36">
        <f>IF($H$25="↓",AX27-AY27,IF($H$25="↑",AY27-AX27,0))</f>
        <v>500</v>
      </c>
      <c r="BA27" s="51" cm="1">
        <f t="array" ref="BA27">_xlfn.IFS($H$9="↑",IF(AY27&gt;=AX27,3,IF(AY27&gt;=AX27*80%,2,1)),$H$9="↓",IF(AY27&gt;AX27,1,IF(AY27&gt;=AX27*80%,3,3)))</f>
        <v>1</v>
      </c>
      <c r="BC27" s="40">
        <f>$J$27</f>
        <v>500</v>
      </c>
      <c r="BD27" s="40"/>
      <c r="BE27" s="36">
        <f>IF($H$25="↓",BC27-BD27,IF($H$25="↑",BD27-BC27,0))</f>
        <v>500</v>
      </c>
      <c r="BF27" s="51" cm="1">
        <f t="array" ref="BF27">_xlfn.IFS($H$9="↑",IF(BD27&gt;=BC27,3,IF(BD27&gt;=BC27*80%,2,1)),$H$9="↓",IF(BD27&gt;BC27,1,IF(BD27&gt;=BC27*80%,3,3)))</f>
        <v>1</v>
      </c>
      <c r="BH27" s="40">
        <f>$J$27</f>
        <v>500</v>
      </c>
      <c r="BI27" s="40"/>
      <c r="BJ27" s="36">
        <f>IF($H$25="↓",BH27-BI27,IF($H$25="↑",BI27-BH27,0))</f>
        <v>500</v>
      </c>
      <c r="BK27" s="51" cm="1">
        <f t="array" ref="BK27">_xlfn.IFS($H$9="↑",IF(BI27&gt;=BH27,3,IF(BI27&gt;=BH27*80%,2,1)),$H$9="↓",IF(BI27&gt;BH27,1,IF(BI27&gt;=BH27*80%,3,3)))</f>
        <v>1</v>
      </c>
      <c r="BM27" s="40">
        <f>$J$27</f>
        <v>500</v>
      </c>
      <c r="BN27" s="40"/>
      <c r="BO27" s="36">
        <f>IF($H$25="↓",BM27-BN27,IF($H$25="↑",BN27-BM27,0))</f>
        <v>500</v>
      </c>
      <c r="BP27" s="51" cm="1">
        <f t="array" ref="BP27">_xlfn.IFS($H$9="↑",IF(BN27&gt;=BM27,3,IF(BN27&gt;=BM27*80%,2,1)),$H$9="↓",IF(BN27&gt;BM27,1,IF(BN27&gt;=BM27*80%,3,3)))</f>
        <v>1</v>
      </c>
      <c r="BR27" s="40">
        <f t="shared" ref="BR27" si="4">SUM(J27,O27,T27,Y27,AD27,AI27,AN27,AS27,AX27,BC27,BH27,BM27)</f>
        <v>6000</v>
      </c>
      <c r="BS27" s="40">
        <f t="shared" ref="BS27" si="5">SUM(K27,P27,U27,Z27,AE27,AJ27,AO27,AT27,AY27,BD27,BI27,BN27)</f>
        <v>500</v>
      </c>
      <c r="BT27" s="36">
        <f>IF($H$9="↓",BR27-BS27,IF($H$9="↑",BS27-BR27,0))</f>
        <v>-5500</v>
      </c>
      <c r="BU27" s="51" cm="1">
        <f t="array" ref="BU27">_xlfn.IFS($H$9="↑",IF(BS27&gt;=BR27,3,IF(BS27&gt;=BR27*80%,2,1)),$H$9="↓",IF(BS27&gt;BR27,1,IF(BS27&gt;=BR27*80%,3,3)))</f>
        <v>1</v>
      </c>
    </row>
    <row r="28" spans="2:73" hidden="1" x14ac:dyDescent="0.25"/>
    <row r="29" spans="2:73" ht="51" customHeight="1" x14ac:dyDescent="0.25">
      <c r="B29" s="48">
        <v>8</v>
      </c>
      <c r="C29" s="49" t="s">
        <v>89</v>
      </c>
      <c r="D29" s="61" t="s">
        <v>47</v>
      </c>
      <c r="E29" s="37" t="s">
        <v>28</v>
      </c>
      <c r="F29" s="38" t="s">
        <v>31</v>
      </c>
      <c r="H29" s="39" t="s">
        <v>16</v>
      </c>
      <c r="J29" s="40">
        <v>1000</v>
      </c>
      <c r="K29" s="40">
        <v>1000</v>
      </c>
      <c r="L29" s="36">
        <f>IF(H29="↓",J29-K29,IF(H29="↑",K29-J29,0))</f>
        <v>0</v>
      </c>
      <c r="M29" s="51" cm="1">
        <f t="array" ref="M29">_xlfn.IFS($H$9="↑",IF(K29&gt;=J29,3,IF(K29&gt;=J29*80%,2,1)),$H$9="↓",IF(K29&gt;J29,1,IF(K29&gt;=J29*80%,3,3)))</f>
        <v>3</v>
      </c>
      <c r="O29" s="40">
        <f>$J$29</f>
        <v>1000</v>
      </c>
      <c r="P29" s="40"/>
      <c r="Q29" s="36">
        <f>IF($H$25="↓",O29-P29,IF($H$25="↑",P29-O29,0))</f>
        <v>1000</v>
      </c>
      <c r="R29" s="51" cm="1">
        <f t="array" ref="R29">_xlfn.IFS($H$9="↑",IF(P29&gt;=O29,3,IF(P29&gt;=O29*80%,2,1)),$H$9="↓",IF(P29&gt;O29,1,IF(P29&gt;=O29*80%,3,3)))</f>
        <v>1</v>
      </c>
      <c r="T29" s="40">
        <f>$J$29</f>
        <v>1000</v>
      </c>
      <c r="U29" s="40"/>
      <c r="V29" s="36">
        <f>IF($H$25="↓",T29-U29,IF($H$25="↑",U29-T29,0))</f>
        <v>1000</v>
      </c>
      <c r="W29" s="51" cm="1">
        <f t="array" ref="W29">_xlfn.IFS($H$9="↑",IF(U29&gt;=T29,3,IF(U29&gt;=T29*80%,2,1)),$H$9="↓",IF(U29&gt;T29,1,IF(U29&gt;=T29*80%,3,3)))</f>
        <v>1</v>
      </c>
      <c r="Y29" s="40">
        <f>$J$29</f>
        <v>1000</v>
      </c>
      <c r="Z29" s="40"/>
      <c r="AA29" s="36">
        <f>IF($H$25="↓",Y29-Z29,IF($H$25="↑",Z29-Y29,0))</f>
        <v>1000</v>
      </c>
      <c r="AB29" s="51" cm="1">
        <f t="array" ref="AB29">_xlfn.IFS($H$9="↑",IF(Z29&gt;=Y29,3,IF(Z29&gt;=Y29*80%,2,1)),$H$9="↓",IF(Z29&gt;Y29,1,IF(Z29&gt;=Y29*80%,3,3)))</f>
        <v>1</v>
      </c>
      <c r="AD29" s="40">
        <f>$J$29</f>
        <v>1000</v>
      </c>
      <c r="AE29" s="40"/>
      <c r="AF29" s="36">
        <f>IF($H$25="↓",AD29-AE29,IF($H$25="↑",AE29-AD29,0))</f>
        <v>1000</v>
      </c>
      <c r="AG29" s="51" cm="1">
        <f t="array" ref="AG29">_xlfn.IFS($H$9="↑",IF(AE29&gt;=AD29,3,IF(AE29&gt;=AD29*80%,2,1)),$H$9="↓",IF(AE29&gt;AD29,1,IF(AE29&gt;=AD29*80%,3,3)))</f>
        <v>1</v>
      </c>
      <c r="AI29" s="40">
        <f>$J$29</f>
        <v>1000</v>
      </c>
      <c r="AJ29" s="40"/>
      <c r="AK29" s="36">
        <f>IF($H$25="↓",AI29-AJ29,IF($H$25="↑",AJ29-AI29,0))</f>
        <v>1000</v>
      </c>
      <c r="AL29" s="51" cm="1">
        <f t="array" ref="AL29">_xlfn.IFS($H$9="↑",IF(AJ29&gt;=AI29,3,IF(AJ29&gt;=AI29*80%,2,1)),$H$9="↓",IF(AJ29&gt;AI29,1,IF(AJ29&gt;=AI29*80%,3,3)))</f>
        <v>1</v>
      </c>
      <c r="AN29" s="40">
        <f>$J$29</f>
        <v>1000</v>
      </c>
      <c r="AO29" s="40"/>
      <c r="AP29" s="36">
        <f>IF($H$25="↓",AN29-AO29,IF($H$25="↑",AO29-AN29,0))</f>
        <v>1000</v>
      </c>
      <c r="AQ29" s="51" cm="1">
        <f t="array" ref="AQ29">_xlfn.IFS($H$9="↑",IF(AO29&gt;=AN29,3,IF(AO29&gt;=AN29*80%,2,1)),$H$9="↓",IF(AO29&gt;AN29,1,IF(AO29&gt;=AN29*80%,3,3)))</f>
        <v>1</v>
      </c>
      <c r="AS29" s="40">
        <f>$J$29</f>
        <v>1000</v>
      </c>
      <c r="AT29" s="40"/>
      <c r="AU29" s="36">
        <f>IF($H$25="↓",AS29-AT29,IF($H$25="↑",AT29-AS29,0))</f>
        <v>1000</v>
      </c>
      <c r="AV29" s="51" cm="1">
        <f t="array" ref="AV29">_xlfn.IFS($H$9="↑",IF(AT29&gt;=AS29,3,IF(AT29&gt;=AS29*80%,2,1)),$H$9="↓",IF(AT29&gt;AS29,1,IF(AT29&gt;=AS29*80%,3,3)))</f>
        <v>1</v>
      </c>
      <c r="AX29" s="40">
        <f>$J$29</f>
        <v>1000</v>
      </c>
      <c r="AY29" s="40"/>
      <c r="AZ29" s="36">
        <f>IF($H$25="↓",AX29-AY29,IF($H$25="↑",AY29-AX29,0))</f>
        <v>1000</v>
      </c>
      <c r="BA29" s="51" cm="1">
        <f t="array" ref="BA29">_xlfn.IFS($H$9="↑",IF(AY29&gt;=AX29,3,IF(AY29&gt;=AX29*80%,2,1)),$H$9="↓",IF(AY29&gt;AX29,1,IF(AY29&gt;=AX29*80%,3,3)))</f>
        <v>1</v>
      </c>
      <c r="BC29" s="40">
        <f>$J$29</f>
        <v>1000</v>
      </c>
      <c r="BD29" s="40"/>
      <c r="BE29" s="36">
        <f>IF($H$25="↓",BC29-BD29,IF($H$25="↑",BD29-BC29,0))</f>
        <v>1000</v>
      </c>
      <c r="BF29" s="51" cm="1">
        <f t="array" ref="BF29">_xlfn.IFS($H$9="↑",IF(BD29&gt;=BC29,3,IF(BD29&gt;=BC29*80%,2,1)),$H$9="↓",IF(BD29&gt;BC29,1,IF(BD29&gt;=BC29*80%,3,3)))</f>
        <v>1</v>
      </c>
      <c r="BH29" s="40">
        <f>$J$29</f>
        <v>1000</v>
      </c>
      <c r="BI29" s="40"/>
      <c r="BJ29" s="36">
        <f>IF($H$25="↓",BH29-BI29,IF($H$25="↑",BI29-BH29,0))</f>
        <v>1000</v>
      </c>
      <c r="BK29" s="51" cm="1">
        <f t="array" ref="BK29">_xlfn.IFS($H$9="↑",IF(BI29&gt;=BH29,3,IF(BI29&gt;=BH29*80%,2,1)),$H$9="↓",IF(BI29&gt;BH29,1,IF(BI29&gt;=BH29*80%,3,3)))</f>
        <v>1</v>
      </c>
      <c r="BM29" s="40">
        <f>$J$29</f>
        <v>1000</v>
      </c>
      <c r="BN29" s="40"/>
      <c r="BO29" s="36">
        <f>IF($H$25="↓",BM29-BN29,IF($H$25="↑",BN29-BM29,0))</f>
        <v>1000</v>
      </c>
      <c r="BP29" s="51" cm="1">
        <f t="array" ref="BP29">_xlfn.IFS($H$9="↑",IF(BN29&gt;=BM29,3,IF(BN29&gt;=BM29*80%,2,1)),$H$9="↓",IF(BN29&gt;BM29,1,IF(BN29&gt;=BM29*80%,3,3)))</f>
        <v>1</v>
      </c>
      <c r="BR29" s="40">
        <f t="shared" ref="BR29" si="6">SUM(J29,O29,T29,Y29,AD29,AI29,AN29,AS29,AX29,BC29,BH29,BM29)</f>
        <v>12000</v>
      </c>
      <c r="BS29" s="40">
        <f t="shared" ref="BS29" si="7">SUM(K29,P29,U29,Z29,AE29,AJ29,AO29,AT29,AY29,BD29,BI29,BN29)</f>
        <v>1000</v>
      </c>
      <c r="BT29" s="36">
        <f>IF($H$9="↓",BR29-BS29,IF($H$9="↑",BS29-BR29,0))</f>
        <v>-11000</v>
      </c>
      <c r="BU29" s="51" cm="1">
        <f t="array" ref="BU29">_xlfn.IFS($H$9="↑",IF(BS29&gt;=BR29,3,IF(BS29&gt;=BR29*80%,2,1)),$H$9="↓",IF(BS29&gt;BR29,1,IF(BS29&gt;=BR29*80%,3,3)))</f>
        <v>1</v>
      </c>
    </row>
    <row r="30" spans="2:73" hidden="1" x14ac:dyDescent="0.25"/>
    <row r="31" spans="2:73" ht="51" customHeight="1" x14ac:dyDescent="0.25">
      <c r="B31" s="48">
        <v>9</v>
      </c>
      <c r="C31" s="49" t="s">
        <v>90</v>
      </c>
      <c r="D31" s="61" t="s">
        <v>57</v>
      </c>
      <c r="E31" s="37" t="s">
        <v>30</v>
      </c>
      <c r="F31" s="38" t="s">
        <v>31</v>
      </c>
      <c r="H31" s="39" t="s">
        <v>15</v>
      </c>
      <c r="J31" s="40">
        <v>10</v>
      </c>
      <c r="K31" s="40">
        <v>10</v>
      </c>
      <c r="L31" s="36">
        <f>IF(H31="↓",J31-K31,IF(H31="↑",K31-J31,0))</f>
        <v>0</v>
      </c>
      <c r="M31" s="51" cm="1">
        <f t="array" ref="M31">_xlfn.IFS($H$9="↑",IF(K31&gt;=J31,3,IF(K31&gt;=J31*80%,2,1)),$H$9="↓",IF(K31&gt;J31,1,IF(K31&gt;=J31*80%,3,3)))</f>
        <v>3</v>
      </c>
      <c r="O31" s="40">
        <f>$J$31</f>
        <v>10</v>
      </c>
      <c r="P31" s="40"/>
      <c r="Q31" s="36">
        <f>IF($H$25="↓",O31-P31,IF($H$25="↑",P31-O31,0))</f>
        <v>10</v>
      </c>
      <c r="R31" s="51" cm="1">
        <f t="array" ref="R31">_xlfn.IFS($H$9="↑",IF(P31&gt;=O31,3,IF(P31&gt;=O31*80%,2,1)),$H$9="↓",IF(P31&gt;O31,1,IF(P31&gt;=O31*80%,3,3)))</f>
        <v>1</v>
      </c>
      <c r="T31" s="40">
        <f>$J$31</f>
        <v>10</v>
      </c>
      <c r="U31" s="40"/>
      <c r="V31" s="36">
        <f>IF($H$25="↓",T31-U31,IF($H$25="↑",U31-T31,0))</f>
        <v>10</v>
      </c>
      <c r="W31" s="51" cm="1">
        <f t="array" ref="W31">_xlfn.IFS($H$9="↑",IF(U31&gt;=T31,3,IF(U31&gt;=T31*80%,2,1)),$H$9="↓",IF(U31&gt;T31,1,IF(U31&gt;=T31*80%,3,3)))</f>
        <v>1</v>
      </c>
      <c r="Y31" s="40">
        <f>$J$31</f>
        <v>10</v>
      </c>
      <c r="Z31" s="40"/>
      <c r="AA31" s="36">
        <f>IF($H$25="↓",Y31-Z31,IF($H$25="↑",Z31-Y31,0))</f>
        <v>10</v>
      </c>
      <c r="AB31" s="51" cm="1">
        <f t="array" ref="AB31">_xlfn.IFS($H$9="↑",IF(Z31&gt;=Y31,3,IF(Z31&gt;=Y31*80%,2,1)),$H$9="↓",IF(Z31&gt;Y31,1,IF(Z31&gt;=Y31*80%,3,3)))</f>
        <v>1</v>
      </c>
      <c r="AD31" s="40">
        <f>$J$31</f>
        <v>10</v>
      </c>
      <c r="AE31" s="40"/>
      <c r="AF31" s="36">
        <f>IF($H$25="↓",AD31-AE31,IF($H$25="↑",AE31-AD31,0))</f>
        <v>10</v>
      </c>
      <c r="AG31" s="51" cm="1">
        <f t="array" ref="AG31">_xlfn.IFS($H$9="↑",IF(AE31&gt;=AD31,3,IF(AE31&gt;=AD31*80%,2,1)),$H$9="↓",IF(AE31&gt;AD31,1,IF(AE31&gt;=AD31*80%,3,3)))</f>
        <v>1</v>
      </c>
      <c r="AI31" s="40">
        <f>$J$31</f>
        <v>10</v>
      </c>
      <c r="AJ31" s="40"/>
      <c r="AK31" s="36">
        <f>IF($H$25="↓",AI31-AJ31,IF($H$25="↑",AJ31-AI31,0))</f>
        <v>10</v>
      </c>
      <c r="AL31" s="51" cm="1">
        <f t="array" ref="AL31">_xlfn.IFS($H$9="↑",IF(AJ31&gt;=AI31,3,IF(AJ31&gt;=AI31*80%,2,1)),$H$9="↓",IF(AJ31&gt;AI31,1,IF(AJ31&gt;=AI31*80%,3,3)))</f>
        <v>1</v>
      </c>
      <c r="AN31" s="40">
        <f>$J$31</f>
        <v>10</v>
      </c>
      <c r="AO31" s="40"/>
      <c r="AP31" s="36">
        <f>IF($H$25="↓",AN31-AO31,IF($H$25="↑",AO31-AN31,0))</f>
        <v>10</v>
      </c>
      <c r="AQ31" s="51" cm="1">
        <f t="array" ref="AQ31">_xlfn.IFS($H$9="↑",IF(AO31&gt;=AN31,3,IF(AO31&gt;=AN31*80%,2,1)),$H$9="↓",IF(AO31&gt;AN31,1,IF(AO31&gt;=AN31*80%,3,3)))</f>
        <v>1</v>
      </c>
      <c r="AS31" s="40">
        <f>$J$31</f>
        <v>10</v>
      </c>
      <c r="AT31" s="40"/>
      <c r="AU31" s="36">
        <f>IF($H$25="↓",AS31-AT31,IF($H$25="↑",AT31-AS31,0))</f>
        <v>10</v>
      </c>
      <c r="AV31" s="51" cm="1">
        <f t="array" ref="AV31">_xlfn.IFS($H$9="↑",IF(AT31&gt;=AS31,3,IF(AT31&gt;=AS31*80%,2,1)),$H$9="↓",IF(AT31&gt;AS31,1,IF(AT31&gt;=AS31*80%,3,3)))</f>
        <v>1</v>
      </c>
      <c r="AX31" s="40">
        <f>$J$31</f>
        <v>10</v>
      </c>
      <c r="AY31" s="40"/>
      <c r="AZ31" s="36">
        <f>IF($H$25="↓",AX31-AY31,IF($H$25="↑",AY31-AX31,0))</f>
        <v>10</v>
      </c>
      <c r="BA31" s="51" cm="1">
        <f t="array" ref="BA31">_xlfn.IFS($H$9="↑",IF(AY31&gt;=AX31,3,IF(AY31&gt;=AX31*80%,2,1)),$H$9="↓",IF(AY31&gt;AX31,1,IF(AY31&gt;=AX31*80%,3,3)))</f>
        <v>1</v>
      </c>
      <c r="BC31" s="40">
        <f>$J$31</f>
        <v>10</v>
      </c>
      <c r="BD31" s="40"/>
      <c r="BE31" s="36">
        <f>IF($H$25="↓",BC31-BD31,IF($H$25="↑",BD31-BC31,0))</f>
        <v>10</v>
      </c>
      <c r="BF31" s="51" cm="1">
        <f t="array" ref="BF31">_xlfn.IFS($H$9="↑",IF(BD31&gt;=BC31,3,IF(BD31&gt;=BC31*80%,2,1)),$H$9="↓",IF(BD31&gt;BC31,1,IF(BD31&gt;=BC31*80%,3,3)))</f>
        <v>1</v>
      </c>
      <c r="BH31" s="40">
        <f>$J$31</f>
        <v>10</v>
      </c>
      <c r="BI31" s="40"/>
      <c r="BJ31" s="36">
        <f>IF($H$25="↓",BH31-BI31,IF($H$25="↑",BI31-BH31,0))</f>
        <v>10</v>
      </c>
      <c r="BK31" s="51" cm="1">
        <f t="array" ref="BK31">_xlfn.IFS($H$9="↑",IF(BI31&gt;=BH31,3,IF(BI31&gt;=BH31*80%,2,1)),$H$9="↓",IF(BI31&gt;BH31,1,IF(BI31&gt;=BH31*80%,3,3)))</f>
        <v>1</v>
      </c>
      <c r="BM31" s="40">
        <f>$J$31</f>
        <v>10</v>
      </c>
      <c r="BN31" s="40"/>
      <c r="BO31" s="36">
        <f>IF($H$25="↓",BM31-BN31,IF($H$25="↑",BN31-BM31,0))</f>
        <v>10</v>
      </c>
      <c r="BP31" s="51" cm="1">
        <f t="array" ref="BP31">_xlfn.IFS($H$9="↑",IF(BN31&gt;=BM31,3,IF(BN31&gt;=BM31*80%,2,1)),$H$9="↓",IF(BN31&gt;BM31,1,IF(BN31&gt;=BM31*80%,3,3)))</f>
        <v>1</v>
      </c>
      <c r="BR31" s="40">
        <f t="shared" ref="BR31" si="8">SUM(J31,O31,T31,Y31,AD31,AI31,AN31,AS31,AX31,BC31,BH31,BM31)</f>
        <v>120</v>
      </c>
      <c r="BS31" s="40">
        <f t="shared" ref="BS31" si="9">SUM(K31,P31,U31,Z31,AE31,AJ31,AO31,AT31,AY31,BD31,BI31,BN31)</f>
        <v>10</v>
      </c>
      <c r="BT31" s="36">
        <f>IF($H$9="↓",BR31-BS31,IF($H$9="↑",BS31-BR31,0))</f>
        <v>-110</v>
      </c>
      <c r="BU31" s="51" cm="1">
        <f t="array" ref="BU31">_xlfn.IFS($H$9="↑",IF(BS31&gt;=BR31,3,IF(BS31&gt;=BR31*80%,2,1)),$H$9="↓",IF(BS31&gt;BR31,1,IF(BS31&gt;=BR31*80%,3,3)))</f>
        <v>1</v>
      </c>
    </row>
    <row r="32" spans="2:73" hidden="1" x14ac:dyDescent="0.25"/>
    <row r="33" spans="2:73" ht="51" customHeight="1" x14ac:dyDescent="0.25">
      <c r="B33" s="48">
        <v>10</v>
      </c>
      <c r="C33" s="49" t="s">
        <v>91</v>
      </c>
      <c r="D33" s="61" t="s">
        <v>58</v>
      </c>
      <c r="E33" s="37" t="s">
        <v>29</v>
      </c>
      <c r="F33" s="38" t="s">
        <v>31</v>
      </c>
      <c r="H33" s="39" t="s">
        <v>16</v>
      </c>
      <c r="J33" s="40">
        <v>250</v>
      </c>
      <c r="K33" s="40">
        <v>250</v>
      </c>
      <c r="L33" s="36">
        <f>IF(H33="↓",J33-K33,IF(H33="↑",K33-J33,0))</f>
        <v>0</v>
      </c>
      <c r="M33" s="51" cm="1">
        <f t="array" ref="M33">_xlfn.IFS($H$9="↑",IF(K33&gt;=J33,3,IF(K33&gt;=J33*80%,2,1)),$H$9="↓",IF(K33&gt;J33,1,IF(K33&gt;=J33*80%,3,3)))</f>
        <v>3</v>
      </c>
      <c r="O33" s="40">
        <f>$J$33</f>
        <v>250</v>
      </c>
      <c r="P33" s="40"/>
      <c r="Q33" s="36">
        <f>IF($H$25="↓",O33-P33,IF($H$25="↑",P33-O33,0))</f>
        <v>250</v>
      </c>
      <c r="R33" s="51" cm="1">
        <f t="array" ref="R33">_xlfn.IFS($H$9="↑",IF(P33&gt;=O33,3,IF(P33&gt;=O33*80%,2,1)),$H$9="↓",IF(P33&gt;O33,1,IF(P33&gt;=O33*80%,3,3)))</f>
        <v>1</v>
      </c>
      <c r="T33" s="40">
        <f>$J$33</f>
        <v>250</v>
      </c>
      <c r="U33" s="40"/>
      <c r="V33" s="36">
        <f>IF($H$25="↓",T33-U33,IF($H$25="↑",U33-T33,0))</f>
        <v>250</v>
      </c>
      <c r="W33" s="51" cm="1">
        <f t="array" ref="W33">_xlfn.IFS($H$9="↑",IF(U33&gt;=T33,3,IF(U33&gt;=T33*80%,2,1)),$H$9="↓",IF(U33&gt;T33,1,IF(U33&gt;=T33*80%,3,3)))</f>
        <v>1</v>
      </c>
      <c r="Y33" s="40">
        <f>$J$33</f>
        <v>250</v>
      </c>
      <c r="Z33" s="40"/>
      <c r="AA33" s="36">
        <f>IF($H$25="↓",Y33-Z33,IF($H$25="↑",Z33-Y33,0))</f>
        <v>250</v>
      </c>
      <c r="AB33" s="51" cm="1">
        <f t="array" ref="AB33">_xlfn.IFS($H$9="↑",IF(Z33&gt;=Y33,3,IF(Z33&gt;=Y33*80%,2,1)),$H$9="↓",IF(Z33&gt;Y33,1,IF(Z33&gt;=Y33*80%,3,3)))</f>
        <v>1</v>
      </c>
      <c r="AD33" s="40">
        <f>$J$33</f>
        <v>250</v>
      </c>
      <c r="AE33" s="40"/>
      <c r="AF33" s="36">
        <f>IF($H$25="↓",AD33-AE33,IF($H$25="↑",AE33-AD33,0))</f>
        <v>250</v>
      </c>
      <c r="AG33" s="51" cm="1">
        <f t="array" ref="AG33">_xlfn.IFS($H$9="↑",IF(AE33&gt;=AD33,3,IF(AE33&gt;=AD33*80%,2,1)),$H$9="↓",IF(AE33&gt;AD33,1,IF(AE33&gt;=AD33*80%,3,3)))</f>
        <v>1</v>
      </c>
      <c r="AI33" s="40">
        <f>$J$33</f>
        <v>250</v>
      </c>
      <c r="AJ33" s="40"/>
      <c r="AK33" s="36">
        <f>IF($H$25="↓",AI33-AJ33,IF($H$25="↑",AJ33-AI33,0))</f>
        <v>250</v>
      </c>
      <c r="AL33" s="51" cm="1">
        <f t="array" ref="AL33">_xlfn.IFS($H$9="↑",IF(AJ33&gt;=AI33,3,IF(AJ33&gt;=AI33*80%,2,1)),$H$9="↓",IF(AJ33&gt;AI33,1,IF(AJ33&gt;=AI33*80%,3,3)))</f>
        <v>1</v>
      </c>
      <c r="AN33" s="40">
        <f>$J$33</f>
        <v>250</v>
      </c>
      <c r="AO33" s="40"/>
      <c r="AP33" s="36">
        <f>IF($H$25="↓",AN33-AO33,IF($H$25="↑",AO33-AN33,0))</f>
        <v>250</v>
      </c>
      <c r="AQ33" s="51" cm="1">
        <f t="array" ref="AQ33">_xlfn.IFS($H$9="↑",IF(AO33&gt;=AN33,3,IF(AO33&gt;=AN33*80%,2,1)),$H$9="↓",IF(AO33&gt;AN33,1,IF(AO33&gt;=AN33*80%,3,3)))</f>
        <v>1</v>
      </c>
      <c r="AS33" s="40">
        <f>$J$33</f>
        <v>250</v>
      </c>
      <c r="AT33" s="40"/>
      <c r="AU33" s="36">
        <f>IF($H$25="↓",AS33-AT33,IF($H$25="↑",AT33-AS33,0))</f>
        <v>250</v>
      </c>
      <c r="AV33" s="51" cm="1">
        <f t="array" ref="AV33">_xlfn.IFS($H$9="↑",IF(AT33&gt;=AS33,3,IF(AT33&gt;=AS33*80%,2,1)),$H$9="↓",IF(AT33&gt;AS33,1,IF(AT33&gt;=AS33*80%,3,3)))</f>
        <v>1</v>
      </c>
      <c r="AX33" s="40">
        <f>$J$33</f>
        <v>250</v>
      </c>
      <c r="AY33" s="40"/>
      <c r="AZ33" s="36">
        <f>IF($H$25="↓",AX33-AY33,IF($H$25="↑",AY33-AX33,0))</f>
        <v>250</v>
      </c>
      <c r="BA33" s="51" cm="1">
        <f t="array" ref="BA33">_xlfn.IFS($H$9="↑",IF(AY33&gt;=AX33,3,IF(AY33&gt;=AX33*80%,2,1)),$H$9="↓",IF(AY33&gt;AX33,1,IF(AY33&gt;=AX33*80%,3,3)))</f>
        <v>1</v>
      </c>
      <c r="BC33" s="40">
        <f>$J$33</f>
        <v>250</v>
      </c>
      <c r="BD33" s="40"/>
      <c r="BE33" s="36">
        <f>IF($H$25="↓",BC33-BD33,IF($H$25="↑",BD33-BC33,0))</f>
        <v>250</v>
      </c>
      <c r="BF33" s="51" cm="1">
        <f t="array" ref="BF33">_xlfn.IFS($H$9="↑",IF(BD33&gt;=BC33,3,IF(BD33&gt;=BC33*80%,2,1)),$H$9="↓",IF(BD33&gt;BC33,1,IF(BD33&gt;=BC33*80%,3,3)))</f>
        <v>1</v>
      </c>
      <c r="BH33" s="40">
        <f>$J$33</f>
        <v>250</v>
      </c>
      <c r="BI33" s="40"/>
      <c r="BJ33" s="36">
        <f>IF($H$25="↓",BH33-BI33,IF($H$25="↑",BI33-BH33,0))</f>
        <v>250</v>
      </c>
      <c r="BK33" s="51" cm="1">
        <f t="array" ref="BK33">_xlfn.IFS($H$9="↑",IF(BI33&gt;=BH33,3,IF(BI33&gt;=BH33*80%,2,1)),$H$9="↓",IF(BI33&gt;BH33,1,IF(BI33&gt;=BH33*80%,3,3)))</f>
        <v>1</v>
      </c>
      <c r="BM33" s="40">
        <f>$J$33</f>
        <v>250</v>
      </c>
      <c r="BN33" s="40"/>
      <c r="BO33" s="36">
        <f>IF($H$25="↓",BM33-BN33,IF($H$25="↑",BN33-BM33,0))</f>
        <v>250</v>
      </c>
      <c r="BP33" s="51" cm="1">
        <f t="array" ref="BP33">_xlfn.IFS($H$9="↑",IF(BN33&gt;=BM33,3,IF(BN33&gt;=BM33*80%,2,1)),$H$9="↓",IF(BN33&gt;BM33,1,IF(BN33&gt;=BM33*80%,3,3)))</f>
        <v>1</v>
      </c>
      <c r="BR33" s="40">
        <f t="shared" ref="BR33" si="10">SUM(J33,O33,T33,Y33,AD33,AI33,AN33,AS33,AX33,BC33,BH33,BM33)</f>
        <v>3000</v>
      </c>
      <c r="BS33" s="40">
        <f t="shared" ref="BS33" si="11">SUM(K33,P33,U33,Z33,AE33,AJ33,AO33,AT33,AY33,BD33,BI33,BN33)</f>
        <v>250</v>
      </c>
      <c r="BT33" s="36">
        <f>IF($H$9="↓",BR33-BS33,IF($H$9="↑",BS33-BR33,0))</f>
        <v>-2750</v>
      </c>
      <c r="BU33" s="51" cm="1">
        <f t="array" ref="BU33">_xlfn.IFS($H$9="↑",IF(BS33&gt;=BR33,3,IF(BS33&gt;=BR33*80%,2,1)),$H$9="↓",IF(BS33&gt;BR33,1,IF(BS33&gt;=BR33*80%,3,3)))</f>
        <v>1</v>
      </c>
    </row>
  </sheetData>
  <sheetProtection selectLockedCells="1"/>
  <mergeCells count="14">
    <mergeCell ref="BR2:BU2"/>
    <mergeCell ref="D2:H2"/>
    <mergeCell ref="BM2:BP2"/>
    <mergeCell ref="J2:M2"/>
    <mergeCell ref="O2:R2"/>
    <mergeCell ref="T2:W2"/>
    <mergeCell ref="Y2:AB2"/>
    <mergeCell ref="AD2:AG2"/>
    <mergeCell ref="AI2:AL2"/>
    <mergeCell ref="AN2:AQ2"/>
    <mergeCell ref="AS2:AV2"/>
    <mergeCell ref="AX2:BA2"/>
    <mergeCell ref="BC2:BF2"/>
    <mergeCell ref="BH2:BK2"/>
  </mergeCells>
  <phoneticPr fontId="47" type="noConversion"/>
  <conditionalFormatting sqref="E6:E10 E25">
    <cfRule type="containsText" dxfId="57" priority="266" operator="containsText" text="NÃO É MEDIDO">
      <formula>NOT(ISERROR(SEARCH("NÃO É MEDIDO",E6)))</formula>
    </cfRule>
    <cfRule type="containsText" dxfId="56" priority="265" operator="containsText" text="É MEDIDO, MAS NÃO É CONFIÁVEL">
      <formula>NOT(ISERROR(SEARCH("É MEDIDO, MAS NÃO É CONFIÁVEL",E6)))</formula>
    </cfRule>
    <cfRule type="containsText" dxfId="55" priority="264" operator="containsText" text="MEDIDO E CONFIÁVEL">
      <formula>NOT(ISERROR(SEARCH("MEDIDO E CONFIÁVEL",E6)))</formula>
    </cfRule>
  </conditionalFormatting>
  <conditionalFormatting sqref="E27">
    <cfRule type="containsText" dxfId="54" priority="74" operator="containsText" text="MEDIDO E CONFIÁVEL">
      <formula>NOT(ISERROR(SEARCH("MEDIDO E CONFIÁVEL",E27)))</formula>
    </cfRule>
    <cfRule type="containsText" dxfId="53" priority="75" operator="containsText" text="É MEDIDO, MAS NÃO É CONFIÁVEL">
      <formula>NOT(ISERROR(SEARCH("É MEDIDO, MAS NÃO É CONFIÁVEL",E27)))</formula>
    </cfRule>
    <cfRule type="containsText" dxfId="52" priority="76" operator="containsText" text="NÃO É MEDIDO">
      <formula>NOT(ISERROR(SEARCH("NÃO É MEDIDO",E27)))</formula>
    </cfRule>
  </conditionalFormatting>
  <conditionalFormatting sqref="E29">
    <cfRule type="containsText" dxfId="51" priority="56" operator="containsText" text="É MEDIDO, MAS NÃO É CONFIÁVEL">
      <formula>NOT(ISERROR(SEARCH("É MEDIDO, MAS NÃO É CONFIÁVEL",E29)))</formula>
    </cfRule>
    <cfRule type="containsText" dxfId="50" priority="55" operator="containsText" text="MEDIDO E CONFIÁVEL">
      <formula>NOT(ISERROR(SEARCH("MEDIDO E CONFIÁVEL",E29)))</formula>
    </cfRule>
    <cfRule type="containsText" dxfId="49" priority="57" operator="containsText" text="NÃO É MEDIDO">
      <formula>NOT(ISERROR(SEARCH("NÃO É MEDIDO",E29)))</formula>
    </cfRule>
  </conditionalFormatting>
  <conditionalFormatting sqref="E31">
    <cfRule type="containsText" dxfId="48" priority="38" operator="containsText" text="NÃO É MEDIDO">
      <formula>NOT(ISERROR(SEARCH("NÃO É MEDIDO",E31)))</formula>
    </cfRule>
    <cfRule type="containsText" dxfId="47" priority="37" operator="containsText" text="É MEDIDO, MAS NÃO É CONFIÁVEL">
      <formula>NOT(ISERROR(SEARCH("É MEDIDO, MAS NÃO É CONFIÁVEL",E31)))</formula>
    </cfRule>
    <cfRule type="containsText" dxfId="46" priority="36" operator="containsText" text="MEDIDO E CONFIÁVEL">
      <formula>NOT(ISERROR(SEARCH("MEDIDO E CONFIÁVEL",E31)))</formula>
    </cfRule>
  </conditionalFormatting>
  <conditionalFormatting sqref="E33">
    <cfRule type="containsText" dxfId="45" priority="18" operator="containsText" text="É MEDIDO, MAS NÃO É CONFIÁVEL">
      <formula>NOT(ISERROR(SEARCH("É MEDIDO, MAS NÃO É CONFIÁVEL",E33)))</formula>
    </cfRule>
    <cfRule type="containsText" dxfId="44" priority="17" operator="containsText" text="MEDIDO E CONFIÁVEL">
      <formula>NOT(ISERROR(SEARCH("MEDIDO E CONFIÁVEL",E33)))</formula>
    </cfRule>
    <cfRule type="containsText" dxfId="43" priority="19" operator="containsText" text="NÃO É MEDIDO">
      <formula>NOT(ISERROR(SEARCH("NÃO É MEDIDO",E33)))</formula>
    </cfRule>
  </conditionalFormatting>
  <conditionalFormatting sqref="L6:L10 Q6:Q10 V6:V10 AA6:AA10 AF6:AF10 AK6:AK10 AP6:AP10 AU6:AU10 AZ6:AZ10 BE6:BE10 BJ6:BJ10 BO6:BO10 BT6:BT10 L25 Q25 V25 AA25 AF25 AK25 AP25 AU25 AZ25 BE25 BJ25 BO25 BT25">
    <cfRule type="cellIs" dxfId="42" priority="251" operator="lessThan">
      <formula>0</formula>
    </cfRule>
    <cfRule type="cellIs" dxfId="41" priority="250" operator="greaterThan">
      <formula>0</formula>
    </cfRule>
    <cfRule type="cellIs" dxfId="40" priority="249" operator="equal">
      <formula>0</formula>
    </cfRule>
  </conditionalFormatting>
  <conditionalFormatting sqref="L27 Q27 V27 AA27 AF27 AK27 AP27 AU27 AZ27 BE27 BJ27 BO27 BT27">
    <cfRule type="cellIs" dxfId="39" priority="71" operator="equal">
      <formula>0</formula>
    </cfRule>
    <cfRule type="cellIs" dxfId="38" priority="73" operator="lessThan">
      <formula>0</formula>
    </cfRule>
    <cfRule type="cellIs" dxfId="37" priority="72" operator="greaterThan">
      <formula>0</formula>
    </cfRule>
  </conditionalFormatting>
  <conditionalFormatting sqref="L29 Q29 V29 AA29 AF29 AK29 AP29 AU29 AZ29 BE29 BJ29 BO29 BT29">
    <cfRule type="cellIs" dxfId="36" priority="52" operator="equal">
      <formula>0</formula>
    </cfRule>
    <cfRule type="cellIs" dxfId="35" priority="53" operator="greaterThan">
      <formula>0</formula>
    </cfRule>
    <cfRule type="cellIs" dxfId="34" priority="54" operator="lessThan">
      <formula>0</formula>
    </cfRule>
  </conditionalFormatting>
  <conditionalFormatting sqref="L31 Q31 V31 AA31 AF31 AK31 AP31 AU31 AZ31 BE31 BJ31 BO31 BT31">
    <cfRule type="cellIs" dxfId="33" priority="33" operator="equal">
      <formula>0</formula>
    </cfRule>
    <cfRule type="cellIs" dxfId="32" priority="35" operator="lessThan">
      <formula>0</formula>
    </cfRule>
    <cfRule type="cellIs" dxfId="31" priority="34" operator="greaterThan">
      <formula>0</formula>
    </cfRule>
  </conditionalFormatting>
  <conditionalFormatting sqref="L33 Q33 V33 AA33 AF33 AK33 AP33 AU33 AZ33 BE33 BJ33 BO33 BT33">
    <cfRule type="cellIs" dxfId="30" priority="15" operator="greaterThan">
      <formula>0</formula>
    </cfRule>
    <cfRule type="cellIs" dxfId="29" priority="14" operator="equal">
      <formula>0</formula>
    </cfRule>
    <cfRule type="cellIs" dxfId="28" priority="16" operator="lessThan">
      <formula>0</formula>
    </cfRule>
  </conditionalFormatting>
  <dataValidations count="4">
    <dataValidation type="list" errorStyle="warning" showInputMessage="1" showErrorMessage="1" errorTitle="ATENÇÃO!" error="SELECIONE UMA DAS OPÇÕES DISPONÍVEIS!!" promptTitle="Escolha entre as opções:" prompt="_x000a_↑ melhor PARA CIMA_x000a__x000a_ou_x000a__x000a_↓ melhor PARA BAIXO" sqref="H6" xr:uid="{D344D5C0-7840-4CF4-9B69-4969B885FBC4}">
      <formula1>"↑,↓"</formula1>
    </dataValidation>
    <dataValidation type="list" errorStyle="warning" showErrorMessage="1" errorTitle="ATENÇÃO!" error="SELECIONE UMA DAS OPÇÕES DISPONÍVEIS!!" sqref="H7:H10 H25 H27 H29 H31 H33" xr:uid="{747D2A51-AD9C-4C4A-91A2-448EADA167BD}">
      <formula1>"↑,↓"</formula1>
    </dataValidation>
    <dataValidation type="list" allowBlank="1" showInputMessage="1" showErrorMessage="1" promptTitle="Escolha a medida:" prompt="_x000a_Clique no botão e escolha o tipo de medida conforme o indicador escolhido!" sqref="D6:D10 D25 D27 D29 D31 D33" xr:uid="{D7395D30-1035-4E37-9008-5EAE5D8878F2}">
      <formula1>"R$, Qnt., Tempo, %"</formula1>
    </dataValidation>
    <dataValidation type="list" allowBlank="1" showInputMessage="1" showErrorMessage="1" sqref="E6:E10 E25 E27 E29 E31 E33" xr:uid="{7AC3614A-96AC-4B98-8C02-141E4E538DBC}">
      <mc:AlternateContent xmlns:x12ac="http://schemas.microsoft.com/office/spreadsheetml/2011/1/ac" xmlns:mc="http://schemas.openxmlformats.org/markup-compatibility/2006">
        <mc:Choice Requires="x12ac">
          <x12ac:list>"É MEDIDO, MAS NÃO É CONFIÁVEL", NÃO É MEDIDO, MEDIDO E CONFIÁVEL</x12ac:list>
        </mc:Choice>
        <mc:Fallback>
          <formula1>"É MEDIDO, MAS NÃO É CONFIÁVEL, NÃO É MEDIDO, MEDIDO E CONFIÁVEL"</formula1>
        </mc:Fallback>
      </mc:AlternateContent>
    </dataValidation>
  </dataValidations>
  <hyperlinks>
    <hyperlink ref="B2" location="HOME!A1" display="&lt; HOME" xr:uid="{84351D23-429C-4D91-B73E-6F5675FB757A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63" id="{00000000-000E-0000-0100-00000C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M6</xm:sqref>
        </x14:conditionalFormatting>
        <x14:conditionalFormatting xmlns:xm="http://schemas.microsoft.com/office/excel/2006/main">
          <x14:cfRule type="iconSet" priority="300" id="{00000000-000E-0000-0100-000031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M7</xm:sqref>
        </x14:conditionalFormatting>
        <x14:conditionalFormatting xmlns:xm="http://schemas.microsoft.com/office/excel/2006/main">
          <x14:cfRule type="iconSet" priority="301" id="{00000000-000E-0000-0100-000032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M8</xm:sqref>
        </x14:conditionalFormatting>
        <x14:conditionalFormatting xmlns:xm="http://schemas.microsoft.com/office/excel/2006/main">
          <x14:cfRule type="iconSet" priority="302" id="{00000000-000E-0000-0100-000033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M9</xm:sqref>
        </x14:conditionalFormatting>
        <x14:conditionalFormatting xmlns:xm="http://schemas.microsoft.com/office/excel/2006/main">
          <x14:cfRule type="iconSet" priority="314" id="{00000000-000E-0000-0100-00003F0000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M10</xm:sqref>
        </x14:conditionalFormatting>
        <x14:conditionalFormatting xmlns:xm="http://schemas.microsoft.com/office/excel/2006/main">
          <x14:cfRule type="iconSet" priority="89" id="{9F9356D1-596D-4910-81FA-3146EA834F8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M25</xm:sqref>
        </x14:conditionalFormatting>
        <x14:conditionalFormatting xmlns:xm="http://schemas.microsoft.com/office/excel/2006/main">
          <x14:cfRule type="iconSet" priority="70" id="{803B3F0D-7C3F-4E96-BE3A-4C3EE647E2B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M27</xm:sqref>
        </x14:conditionalFormatting>
        <x14:conditionalFormatting xmlns:xm="http://schemas.microsoft.com/office/excel/2006/main">
          <x14:cfRule type="iconSet" priority="51" id="{4480AB05-32D2-4EDB-B2F3-3F86B997F98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M29</xm:sqref>
        </x14:conditionalFormatting>
        <x14:conditionalFormatting xmlns:xm="http://schemas.microsoft.com/office/excel/2006/main">
          <x14:cfRule type="iconSet" priority="32" id="{EB128E32-304B-4B9F-B1EC-995EEDE2FB1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M31</xm:sqref>
        </x14:conditionalFormatting>
        <x14:conditionalFormatting xmlns:xm="http://schemas.microsoft.com/office/excel/2006/main">
          <x14:cfRule type="iconSet" priority="13" id="{BE7C284D-05FA-4EA5-96F0-163390DF969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M33</xm:sqref>
        </x14:conditionalFormatting>
        <x14:conditionalFormatting xmlns:xm="http://schemas.microsoft.com/office/excel/2006/main">
          <x14:cfRule type="iconSet" priority="181" id="{7BEA88C7-1794-4972-B6BC-67D3953C07F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R6</xm:sqref>
        </x14:conditionalFormatting>
        <x14:conditionalFormatting xmlns:xm="http://schemas.microsoft.com/office/excel/2006/main">
          <x14:cfRule type="iconSet" priority="182" id="{BA3F252D-E2CB-490C-9970-BE4B563E451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R7</xm:sqref>
        </x14:conditionalFormatting>
        <x14:conditionalFormatting xmlns:xm="http://schemas.microsoft.com/office/excel/2006/main">
          <x14:cfRule type="iconSet" priority="183" id="{D1FD73D3-422F-4766-8E38-5767968F98C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R8</xm:sqref>
        </x14:conditionalFormatting>
        <x14:conditionalFormatting xmlns:xm="http://schemas.microsoft.com/office/excel/2006/main">
          <x14:cfRule type="iconSet" priority="184" id="{DD4D1BD6-ED08-4833-8466-8EBBAA1AC3D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R9</xm:sqref>
        </x14:conditionalFormatting>
        <x14:conditionalFormatting xmlns:xm="http://schemas.microsoft.com/office/excel/2006/main">
          <x14:cfRule type="iconSet" priority="185" id="{3FBD0597-B81D-4BA5-A5F9-3559FA625E2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R10</xm:sqref>
        </x14:conditionalFormatting>
        <x14:conditionalFormatting xmlns:xm="http://schemas.microsoft.com/office/excel/2006/main">
          <x14:cfRule type="iconSet" priority="88" id="{C023A86C-7BC3-401C-B75F-32F58229A57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R25</xm:sqref>
        </x14:conditionalFormatting>
        <x14:conditionalFormatting xmlns:xm="http://schemas.microsoft.com/office/excel/2006/main">
          <x14:cfRule type="iconSet" priority="69" id="{60FBA100-E380-46EB-9F23-00B164292E2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R27</xm:sqref>
        </x14:conditionalFormatting>
        <x14:conditionalFormatting xmlns:xm="http://schemas.microsoft.com/office/excel/2006/main">
          <x14:cfRule type="iconSet" priority="50" id="{84789A3C-908C-4C3F-A598-009E497B3A5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R29</xm:sqref>
        </x14:conditionalFormatting>
        <x14:conditionalFormatting xmlns:xm="http://schemas.microsoft.com/office/excel/2006/main">
          <x14:cfRule type="iconSet" priority="31" id="{37B2E554-EDC4-4002-A351-5B6B2A92BB3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R31</xm:sqref>
        </x14:conditionalFormatting>
        <x14:conditionalFormatting xmlns:xm="http://schemas.microsoft.com/office/excel/2006/main">
          <x14:cfRule type="iconSet" priority="12" id="{4D54E67E-D302-46D3-A26F-EE1BB769085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R33</xm:sqref>
        </x14:conditionalFormatting>
        <x14:conditionalFormatting xmlns:xm="http://schemas.microsoft.com/office/excel/2006/main">
          <x14:cfRule type="iconSet" priority="176" id="{712919B2-4FDB-4ED8-9D61-342C95C2551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W6</xm:sqref>
        </x14:conditionalFormatting>
        <x14:conditionalFormatting xmlns:xm="http://schemas.microsoft.com/office/excel/2006/main">
          <x14:cfRule type="iconSet" priority="177" id="{9EF3F83A-1EB4-4F35-8701-838A034269C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W7</xm:sqref>
        </x14:conditionalFormatting>
        <x14:conditionalFormatting xmlns:xm="http://schemas.microsoft.com/office/excel/2006/main">
          <x14:cfRule type="iconSet" priority="178" id="{360543D5-7CF7-49CE-98CE-3F27BB60FA6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W8</xm:sqref>
        </x14:conditionalFormatting>
        <x14:conditionalFormatting xmlns:xm="http://schemas.microsoft.com/office/excel/2006/main">
          <x14:cfRule type="iconSet" priority="179" id="{532B2D3A-6BCC-47B0-9443-6E4222C9BE2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W9</xm:sqref>
        </x14:conditionalFormatting>
        <x14:conditionalFormatting xmlns:xm="http://schemas.microsoft.com/office/excel/2006/main">
          <x14:cfRule type="iconSet" priority="180" id="{206E110F-CE1C-4A1E-9D06-656C5F2B7E9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W10</xm:sqref>
        </x14:conditionalFormatting>
        <x14:conditionalFormatting xmlns:xm="http://schemas.microsoft.com/office/excel/2006/main">
          <x14:cfRule type="iconSet" priority="87" id="{5345D372-AFB3-4883-A7D8-01C4D64953C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W25</xm:sqref>
        </x14:conditionalFormatting>
        <x14:conditionalFormatting xmlns:xm="http://schemas.microsoft.com/office/excel/2006/main">
          <x14:cfRule type="iconSet" priority="68" id="{15FE1FB1-F8BE-45C4-9CFA-A69A2F601D4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W27</xm:sqref>
        </x14:conditionalFormatting>
        <x14:conditionalFormatting xmlns:xm="http://schemas.microsoft.com/office/excel/2006/main">
          <x14:cfRule type="iconSet" priority="49" id="{37F56BAE-5C72-4BF2-B938-EF46EA1967D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W29</xm:sqref>
        </x14:conditionalFormatting>
        <x14:conditionalFormatting xmlns:xm="http://schemas.microsoft.com/office/excel/2006/main">
          <x14:cfRule type="iconSet" priority="30" id="{8B237AB9-3043-45F1-A3FC-BB1F96B8FCD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W31</xm:sqref>
        </x14:conditionalFormatting>
        <x14:conditionalFormatting xmlns:xm="http://schemas.microsoft.com/office/excel/2006/main">
          <x14:cfRule type="iconSet" priority="11" id="{5DAEABF5-ECC0-4F2E-9785-7FB55FA6305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W33</xm:sqref>
        </x14:conditionalFormatting>
        <x14:conditionalFormatting xmlns:xm="http://schemas.microsoft.com/office/excel/2006/main">
          <x14:cfRule type="iconSet" priority="171" id="{CAF84388-43FB-4AFF-82B4-59ACA434238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AB6</xm:sqref>
        </x14:conditionalFormatting>
        <x14:conditionalFormatting xmlns:xm="http://schemas.microsoft.com/office/excel/2006/main">
          <x14:cfRule type="iconSet" priority="172" id="{55613234-5259-4BAD-A6B0-0F933A5229C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AB7</xm:sqref>
        </x14:conditionalFormatting>
        <x14:conditionalFormatting xmlns:xm="http://schemas.microsoft.com/office/excel/2006/main">
          <x14:cfRule type="iconSet" priority="173" id="{1CF8C8C3-1832-4654-BB14-B3DF4AF6FFF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AB8</xm:sqref>
        </x14:conditionalFormatting>
        <x14:conditionalFormatting xmlns:xm="http://schemas.microsoft.com/office/excel/2006/main">
          <x14:cfRule type="iconSet" priority="174" id="{383CF9FC-51C1-470F-9EDF-60137FF762E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AB9</xm:sqref>
        </x14:conditionalFormatting>
        <x14:conditionalFormatting xmlns:xm="http://schemas.microsoft.com/office/excel/2006/main">
          <x14:cfRule type="iconSet" priority="175" id="{AA98B525-C757-406D-BCD0-168D83707ED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AB10</xm:sqref>
        </x14:conditionalFormatting>
        <x14:conditionalFormatting xmlns:xm="http://schemas.microsoft.com/office/excel/2006/main">
          <x14:cfRule type="iconSet" priority="86" id="{51F0BD74-F715-4603-A11E-5806DB38FEE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AB25</xm:sqref>
        </x14:conditionalFormatting>
        <x14:conditionalFormatting xmlns:xm="http://schemas.microsoft.com/office/excel/2006/main">
          <x14:cfRule type="iconSet" priority="67" id="{678E0089-C0AC-47A9-BFAA-20B29BEB3E2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AB27</xm:sqref>
        </x14:conditionalFormatting>
        <x14:conditionalFormatting xmlns:xm="http://schemas.microsoft.com/office/excel/2006/main">
          <x14:cfRule type="iconSet" priority="48" id="{575D5A61-985E-4391-9A8F-6A22D8A23D2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AB29</xm:sqref>
        </x14:conditionalFormatting>
        <x14:conditionalFormatting xmlns:xm="http://schemas.microsoft.com/office/excel/2006/main">
          <x14:cfRule type="iconSet" priority="29" id="{1965A2F1-455D-4DF7-9982-117624D41ED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AB31</xm:sqref>
        </x14:conditionalFormatting>
        <x14:conditionalFormatting xmlns:xm="http://schemas.microsoft.com/office/excel/2006/main">
          <x14:cfRule type="iconSet" priority="10" id="{CC5BCA5F-6B1B-4471-B6C7-EE51C74B4A5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AB33</xm:sqref>
        </x14:conditionalFormatting>
        <x14:conditionalFormatting xmlns:xm="http://schemas.microsoft.com/office/excel/2006/main">
          <x14:cfRule type="iconSet" priority="166" id="{0331F455-C46D-444D-8892-6B215DC6AC1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AG6</xm:sqref>
        </x14:conditionalFormatting>
        <x14:conditionalFormatting xmlns:xm="http://schemas.microsoft.com/office/excel/2006/main">
          <x14:cfRule type="iconSet" priority="167" id="{8633F8D3-2828-4443-B2A5-73BE04991C8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AG7</xm:sqref>
        </x14:conditionalFormatting>
        <x14:conditionalFormatting xmlns:xm="http://schemas.microsoft.com/office/excel/2006/main">
          <x14:cfRule type="iconSet" priority="168" id="{AA2EFE0C-8FCF-4171-A8D5-16C7CDF888E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AG8</xm:sqref>
        </x14:conditionalFormatting>
        <x14:conditionalFormatting xmlns:xm="http://schemas.microsoft.com/office/excel/2006/main">
          <x14:cfRule type="iconSet" priority="169" id="{7143EF18-6274-48C8-92A3-579A7AA603A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AG9</xm:sqref>
        </x14:conditionalFormatting>
        <x14:conditionalFormatting xmlns:xm="http://schemas.microsoft.com/office/excel/2006/main">
          <x14:cfRule type="iconSet" priority="170" id="{A417495B-4841-4B9F-81F9-39AFD631345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AG10</xm:sqref>
        </x14:conditionalFormatting>
        <x14:conditionalFormatting xmlns:xm="http://schemas.microsoft.com/office/excel/2006/main">
          <x14:cfRule type="iconSet" priority="85" id="{ADF0F28C-E773-4A56-9CFC-84E4B6B3053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AG25</xm:sqref>
        </x14:conditionalFormatting>
        <x14:conditionalFormatting xmlns:xm="http://schemas.microsoft.com/office/excel/2006/main">
          <x14:cfRule type="iconSet" priority="66" id="{030C35E3-BD60-4D6A-8C1B-04941A851A7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AG27</xm:sqref>
        </x14:conditionalFormatting>
        <x14:conditionalFormatting xmlns:xm="http://schemas.microsoft.com/office/excel/2006/main">
          <x14:cfRule type="iconSet" priority="47" id="{6F537DD1-F903-4529-8818-1FB0180E81A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AG29</xm:sqref>
        </x14:conditionalFormatting>
        <x14:conditionalFormatting xmlns:xm="http://schemas.microsoft.com/office/excel/2006/main">
          <x14:cfRule type="iconSet" priority="28" id="{D6E54ADF-3DF7-4755-85FC-CD74A27AE16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AG31</xm:sqref>
        </x14:conditionalFormatting>
        <x14:conditionalFormatting xmlns:xm="http://schemas.microsoft.com/office/excel/2006/main">
          <x14:cfRule type="iconSet" priority="9" id="{E4EAD692-DB1E-4254-A8E4-DA22094D7EE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AG33</xm:sqref>
        </x14:conditionalFormatting>
        <x14:conditionalFormatting xmlns:xm="http://schemas.microsoft.com/office/excel/2006/main">
          <x14:cfRule type="iconSet" priority="161" id="{0D29B5DC-D65A-4611-BA68-BFDE5F63DCC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AL6</xm:sqref>
        </x14:conditionalFormatting>
        <x14:conditionalFormatting xmlns:xm="http://schemas.microsoft.com/office/excel/2006/main">
          <x14:cfRule type="iconSet" priority="162" id="{BB545189-A864-4570-BBCA-DDAB96C48E7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AL7</xm:sqref>
        </x14:conditionalFormatting>
        <x14:conditionalFormatting xmlns:xm="http://schemas.microsoft.com/office/excel/2006/main">
          <x14:cfRule type="iconSet" priority="163" id="{6995FC49-C96A-4AD3-932A-252C22A1866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AL8</xm:sqref>
        </x14:conditionalFormatting>
        <x14:conditionalFormatting xmlns:xm="http://schemas.microsoft.com/office/excel/2006/main">
          <x14:cfRule type="iconSet" priority="164" id="{44EF7A2A-C037-4CAD-B814-5F4718DE3F3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AL9</xm:sqref>
        </x14:conditionalFormatting>
        <x14:conditionalFormatting xmlns:xm="http://schemas.microsoft.com/office/excel/2006/main">
          <x14:cfRule type="iconSet" priority="165" id="{0262AE78-00CF-424F-9D01-3121FEB39A2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AL10</xm:sqref>
        </x14:conditionalFormatting>
        <x14:conditionalFormatting xmlns:xm="http://schemas.microsoft.com/office/excel/2006/main">
          <x14:cfRule type="iconSet" priority="84" id="{FDA93A4C-321F-42D2-A9B3-F70AC117ECB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AL25</xm:sqref>
        </x14:conditionalFormatting>
        <x14:conditionalFormatting xmlns:xm="http://schemas.microsoft.com/office/excel/2006/main">
          <x14:cfRule type="iconSet" priority="65" id="{B046831D-B325-4380-955C-F0B1789D572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AL27</xm:sqref>
        </x14:conditionalFormatting>
        <x14:conditionalFormatting xmlns:xm="http://schemas.microsoft.com/office/excel/2006/main">
          <x14:cfRule type="iconSet" priority="46" id="{73F6C43F-7A4F-4EAD-B53A-CDBDE002DCF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AL29</xm:sqref>
        </x14:conditionalFormatting>
        <x14:conditionalFormatting xmlns:xm="http://schemas.microsoft.com/office/excel/2006/main">
          <x14:cfRule type="iconSet" priority="27" id="{3A2F5E5D-2C0F-455D-9143-CBF63A97684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AL31</xm:sqref>
        </x14:conditionalFormatting>
        <x14:conditionalFormatting xmlns:xm="http://schemas.microsoft.com/office/excel/2006/main">
          <x14:cfRule type="iconSet" priority="8" id="{48BBE95A-3DAF-45F9-BBDD-9E6A5D0BB80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AL33</xm:sqref>
        </x14:conditionalFormatting>
        <x14:conditionalFormatting xmlns:xm="http://schemas.microsoft.com/office/excel/2006/main">
          <x14:cfRule type="iconSet" priority="156" id="{EC45A238-A30D-497F-98AD-5E4BADECA57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AQ6</xm:sqref>
        </x14:conditionalFormatting>
        <x14:conditionalFormatting xmlns:xm="http://schemas.microsoft.com/office/excel/2006/main">
          <x14:cfRule type="iconSet" priority="157" id="{CED2DDA1-38B6-4B46-8536-D82F7A7BA79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AQ7</xm:sqref>
        </x14:conditionalFormatting>
        <x14:conditionalFormatting xmlns:xm="http://schemas.microsoft.com/office/excel/2006/main">
          <x14:cfRule type="iconSet" priority="158" id="{EB68AEE0-478D-47A4-B05C-B9BFBD97A44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AQ8</xm:sqref>
        </x14:conditionalFormatting>
        <x14:conditionalFormatting xmlns:xm="http://schemas.microsoft.com/office/excel/2006/main">
          <x14:cfRule type="iconSet" priority="159" id="{77314BEA-90B9-40FA-974F-304766A0A4D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AQ9</xm:sqref>
        </x14:conditionalFormatting>
        <x14:conditionalFormatting xmlns:xm="http://schemas.microsoft.com/office/excel/2006/main">
          <x14:cfRule type="iconSet" priority="160" id="{3A89C566-D82C-4158-944D-E42FFCBD57A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AQ10</xm:sqref>
        </x14:conditionalFormatting>
        <x14:conditionalFormatting xmlns:xm="http://schemas.microsoft.com/office/excel/2006/main">
          <x14:cfRule type="iconSet" priority="83" id="{7DC7D52D-C46D-4D17-8CF4-EF5BB589BBE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AQ25</xm:sqref>
        </x14:conditionalFormatting>
        <x14:conditionalFormatting xmlns:xm="http://schemas.microsoft.com/office/excel/2006/main">
          <x14:cfRule type="iconSet" priority="64" id="{132D29E3-776A-4BDF-8A12-213CFB18A1B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AQ27</xm:sqref>
        </x14:conditionalFormatting>
        <x14:conditionalFormatting xmlns:xm="http://schemas.microsoft.com/office/excel/2006/main">
          <x14:cfRule type="iconSet" priority="45" id="{025CFD5F-6FFF-4F8C-8312-17B5FFF7D36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AQ29</xm:sqref>
        </x14:conditionalFormatting>
        <x14:conditionalFormatting xmlns:xm="http://schemas.microsoft.com/office/excel/2006/main">
          <x14:cfRule type="iconSet" priority="26" id="{1BC55967-6174-49AD-9B5A-4F039154E51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AQ31</xm:sqref>
        </x14:conditionalFormatting>
        <x14:conditionalFormatting xmlns:xm="http://schemas.microsoft.com/office/excel/2006/main">
          <x14:cfRule type="iconSet" priority="7" id="{64A5749F-407E-4B37-9722-62D0947C7A2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AQ33</xm:sqref>
        </x14:conditionalFormatting>
        <x14:conditionalFormatting xmlns:xm="http://schemas.microsoft.com/office/excel/2006/main">
          <x14:cfRule type="iconSet" priority="151" id="{A198A237-9697-4C29-9211-BC898725966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AV6</xm:sqref>
        </x14:conditionalFormatting>
        <x14:conditionalFormatting xmlns:xm="http://schemas.microsoft.com/office/excel/2006/main">
          <x14:cfRule type="iconSet" priority="152" id="{2155C418-A3C6-45CE-8E0E-80863FACA7C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AV7</xm:sqref>
        </x14:conditionalFormatting>
        <x14:conditionalFormatting xmlns:xm="http://schemas.microsoft.com/office/excel/2006/main">
          <x14:cfRule type="iconSet" priority="153" id="{FF3676B1-0EF0-47F8-999A-FA643C38C62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AV8</xm:sqref>
        </x14:conditionalFormatting>
        <x14:conditionalFormatting xmlns:xm="http://schemas.microsoft.com/office/excel/2006/main">
          <x14:cfRule type="iconSet" priority="154" id="{6B61CD4B-8EED-4AE2-8CB8-B58970C92D3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AV9</xm:sqref>
        </x14:conditionalFormatting>
        <x14:conditionalFormatting xmlns:xm="http://schemas.microsoft.com/office/excel/2006/main">
          <x14:cfRule type="iconSet" priority="155" id="{EFC988A6-3913-4ABD-9DF0-8FBF0ECB5554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AV10</xm:sqref>
        </x14:conditionalFormatting>
        <x14:conditionalFormatting xmlns:xm="http://schemas.microsoft.com/office/excel/2006/main">
          <x14:cfRule type="iconSet" priority="82" id="{B915DEC6-B2E9-4096-A7C1-DFF168476B5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AV25</xm:sqref>
        </x14:conditionalFormatting>
        <x14:conditionalFormatting xmlns:xm="http://schemas.microsoft.com/office/excel/2006/main">
          <x14:cfRule type="iconSet" priority="63" id="{E646C570-FDA3-4EF4-8DAA-C07C3C091E0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AV27</xm:sqref>
        </x14:conditionalFormatting>
        <x14:conditionalFormatting xmlns:xm="http://schemas.microsoft.com/office/excel/2006/main">
          <x14:cfRule type="iconSet" priority="44" id="{92B64E85-40EF-4260-B5D7-8E22EEB956B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AV29</xm:sqref>
        </x14:conditionalFormatting>
        <x14:conditionalFormatting xmlns:xm="http://schemas.microsoft.com/office/excel/2006/main">
          <x14:cfRule type="iconSet" priority="25" id="{48D32011-9B34-4CB4-9560-5F0D88A4299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AV31</xm:sqref>
        </x14:conditionalFormatting>
        <x14:conditionalFormatting xmlns:xm="http://schemas.microsoft.com/office/excel/2006/main">
          <x14:cfRule type="iconSet" priority="6" id="{07531569-CD5F-490A-A622-F2C0880EDD4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AV33</xm:sqref>
        </x14:conditionalFormatting>
        <x14:conditionalFormatting xmlns:xm="http://schemas.microsoft.com/office/excel/2006/main">
          <x14:cfRule type="iconSet" priority="146" id="{6DE4086A-78CF-45A5-BF12-64E37B81340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BA6</xm:sqref>
        </x14:conditionalFormatting>
        <x14:conditionalFormatting xmlns:xm="http://schemas.microsoft.com/office/excel/2006/main">
          <x14:cfRule type="iconSet" priority="147" id="{FA492CBD-B450-4F9F-AB88-0E78C3668C5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BA7</xm:sqref>
        </x14:conditionalFormatting>
        <x14:conditionalFormatting xmlns:xm="http://schemas.microsoft.com/office/excel/2006/main">
          <x14:cfRule type="iconSet" priority="148" id="{E5606F0B-419D-4F1C-AB53-83D664A91B4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BA8</xm:sqref>
        </x14:conditionalFormatting>
        <x14:conditionalFormatting xmlns:xm="http://schemas.microsoft.com/office/excel/2006/main">
          <x14:cfRule type="iconSet" priority="149" id="{DEEDEE48-900A-4EC2-AE34-5AA467B48AB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BA9</xm:sqref>
        </x14:conditionalFormatting>
        <x14:conditionalFormatting xmlns:xm="http://schemas.microsoft.com/office/excel/2006/main">
          <x14:cfRule type="iconSet" priority="150" id="{BC44C072-86CC-482C-A505-128ABDCE4D2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BA10</xm:sqref>
        </x14:conditionalFormatting>
        <x14:conditionalFormatting xmlns:xm="http://schemas.microsoft.com/office/excel/2006/main">
          <x14:cfRule type="iconSet" priority="81" id="{E5712183-837C-4528-82C6-ACAE862BABB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BA25</xm:sqref>
        </x14:conditionalFormatting>
        <x14:conditionalFormatting xmlns:xm="http://schemas.microsoft.com/office/excel/2006/main">
          <x14:cfRule type="iconSet" priority="62" id="{C4F2C360-6758-4F14-8E93-A9BA4AB477B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BA27</xm:sqref>
        </x14:conditionalFormatting>
        <x14:conditionalFormatting xmlns:xm="http://schemas.microsoft.com/office/excel/2006/main">
          <x14:cfRule type="iconSet" priority="43" id="{C9B78234-B3EB-4356-A003-5ECD83DA857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BA29</xm:sqref>
        </x14:conditionalFormatting>
        <x14:conditionalFormatting xmlns:xm="http://schemas.microsoft.com/office/excel/2006/main">
          <x14:cfRule type="iconSet" priority="24" id="{1C5E64EB-92A6-4DA4-A8B5-BCAD6883D96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BA31</xm:sqref>
        </x14:conditionalFormatting>
        <x14:conditionalFormatting xmlns:xm="http://schemas.microsoft.com/office/excel/2006/main">
          <x14:cfRule type="iconSet" priority="5" id="{2202D559-3516-4F64-A2E2-77B10925A26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BA33</xm:sqref>
        </x14:conditionalFormatting>
        <x14:conditionalFormatting xmlns:xm="http://schemas.microsoft.com/office/excel/2006/main">
          <x14:cfRule type="iconSet" priority="141" id="{3B1FCAB7-9D31-481E-8568-EF0BCB2B0C3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BF6</xm:sqref>
        </x14:conditionalFormatting>
        <x14:conditionalFormatting xmlns:xm="http://schemas.microsoft.com/office/excel/2006/main">
          <x14:cfRule type="iconSet" priority="142" id="{D347BE91-8B3E-49D5-BE44-CBE377EE09E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BF7</xm:sqref>
        </x14:conditionalFormatting>
        <x14:conditionalFormatting xmlns:xm="http://schemas.microsoft.com/office/excel/2006/main">
          <x14:cfRule type="iconSet" priority="143" id="{4CB91F10-1B9B-40C6-BFFF-C87AE012F10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BF8</xm:sqref>
        </x14:conditionalFormatting>
        <x14:conditionalFormatting xmlns:xm="http://schemas.microsoft.com/office/excel/2006/main">
          <x14:cfRule type="iconSet" priority="144" id="{633BD7CB-19B4-4834-A861-8E0CED4EF62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BF9</xm:sqref>
        </x14:conditionalFormatting>
        <x14:conditionalFormatting xmlns:xm="http://schemas.microsoft.com/office/excel/2006/main">
          <x14:cfRule type="iconSet" priority="145" id="{77ADD054-AC3F-431F-A7B4-BD5C5628C99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BF10</xm:sqref>
        </x14:conditionalFormatting>
        <x14:conditionalFormatting xmlns:xm="http://schemas.microsoft.com/office/excel/2006/main">
          <x14:cfRule type="iconSet" priority="80" id="{F807B486-44C5-4675-A5B1-35C4EA1C3F0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BF25</xm:sqref>
        </x14:conditionalFormatting>
        <x14:conditionalFormatting xmlns:xm="http://schemas.microsoft.com/office/excel/2006/main">
          <x14:cfRule type="iconSet" priority="61" id="{26816828-CC17-492C-879F-6A8B18151EE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BF27</xm:sqref>
        </x14:conditionalFormatting>
        <x14:conditionalFormatting xmlns:xm="http://schemas.microsoft.com/office/excel/2006/main">
          <x14:cfRule type="iconSet" priority="42" id="{3A8BE354-9E4B-447B-98D2-4BF3DF4E1D0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BF29</xm:sqref>
        </x14:conditionalFormatting>
        <x14:conditionalFormatting xmlns:xm="http://schemas.microsoft.com/office/excel/2006/main">
          <x14:cfRule type="iconSet" priority="23" id="{FE1E0934-A92E-4283-88B2-1A31D39C358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BF31</xm:sqref>
        </x14:conditionalFormatting>
        <x14:conditionalFormatting xmlns:xm="http://schemas.microsoft.com/office/excel/2006/main">
          <x14:cfRule type="iconSet" priority="4" id="{30604D1D-C4F2-40D9-865E-9731663548D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BF33</xm:sqref>
        </x14:conditionalFormatting>
        <x14:conditionalFormatting xmlns:xm="http://schemas.microsoft.com/office/excel/2006/main">
          <x14:cfRule type="iconSet" priority="136" id="{450764AD-E766-4F06-A88E-49A74EBCE0E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BK6</xm:sqref>
        </x14:conditionalFormatting>
        <x14:conditionalFormatting xmlns:xm="http://schemas.microsoft.com/office/excel/2006/main">
          <x14:cfRule type="iconSet" priority="137" id="{BCA8FEDF-0C0B-45C1-80F3-AD995A3B6D2D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BK7</xm:sqref>
        </x14:conditionalFormatting>
        <x14:conditionalFormatting xmlns:xm="http://schemas.microsoft.com/office/excel/2006/main">
          <x14:cfRule type="iconSet" priority="138" id="{D1C9B231-7A5A-4081-8667-A636461F67B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BK8</xm:sqref>
        </x14:conditionalFormatting>
        <x14:conditionalFormatting xmlns:xm="http://schemas.microsoft.com/office/excel/2006/main">
          <x14:cfRule type="iconSet" priority="139" id="{9ADBFB73-B158-4BA5-ABAC-A579FDBBBD5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BK9</xm:sqref>
        </x14:conditionalFormatting>
        <x14:conditionalFormatting xmlns:xm="http://schemas.microsoft.com/office/excel/2006/main">
          <x14:cfRule type="iconSet" priority="140" id="{3508F299-FEAE-47BD-A7B4-4C1DB7E736A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BK10</xm:sqref>
        </x14:conditionalFormatting>
        <x14:conditionalFormatting xmlns:xm="http://schemas.microsoft.com/office/excel/2006/main">
          <x14:cfRule type="iconSet" priority="79" id="{019C46C6-9CEB-49F5-8A40-E51CF73BAF8C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BK25</xm:sqref>
        </x14:conditionalFormatting>
        <x14:conditionalFormatting xmlns:xm="http://schemas.microsoft.com/office/excel/2006/main">
          <x14:cfRule type="iconSet" priority="60" id="{8FEFAE60-F8D0-4D8D-9076-E3654EC5B465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BK27</xm:sqref>
        </x14:conditionalFormatting>
        <x14:conditionalFormatting xmlns:xm="http://schemas.microsoft.com/office/excel/2006/main">
          <x14:cfRule type="iconSet" priority="41" id="{DC8F8F4B-DCA7-4BC2-9CB1-2767DFFBEBB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BK29</xm:sqref>
        </x14:conditionalFormatting>
        <x14:conditionalFormatting xmlns:xm="http://schemas.microsoft.com/office/excel/2006/main">
          <x14:cfRule type="iconSet" priority="22" id="{4B485F13-01E9-45C3-9FDB-E13707EC1AB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BK31</xm:sqref>
        </x14:conditionalFormatting>
        <x14:conditionalFormatting xmlns:xm="http://schemas.microsoft.com/office/excel/2006/main">
          <x14:cfRule type="iconSet" priority="3" id="{BBFB3985-6E0D-450A-98BB-698CBEF14AE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BK33</xm:sqref>
        </x14:conditionalFormatting>
        <x14:conditionalFormatting xmlns:xm="http://schemas.microsoft.com/office/excel/2006/main">
          <x14:cfRule type="iconSet" priority="131" id="{4195B465-4030-4620-9CBC-23F722C66FB6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BP6</xm:sqref>
        </x14:conditionalFormatting>
        <x14:conditionalFormatting xmlns:xm="http://schemas.microsoft.com/office/excel/2006/main">
          <x14:cfRule type="iconSet" priority="132" id="{C1A4E10C-70C2-4E9B-9007-B38E94183CCE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BP7</xm:sqref>
        </x14:conditionalFormatting>
        <x14:conditionalFormatting xmlns:xm="http://schemas.microsoft.com/office/excel/2006/main">
          <x14:cfRule type="iconSet" priority="133" id="{079811A2-8126-412D-98D2-AE0A65D193F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BP8</xm:sqref>
        </x14:conditionalFormatting>
        <x14:conditionalFormatting xmlns:xm="http://schemas.microsoft.com/office/excel/2006/main">
          <x14:cfRule type="iconSet" priority="134" id="{4BDC00BB-11E3-43CD-8FE8-5B3C302A32A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BP9</xm:sqref>
        </x14:conditionalFormatting>
        <x14:conditionalFormatting xmlns:xm="http://schemas.microsoft.com/office/excel/2006/main">
          <x14:cfRule type="iconSet" priority="135" id="{F8D2965F-9DF4-4CA4-8215-0BF344B8C9C3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BP10</xm:sqref>
        </x14:conditionalFormatting>
        <x14:conditionalFormatting xmlns:xm="http://schemas.microsoft.com/office/excel/2006/main">
          <x14:cfRule type="iconSet" priority="78" id="{332A2B38-4CF7-4D85-AE0A-285A6A908B9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BP25</xm:sqref>
        </x14:conditionalFormatting>
        <x14:conditionalFormatting xmlns:xm="http://schemas.microsoft.com/office/excel/2006/main">
          <x14:cfRule type="iconSet" priority="59" id="{81680820-9A41-4B0D-A302-7A7038243387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BP27</xm:sqref>
        </x14:conditionalFormatting>
        <x14:conditionalFormatting xmlns:xm="http://schemas.microsoft.com/office/excel/2006/main">
          <x14:cfRule type="iconSet" priority="40" id="{2940FB48-AF48-4A82-8322-72604973573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BP29</xm:sqref>
        </x14:conditionalFormatting>
        <x14:conditionalFormatting xmlns:xm="http://schemas.microsoft.com/office/excel/2006/main">
          <x14:cfRule type="iconSet" priority="21" id="{49C2E1FC-F351-4793-8949-9934863D2A2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BP31</xm:sqref>
        </x14:conditionalFormatting>
        <x14:conditionalFormatting xmlns:xm="http://schemas.microsoft.com/office/excel/2006/main">
          <x14:cfRule type="iconSet" priority="2" id="{A10B3FC5-CB5D-4EF5-8149-4998C9B0FC9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BP33</xm:sqref>
        </x14:conditionalFormatting>
        <x14:conditionalFormatting xmlns:xm="http://schemas.microsoft.com/office/excel/2006/main">
          <x14:cfRule type="iconSet" priority="96" id="{899409CC-4E0D-4763-A79D-0EF48C1C57D9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BU6</xm:sqref>
        </x14:conditionalFormatting>
        <x14:conditionalFormatting xmlns:xm="http://schemas.microsoft.com/office/excel/2006/main">
          <x14:cfRule type="iconSet" priority="97" id="{65CB03CF-7F2D-466E-B087-C02A4367AEB1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BU7</xm:sqref>
        </x14:conditionalFormatting>
        <x14:conditionalFormatting xmlns:xm="http://schemas.microsoft.com/office/excel/2006/main">
          <x14:cfRule type="iconSet" priority="98" id="{9C45EB7F-F7EF-4447-AFDF-E6381E3BF9BB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BU8</xm:sqref>
        </x14:conditionalFormatting>
        <x14:conditionalFormatting xmlns:xm="http://schemas.microsoft.com/office/excel/2006/main">
          <x14:cfRule type="iconSet" priority="99" id="{05B943E6-7914-41BB-A068-54330E3242B0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BU9</xm:sqref>
        </x14:conditionalFormatting>
        <x14:conditionalFormatting xmlns:xm="http://schemas.microsoft.com/office/excel/2006/main">
          <x14:cfRule type="iconSet" priority="100" id="{5B7548FA-3928-4019-BB05-C63EF8F0D8A8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BU10</xm:sqref>
        </x14:conditionalFormatting>
        <x14:conditionalFormatting xmlns:xm="http://schemas.microsoft.com/office/excel/2006/main">
          <x14:cfRule type="iconSet" priority="77" id="{1EF194D8-C3F8-4AB0-B8AA-5A207B648B1A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BU25</xm:sqref>
        </x14:conditionalFormatting>
        <x14:conditionalFormatting xmlns:xm="http://schemas.microsoft.com/office/excel/2006/main">
          <x14:cfRule type="iconSet" priority="58" id="{BE06B555-0CF7-428E-8E2F-5087412627B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BU27</xm:sqref>
        </x14:conditionalFormatting>
        <x14:conditionalFormatting xmlns:xm="http://schemas.microsoft.com/office/excel/2006/main">
          <x14:cfRule type="iconSet" priority="39" id="{4E4B0744-26E8-4E36-B74C-DE54BE68D2F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BU29</xm:sqref>
        </x14:conditionalFormatting>
        <x14:conditionalFormatting xmlns:xm="http://schemas.microsoft.com/office/excel/2006/main">
          <x14:cfRule type="iconSet" priority="20" id="{40EFA8C9-6566-4A43-B139-B912EFAC33BF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BU31</xm:sqref>
        </x14:conditionalFormatting>
        <x14:conditionalFormatting xmlns:xm="http://schemas.microsoft.com/office/excel/2006/main">
          <x14:cfRule type="iconSet" priority="1" id="{83F32333-9317-4387-A7FE-1728E001FD4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BU33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5F88-4858-40C2-A674-4AEE624B3D07}">
  <sheetPr>
    <tabColor theme="0" tint="-0.14999847407452621"/>
  </sheetPr>
  <dimension ref="B2:N154"/>
  <sheetViews>
    <sheetView workbookViewId="0"/>
  </sheetViews>
  <sheetFormatPr defaultColWidth="9.140625" defaultRowHeight="15" outlineLevelRow="1" x14ac:dyDescent="0.25"/>
  <cols>
    <col min="1" max="1" width="2.7109375" style="55" customWidth="1"/>
    <col min="2" max="2" width="11.5703125" style="55" bestFit="1" customWidth="1"/>
    <col min="3" max="3" width="10.42578125" style="57" bestFit="1" customWidth="1"/>
    <col min="4" max="6" width="9.140625" style="55"/>
    <col min="7" max="7" width="11.5703125" style="55" bestFit="1" customWidth="1"/>
    <col min="8" max="8" width="10.42578125" style="57" bestFit="1" customWidth="1"/>
    <col min="9" max="9" width="9.140625" style="55"/>
    <col min="10" max="10" width="9.140625" style="56"/>
    <col min="11" max="16384" width="9.140625" style="55"/>
  </cols>
  <sheetData>
    <row r="2" spans="2:14" ht="31.5" x14ac:dyDescent="0.25">
      <c r="B2" s="54" t="s">
        <v>26</v>
      </c>
      <c r="C2" s="82" t="s">
        <v>83</v>
      </c>
      <c r="D2" s="82"/>
      <c r="E2" s="82"/>
      <c r="F2" s="82"/>
      <c r="G2" s="82"/>
      <c r="H2" s="82"/>
      <c r="I2" s="83" t="str">
        <f>HOME!E2</f>
        <v>NOME DO PILAR</v>
      </c>
      <c r="J2" s="83"/>
      <c r="K2" s="83"/>
      <c r="L2" s="83"/>
      <c r="M2" s="83"/>
      <c r="N2" s="83"/>
    </row>
    <row r="3" spans="2:14" ht="6" customHeight="1" x14ac:dyDescent="0.25"/>
    <row r="4" spans="2:14" ht="6" customHeight="1" x14ac:dyDescent="0.25"/>
    <row r="5" spans="2:14" outlineLevel="1" x14ac:dyDescent="0.25">
      <c r="B5" s="56" t="s">
        <v>80</v>
      </c>
      <c r="C5" s="57" t="s">
        <v>79</v>
      </c>
      <c r="D5" s="56" t="s">
        <v>65</v>
      </c>
      <c r="E5" s="56" t="s">
        <v>66</v>
      </c>
    </row>
    <row r="6" spans="2:14" outlineLevel="1" x14ac:dyDescent="0.25">
      <c r="B6" s="58" t="str">
        <f>'1.'!D6</f>
        <v>R$</v>
      </c>
      <c r="C6" s="57" t="s">
        <v>67</v>
      </c>
      <c r="D6" s="58">
        <f>'1.'!J6</f>
        <v>0</v>
      </c>
      <c r="E6" s="58">
        <f>'1.'!K6</f>
        <v>0</v>
      </c>
    </row>
    <row r="7" spans="2:14" outlineLevel="1" x14ac:dyDescent="0.25">
      <c r="B7" s="58" t="str">
        <f>$B$6</f>
        <v>R$</v>
      </c>
      <c r="C7" s="57" t="s">
        <v>68</v>
      </c>
      <c r="D7" s="58">
        <f>'1.'!O6</f>
        <v>0</v>
      </c>
      <c r="E7" s="58">
        <f>'1.'!P6</f>
        <v>0</v>
      </c>
    </row>
    <row r="8" spans="2:14" outlineLevel="1" x14ac:dyDescent="0.25">
      <c r="B8" s="58" t="str">
        <f t="shared" ref="B8:B17" si="0">$B$6</f>
        <v>R$</v>
      </c>
      <c r="C8" s="57" t="s">
        <v>69</v>
      </c>
      <c r="D8" s="58">
        <f>'1.'!T6</f>
        <v>0</v>
      </c>
      <c r="E8" s="58">
        <f>'1.'!U6</f>
        <v>13000</v>
      </c>
    </row>
    <row r="9" spans="2:14" outlineLevel="1" x14ac:dyDescent="0.25">
      <c r="B9" s="58" t="str">
        <f t="shared" si="0"/>
        <v>R$</v>
      </c>
      <c r="C9" s="57" t="s">
        <v>70</v>
      </c>
      <c r="D9" s="58">
        <f>'1.'!Y6</f>
        <v>0</v>
      </c>
      <c r="E9" s="58">
        <f>'1.'!Z6</f>
        <v>0</v>
      </c>
    </row>
    <row r="10" spans="2:14" outlineLevel="1" x14ac:dyDescent="0.25">
      <c r="B10" s="58" t="str">
        <f t="shared" si="0"/>
        <v>R$</v>
      </c>
      <c r="C10" s="57" t="s">
        <v>71</v>
      </c>
      <c r="D10" s="58">
        <f>'1.'!AD6</f>
        <v>0</v>
      </c>
      <c r="E10" s="58">
        <f>'1.'!AE6</f>
        <v>0</v>
      </c>
    </row>
    <row r="11" spans="2:14" outlineLevel="1" x14ac:dyDescent="0.25">
      <c r="B11" s="58" t="str">
        <f t="shared" si="0"/>
        <v>R$</v>
      </c>
      <c r="C11" s="57" t="s">
        <v>72</v>
      </c>
      <c r="D11" s="58">
        <f>'1.'!AI6</f>
        <v>0</v>
      </c>
      <c r="E11" s="58">
        <f>'1.'!AJ6</f>
        <v>0</v>
      </c>
    </row>
    <row r="12" spans="2:14" outlineLevel="1" x14ac:dyDescent="0.25">
      <c r="B12" s="58" t="str">
        <f t="shared" si="0"/>
        <v>R$</v>
      </c>
      <c r="C12" s="57" t="s">
        <v>73</v>
      </c>
      <c r="D12" s="58">
        <f>'1.'!AN6</f>
        <v>0</v>
      </c>
      <c r="E12" s="58">
        <f>'1.'!AO6</f>
        <v>0</v>
      </c>
    </row>
    <row r="13" spans="2:14" outlineLevel="1" x14ac:dyDescent="0.25">
      <c r="B13" s="58" t="str">
        <f t="shared" si="0"/>
        <v>R$</v>
      </c>
      <c r="C13" s="57" t="s">
        <v>74</v>
      </c>
      <c r="D13" s="58">
        <f>'1.'!AS6</f>
        <v>0</v>
      </c>
      <c r="E13" s="58">
        <f>'1.'!AT6</f>
        <v>0</v>
      </c>
    </row>
    <row r="14" spans="2:14" outlineLevel="1" x14ac:dyDescent="0.25">
      <c r="B14" s="58" t="str">
        <f t="shared" si="0"/>
        <v>R$</v>
      </c>
      <c r="C14" s="57" t="s">
        <v>75</v>
      </c>
      <c r="D14" s="58">
        <f>'1.'!AX6</f>
        <v>0</v>
      </c>
      <c r="E14" s="58">
        <f>'1.'!AY6</f>
        <v>0</v>
      </c>
    </row>
    <row r="15" spans="2:14" outlineLevel="1" x14ac:dyDescent="0.25">
      <c r="B15" s="58" t="str">
        <f t="shared" si="0"/>
        <v>R$</v>
      </c>
      <c r="C15" s="57" t="s">
        <v>76</v>
      </c>
      <c r="D15" s="58">
        <f>'1.'!BC6</f>
        <v>0</v>
      </c>
      <c r="E15" s="58">
        <f>'1.'!BD6</f>
        <v>0</v>
      </c>
    </row>
    <row r="16" spans="2:14" outlineLevel="1" x14ac:dyDescent="0.25">
      <c r="B16" s="58" t="str">
        <f t="shared" si="0"/>
        <v>R$</v>
      </c>
      <c r="C16" s="57" t="s">
        <v>77</v>
      </c>
      <c r="D16" s="58">
        <f>'1.'!BH6</f>
        <v>0</v>
      </c>
      <c r="E16" s="58">
        <f>'1.'!BI6</f>
        <v>0</v>
      </c>
    </row>
    <row r="17" spans="2:5" outlineLevel="1" x14ac:dyDescent="0.25">
      <c r="B17" s="58" t="str">
        <f t="shared" si="0"/>
        <v>R$</v>
      </c>
      <c r="C17" s="57" t="s">
        <v>78</v>
      </c>
      <c r="D17" s="58">
        <f>'1.'!BM6</f>
        <v>0</v>
      </c>
      <c r="E17" s="58">
        <f>'1.'!BN6</f>
        <v>0</v>
      </c>
    </row>
    <row r="18" spans="2:5" outlineLevel="1" x14ac:dyDescent="0.25">
      <c r="B18" s="56" t="s">
        <v>81</v>
      </c>
      <c r="C18" s="59" t="str">
        <f>B6</f>
        <v>R$</v>
      </c>
      <c r="D18" s="58"/>
      <c r="E18" s="58" t="str">
        <f>'1.'!H6</f>
        <v>↑</v>
      </c>
    </row>
    <row r="19" spans="2:5" x14ac:dyDescent="0.25">
      <c r="B19" s="58"/>
      <c r="D19" s="58"/>
      <c r="E19" s="58"/>
    </row>
    <row r="20" spans="2:5" outlineLevel="1" x14ac:dyDescent="0.25">
      <c r="B20" s="56" t="s">
        <v>80</v>
      </c>
      <c r="C20" s="57" t="s">
        <v>79</v>
      </c>
      <c r="D20" s="56" t="s">
        <v>65</v>
      </c>
      <c r="E20" s="56" t="s">
        <v>66</v>
      </c>
    </row>
    <row r="21" spans="2:5" outlineLevel="1" x14ac:dyDescent="0.25">
      <c r="B21" s="58" t="str">
        <f>'1.'!D7</f>
        <v>%</v>
      </c>
      <c r="C21" s="57" t="s">
        <v>67</v>
      </c>
      <c r="D21" s="58">
        <f>'1.'!J7</f>
        <v>0</v>
      </c>
      <c r="E21" s="58">
        <f>'1.'!K7</f>
        <v>0</v>
      </c>
    </row>
    <row r="22" spans="2:5" outlineLevel="1" x14ac:dyDescent="0.25">
      <c r="B22" s="58" t="str">
        <f t="shared" ref="B22:B32" si="1">$B$21</f>
        <v>%</v>
      </c>
      <c r="C22" s="57" t="s">
        <v>68</v>
      </c>
      <c r="D22" s="60">
        <f>'1.'!O7</f>
        <v>0</v>
      </c>
      <c r="E22" s="60">
        <f>'1.'!P7</f>
        <v>0</v>
      </c>
    </row>
    <row r="23" spans="2:5" outlineLevel="1" x14ac:dyDescent="0.25">
      <c r="B23" s="58" t="str">
        <f t="shared" si="1"/>
        <v>%</v>
      </c>
      <c r="C23" s="57" t="s">
        <v>69</v>
      </c>
      <c r="D23" s="58">
        <f>'1.'!T7</f>
        <v>0</v>
      </c>
      <c r="E23" s="58">
        <f>'1.'!U7</f>
        <v>0</v>
      </c>
    </row>
    <row r="24" spans="2:5" outlineLevel="1" x14ac:dyDescent="0.25">
      <c r="B24" s="58" t="str">
        <f t="shared" si="1"/>
        <v>%</v>
      </c>
      <c r="C24" s="57" t="s">
        <v>70</v>
      </c>
      <c r="D24" s="60">
        <f>'1.'!Y7</f>
        <v>0</v>
      </c>
      <c r="E24" s="60">
        <f>'1.'!Z7</f>
        <v>0</v>
      </c>
    </row>
    <row r="25" spans="2:5" outlineLevel="1" x14ac:dyDescent="0.25">
      <c r="B25" s="58" t="str">
        <f t="shared" si="1"/>
        <v>%</v>
      </c>
      <c r="C25" s="57" t="s">
        <v>71</v>
      </c>
      <c r="D25" s="58">
        <f>'1.'!AD7</f>
        <v>0</v>
      </c>
      <c r="E25" s="58">
        <f>'1.'!AE7</f>
        <v>0</v>
      </c>
    </row>
    <row r="26" spans="2:5" outlineLevel="1" x14ac:dyDescent="0.25">
      <c r="B26" s="58" t="str">
        <f t="shared" si="1"/>
        <v>%</v>
      </c>
      <c r="C26" s="57" t="s">
        <v>72</v>
      </c>
      <c r="D26" s="60">
        <f>'1.'!AI7</f>
        <v>0</v>
      </c>
      <c r="E26" s="60">
        <f>'1.'!AJ7</f>
        <v>0</v>
      </c>
    </row>
    <row r="27" spans="2:5" outlineLevel="1" x14ac:dyDescent="0.25">
      <c r="B27" s="58" t="str">
        <f t="shared" si="1"/>
        <v>%</v>
      </c>
      <c r="C27" s="57" t="s">
        <v>73</v>
      </c>
      <c r="D27" s="58">
        <f>'1.'!AN7</f>
        <v>0</v>
      </c>
      <c r="E27" s="58">
        <f>'1.'!AO7</f>
        <v>0</v>
      </c>
    </row>
    <row r="28" spans="2:5" outlineLevel="1" x14ac:dyDescent="0.25">
      <c r="B28" s="58" t="str">
        <f t="shared" si="1"/>
        <v>%</v>
      </c>
      <c r="C28" s="57" t="s">
        <v>74</v>
      </c>
      <c r="D28" s="60">
        <f>'1.'!AS7</f>
        <v>0</v>
      </c>
      <c r="E28" s="60">
        <f>'1.'!AT7</f>
        <v>0</v>
      </c>
    </row>
    <row r="29" spans="2:5" outlineLevel="1" x14ac:dyDescent="0.25">
      <c r="B29" s="58" t="str">
        <f t="shared" si="1"/>
        <v>%</v>
      </c>
      <c r="C29" s="57" t="s">
        <v>75</v>
      </c>
      <c r="D29" s="58">
        <f>'1.'!AX7</f>
        <v>0</v>
      </c>
      <c r="E29" s="58">
        <f>'1.'!AY7</f>
        <v>0</v>
      </c>
    </row>
    <row r="30" spans="2:5" outlineLevel="1" x14ac:dyDescent="0.25">
      <c r="B30" s="58" t="str">
        <f t="shared" si="1"/>
        <v>%</v>
      </c>
      <c r="C30" s="57" t="s">
        <v>76</v>
      </c>
      <c r="D30" s="60">
        <f>'1.'!BC7</f>
        <v>0</v>
      </c>
      <c r="E30" s="60">
        <f>'1.'!BD7</f>
        <v>0</v>
      </c>
    </row>
    <row r="31" spans="2:5" outlineLevel="1" x14ac:dyDescent="0.25">
      <c r="B31" s="58" t="str">
        <f t="shared" si="1"/>
        <v>%</v>
      </c>
      <c r="C31" s="57" t="s">
        <v>77</v>
      </c>
      <c r="D31" s="60">
        <f>'1.'!BH7</f>
        <v>0</v>
      </c>
      <c r="E31" s="60">
        <f>'1.'!BI7</f>
        <v>0</v>
      </c>
    </row>
    <row r="32" spans="2:5" outlineLevel="1" x14ac:dyDescent="0.25">
      <c r="B32" s="58" t="str">
        <f t="shared" si="1"/>
        <v>%</v>
      </c>
      <c r="C32" s="57" t="s">
        <v>78</v>
      </c>
      <c r="D32" s="60">
        <f>'1.'!BM7</f>
        <v>0</v>
      </c>
      <c r="E32" s="60">
        <f>'1.'!BN7</f>
        <v>0</v>
      </c>
    </row>
    <row r="33" spans="2:9" outlineLevel="1" x14ac:dyDescent="0.25">
      <c r="B33" s="56" t="s">
        <v>81</v>
      </c>
      <c r="C33" s="59" t="str">
        <f>B21</f>
        <v>%</v>
      </c>
      <c r="E33" s="56" t="str">
        <f>'1.'!H7</f>
        <v>↑</v>
      </c>
    </row>
    <row r="35" spans="2:9" outlineLevel="1" x14ac:dyDescent="0.25">
      <c r="B35" s="56" t="s">
        <v>80</v>
      </c>
      <c r="C35" s="57" t="s">
        <v>79</v>
      </c>
      <c r="D35" s="56" t="s">
        <v>65</v>
      </c>
      <c r="E35" s="56" t="s">
        <v>66</v>
      </c>
      <c r="G35" s="56"/>
      <c r="I35" s="56"/>
    </row>
    <row r="36" spans="2:9" outlineLevel="1" x14ac:dyDescent="0.25">
      <c r="B36" s="58" t="str">
        <f>'1.'!D8</f>
        <v>Tempo</v>
      </c>
      <c r="C36" s="57" t="s">
        <v>67</v>
      </c>
      <c r="D36" s="60">
        <f>'1.'!J8</f>
        <v>0</v>
      </c>
      <c r="E36" s="60">
        <f>'1.'!K8</f>
        <v>0</v>
      </c>
    </row>
    <row r="37" spans="2:9" outlineLevel="1" x14ac:dyDescent="0.25">
      <c r="B37" s="58" t="str">
        <f t="shared" ref="B37:B47" si="2">$B$36</f>
        <v>Tempo</v>
      </c>
      <c r="C37" s="57" t="s">
        <v>68</v>
      </c>
      <c r="D37" s="60">
        <f>'1.'!O8</f>
        <v>0</v>
      </c>
      <c r="E37" s="60">
        <f>'1.'!P8</f>
        <v>0</v>
      </c>
    </row>
    <row r="38" spans="2:9" outlineLevel="1" x14ac:dyDescent="0.25">
      <c r="B38" s="58" t="str">
        <f t="shared" si="2"/>
        <v>Tempo</v>
      </c>
      <c r="C38" s="57" t="s">
        <v>69</v>
      </c>
      <c r="D38" s="60">
        <f>'1.'!T8</f>
        <v>0</v>
      </c>
      <c r="E38" s="60">
        <f>'1.'!U8</f>
        <v>0</v>
      </c>
    </row>
    <row r="39" spans="2:9" outlineLevel="1" x14ac:dyDescent="0.25">
      <c r="B39" s="58" t="str">
        <f t="shared" si="2"/>
        <v>Tempo</v>
      </c>
      <c r="C39" s="57" t="s">
        <v>70</v>
      </c>
      <c r="D39" s="60">
        <f>'1.'!Y8</f>
        <v>0</v>
      </c>
      <c r="E39" s="60">
        <f>'1.'!Z8</f>
        <v>0</v>
      </c>
    </row>
    <row r="40" spans="2:9" outlineLevel="1" x14ac:dyDescent="0.25">
      <c r="B40" s="58" t="str">
        <f t="shared" si="2"/>
        <v>Tempo</v>
      </c>
      <c r="C40" s="57" t="s">
        <v>71</v>
      </c>
      <c r="D40" s="60">
        <f>'1.'!AD8</f>
        <v>0</v>
      </c>
      <c r="E40" s="60">
        <f>'1.'!AE8</f>
        <v>0</v>
      </c>
    </row>
    <row r="41" spans="2:9" outlineLevel="1" x14ac:dyDescent="0.25">
      <c r="B41" s="58" t="str">
        <f t="shared" si="2"/>
        <v>Tempo</v>
      </c>
      <c r="C41" s="57" t="s">
        <v>72</v>
      </c>
      <c r="D41" s="60">
        <f>'1.'!AI8</f>
        <v>0</v>
      </c>
      <c r="E41" s="60">
        <f>'1.'!AJ8</f>
        <v>0</v>
      </c>
    </row>
    <row r="42" spans="2:9" outlineLevel="1" x14ac:dyDescent="0.25">
      <c r="B42" s="58" t="str">
        <f t="shared" si="2"/>
        <v>Tempo</v>
      </c>
      <c r="C42" s="57" t="s">
        <v>73</v>
      </c>
      <c r="D42" s="60">
        <f>'1.'!AN8</f>
        <v>0</v>
      </c>
      <c r="E42" s="60">
        <f>'1.'!AO8</f>
        <v>0</v>
      </c>
    </row>
    <row r="43" spans="2:9" outlineLevel="1" x14ac:dyDescent="0.25">
      <c r="B43" s="58" t="str">
        <f t="shared" si="2"/>
        <v>Tempo</v>
      </c>
      <c r="C43" s="57" t="s">
        <v>74</v>
      </c>
      <c r="D43" s="60">
        <f>'1.'!AS8</f>
        <v>0</v>
      </c>
      <c r="E43" s="60">
        <f>'1.'!AT8</f>
        <v>0</v>
      </c>
    </row>
    <row r="44" spans="2:9" outlineLevel="1" x14ac:dyDescent="0.25">
      <c r="B44" s="58" t="str">
        <f t="shared" si="2"/>
        <v>Tempo</v>
      </c>
      <c r="C44" s="57" t="s">
        <v>75</v>
      </c>
      <c r="D44" s="60">
        <f>'1.'!AX8</f>
        <v>0</v>
      </c>
      <c r="E44" s="60">
        <f>'1.'!AY8</f>
        <v>0</v>
      </c>
    </row>
    <row r="45" spans="2:9" outlineLevel="1" x14ac:dyDescent="0.25">
      <c r="B45" s="58" t="str">
        <f t="shared" si="2"/>
        <v>Tempo</v>
      </c>
      <c r="C45" s="57" t="s">
        <v>76</v>
      </c>
      <c r="D45" s="60">
        <f>'1.'!BC8</f>
        <v>0</v>
      </c>
      <c r="E45" s="60">
        <f>'1.'!BD8</f>
        <v>0</v>
      </c>
    </row>
    <row r="46" spans="2:9" outlineLevel="1" x14ac:dyDescent="0.25">
      <c r="B46" s="58" t="str">
        <f t="shared" si="2"/>
        <v>Tempo</v>
      </c>
      <c r="C46" s="57" t="s">
        <v>77</v>
      </c>
      <c r="D46" s="60">
        <f>'1.'!BH8</f>
        <v>0</v>
      </c>
      <c r="E46" s="60">
        <f>'1.'!BI8</f>
        <v>0</v>
      </c>
    </row>
    <row r="47" spans="2:9" outlineLevel="1" x14ac:dyDescent="0.25">
      <c r="B47" s="58" t="str">
        <f t="shared" si="2"/>
        <v>Tempo</v>
      </c>
      <c r="C47" s="57" t="s">
        <v>78</v>
      </c>
      <c r="D47" s="60">
        <f>'1.'!BM8</f>
        <v>0</v>
      </c>
      <c r="E47" s="60">
        <f>'1.'!BN8</f>
        <v>0</v>
      </c>
    </row>
    <row r="48" spans="2:9" outlineLevel="1" x14ac:dyDescent="0.25">
      <c r="B48" s="56" t="s">
        <v>81</v>
      </c>
      <c r="C48" s="59" t="str">
        <f>B36</f>
        <v>Tempo</v>
      </c>
      <c r="D48" s="56"/>
      <c r="E48" s="56" t="str">
        <f>'1.'!H8</f>
        <v>↓</v>
      </c>
      <c r="G48" s="56"/>
    </row>
    <row r="49" spans="2:5" x14ac:dyDescent="0.25">
      <c r="D49" s="56"/>
      <c r="E49" s="56"/>
    </row>
    <row r="50" spans="2:5" outlineLevel="1" x14ac:dyDescent="0.25">
      <c r="B50" s="56" t="s">
        <v>80</v>
      </c>
      <c r="C50" s="57" t="s">
        <v>79</v>
      </c>
      <c r="D50" s="56" t="s">
        <v>65</v>
      </c>
      <c r="E50" s="56" t="s">
        <v>66</v>
      </c>
    </row>
    <row r="51" spans="2:5" outlineLevel="1" x14ac:dyDescent="0.25">
      <c r="B51" s="58" t="str">
        <f>'1.'!D9</f>
        <v>R$</v>
      </c>
      <c r="C51" s="57" t="s">
        <v>67</v>
      </c>
      <c r="D51" s="60">
        <f>'1.'!J9</f>
        <v>0</v>
      </c>
      <c r="E51" s="60">
        <f>'1.'!K9</f>
        <v>0</v>
      </c>
    </row>
    <row r="52" spans="2:5" outlineLevel="1" x14ac:dyDescent="0.25">
      <c r="B52" s="58" t="str">
        <f t="shared" ref="B52:B62" si="3">$B$51</f>
        <v>R$</v>
      </c>
      <c r="C52" s="57" t="s">
        <v>68</v>
      </c>
      <c r="D52" s="60">
        <f>'1.'!O9</f>
        <v>0</v>
      </c>
      <c r="E52" s="60">
        <f>'1.'!P9</f>
        <v>0</v>
      </c>
    </row>
    <row r="53" spans="2:5" outlineLevel="1" x14ac:dyDescent="0.25">
      <c r="B53" s="58" t="str">
        <f t="shared" si="3"/>
        <v>R$</v>
      </c>
      <c r="C53" s="57" t="s">
        <v>69</v>
      </c>
      <c r="D53" s="60">
        <f>'1.'!T9</f>
        <v>0</v>
      </c>
      <c r="E53" s="60">
        <f>'1.'!U9</f>
        <v>0</v>
      </c>
    </row>
    <row r="54" spans="2:5" outlineLevel="1" x14ac:dyDescent="0.25">
      <c r="B54" s="58" t="str">
        <f t="shared" si="3"/>
        <v>R$</v>
      </c>
      <c r="C54" s="57" t="s">
        <v>70</v>
      </c>
      <c r="D54" s="60">
        <f>'1.'!Y9</f>
        <v>0</v>
      </c>
      <c r="E54" s="60">
        <f>'1.'!Z9</f>
        <v>0</v>
      </c>
    </row>
    <row r="55" spans="2:5" outlineLevel="1" x14ac:dyDescent="0.25">
      <c r="B55" s="58" t="str">
        <f t="shared" si="3"/>
        <v>R$</v>
      </c>
      <c r="C55" s="57" t="s">
        <v>71</v>
      </c>
      <c r="D55" s="60">
        <f>'1.'!AD9</f>
        <v>0</v>
      </c>
      <c r="E55" s="60">
        <f>'1.'!AE9</f>
        <v>0</v>
      </c>
    </row>
    <row r="56" spans="2:5" outlineLevel="1" x14ac:dyDescent="0.25">
      <c r="B56" s="58" t="str">
        <f t="shared" si="3"/>
        <v>R$</v>
      </c>
      <c r="C56" s="57" t="s">
        <v>72</v>
      </c>
      <c r="D56" s="60">
        <f>'1.'!AI9</f>
        <v>0</v>
      </c>
      <c r="E56" s="60">
        <f>'1.'!AJ9</f>
        <v>0</v>
      </c>
    </row>
    <row r="57" spans="2:5" outlineLevel="1" x14ac:dyDescent="0.25">
      <c r="B57" s="58" t="str">
        <f t="shared" si="3"/>
        <v>R$</v>
      </c>
      <c r="C57" s="57" t="s">
        <v>73</v>
      </c>
      <c r="D57" s="60">
        <f>'1.'!AN9</f>
        <v>0</v>
      </c>
      <c r="E57" s="60">
        <f>'1.'!AO9</f>
        <v>0</v>
      </c>
    </row>
    <row r="58" spans="2:5" outlineLevel="1" x14ac:dyDescent="0.25">
      <c r="B58" s="58" t="str">
        <f t="shared" si="3"/>
        <v>R$</v>
      </c>
      <c r="C58" s="57" t="s">
        <v>74</v>
      </c>
      <c r="D58" s="60">
        <f>'1.'!AS9</f>
        <v>0</v>
      </c>
      <c r="E58" s="60">
        <f>'1.'!AT9</f>
        <v>0</v>
      </c>
    </row>
    <row r="59" spans="2:5" outlineLevel="1" x14ac:dyDescent="0.25">
      <c r="B59" s="58" t="str">
        <f t="shared" si="3"/>
        <v>R$</v>
      </c>
      <c r="C59" s="57" t="s">
        <v>75</v>
      </c>
      <c r="D59" s="60">
        <f>'1.'!AX9</f>
        <v>0</v>
      </c>
      <c r="E59" s="60">
        <f>'1.'!AY9</f>
        <v>0</v>
      </c>
    </row>
    <row r="60" spans="2:5" outlineLevel="1" x14ac:dyDescent="0.25">
      <c r="B60" s="58" t="str">
        <f t="shared" si="3"/>
        <v>R$</v>
      </c>
      <c r="C60" s="57" t="s">
        <v>76</v>
      </c>
      <c r="D60" s="60">
        <f>'1.'!BC9</f>
        <v>0</v>
      </c>
      <c r="E60" s="60">
        <f>'1.'!BD9</f>
        <v>0</v>
      </c>
    </row>
    <row r="61" spans="2:5" outlineLevel="1" x14ac:dyDescent="0.25">
      <c r="B61" s="58" t="str">
        <f t="shared" si="3"/>
        <v>R$</v>
      </c>
      <c r="C61" s="57" t="s">
        <v>77</v>
      </c>
      <c r="D61" s="60">
        <f>'1.'!BH9</f>
        <v>0</v>
      </c>
      <c r="E61" s="60">
        <f>'1.'!BI9</f>
        <v>0</v>
      </c>
    </row>
    <row r="62" spans="2:5" outlineLevel="1" x14ac:dyDescent="0.25">
      <c r="B62" s="58" t="str">
        <f t="shared" si="3"/>
        <v>R$</v>
      </c>
      <c r="C62" s="57" t="s">
        <v>78</v>
      </c>
      <c r="D62" s="60">
        <f>'1.'!BM9</f>
        <v>0</v>
      </c>
      <c r="E62" s="60">
        <f>'1.'!BN9</f>
        <v>0</v>
      </c>
    </row>
    <row r="63" spans="2:5" outlineLevel="1" x14ac:dyDescent="0.25">
      <c r="B63" s="56" t="s">
        <v>81</v>
      </c>
      <c r="C63" s="59" t="str">
        <f>B51</f>
        <v>R$</v>
      </c>
      <c r="E63" s="56" t="str">
        <f>'1.'!H9</f>
        <v>↑</v>
      </c>
    </row>
    <row r="64" spans="2:5" x14ac:dyDescent="0.25">
      <c r="D64" s="56"/>
      <c r="E64" s="56"/>
    </row>
    <row r="65" spans="2:5" outlineLevel="1" x14ac:dyDescent="0.25">
      <c r="B65" s="56" t="s">
        <v>80</v>
      </c>
      <c r="C65" s="57" t="s">
        <v>79</v>
      </c>
      <c r="D65" s="56" t="s">
        <v>65</v>
      </c>
      <c r="E65" s="56" t="s">
        <v>66</v>
      </c>
    </row>
    <row r="66" spans="2:5" outlineLevel="1" x14ac:dyDescent="0.25">
      <c r="B66" s="58" t="str">
        <f>'1.'!D10</f>
        <v>Qnt.</v>
      </c>
      <c r="C66" s="57" t="s">
        <v>67</v>
      </c>
      <c r="D66" s="60">
        <f>'1.'!J10</f>
        <v>0</v>
      </c>
      <c r="E66" s="60">
        <f>'1.'!K10</f>
        <v>0</v>
      </c>
    </row>
    <row r="67" spans="2:5" outlineLevel="1" x14ac:dyDescent="0.25">
      <c r="B67" s="58" t="str">
        <f t="shared" ref="B67:B77" si="4">$B$66</f>
        <v>Qnt.</v>
      </c>
      <c r="C67" s="57" t="s">
        <v>68</v>
      </c>
      <c r="D67" s="60">
        <f>'1.'!O10</f>
        <v>0</v>
      </c>
      <c r="E67" s="60">
        <f>'1.'!P10</f>
        <v>0</v>
      </c>
    </row>
    <row r="68" spans="2:5" outlineLevel="1" x14ac:dyDescent="0.25">
      <c r="B68" s="58" t="str">
        <f t="shared" si="4"/>
        <v>Qnt.</v>
      </c>
      <c r="C68" s="57" t="s">
        <v>69</v>
      </c>
      <c r="D68" s="60">
        <f>'1.'!T10</f>
        <v>0</v>
      </c>
      <c r="E68" s="60">
        <f>'1.'!U10</f>
        <v>0</v>
      </c>
    </row>
    <row r="69" spans="2:5" outlineLevel="1" x14ac:dyDescent="0.25">
      <c r="B69" s="58" t="str">
        <f t="shared" si="4"/>
        <v>Qnt.</v>
      </c>
      <c r="C69" s="57" t="s">
        <v>70</v>
      </c>
      <c r="D69" s="60">
        <f>'1.'!Y10</f>
        <v>0</v>
      </c>
      <c r="E69" s="60">
        <f>'1.'!Z10</f>
        <v>0</v>
      </c>
    </row>
    <row r="70" spans="2:5" outlineLevel="1" x14ac:dyDescent="0.25">
      <c r="B70" s="58" t="str">
        <f t="shared" si="4"/>
        <v>Qnt.</v>
      </c>
      <c r="C70" s="57" t="s">
        <v>71</v>
      </c>
      <c r="D70" s="60">
        <f>'1.'!AD10</f>
        <v>0</v>
      </c>
      <c r="E70" s="60">
        <f>'1.'!AE10</f>
        <v>0</v>
      </c>
    </row>
    <row r="71" spans="2:5" outlineLevel="1" x14ac:dyDescent="0.25">
      <c r="B71" s="58" t="str">
        <f t="shared" si="4"/>
        <v>Qnt.</v>
      </c>
      <c r="C71" s="57" t="s">
        <v>72</v>
      </c>
      <c r="D71" s="60">
        <f>'1.'!AI10</f>
        <v>0</v>
      </c>
      <c r="E71" s="60">
        <f>'1.'!AJ10</f>
        <v>0</v>
      </c>
    </row>
    <row r="72" spans="2:5" outlineLevel="1" x14ac:dyDescent="0.25">
      <c r="B72" s="58" t="str">
        <f t="shared" si="4"/>
        <v>Qnt.</v>
      </c>
      <c r="C72" s="57" t="s">
        <v>73</v>
      </c>
      <c r="D72" s="60">
        <f>'1.'!AN10</f>
        <v>0</v>
      </c>
      <c r="E72" s="60">
        <f>'1.'!AO10</f>
        <v>0</v>
      </c>
    </row>
    <row r="73" spans="2:5" outlineLevel="1" x14ac:dyDescent="0.25">
      <c r="B73" s="58" t="str">
        <f t="shared" si="4"/>
        <v>Qnt.</v>
      </c>
      <c r="C73" s="57" t="s">
        <v>74</v>
      </c>
      <c r="D73" s="60">
        <f>'1.'!AS10</f>
        <v>0</v>
      </c>
      <c r="E73" s="60">
        <f>'1.'!AT10</f>
        <v>0</v>
      </c>
    </row>
    <row r="74" spans="2:5" outlineLevel="1" x14ac:dyDescent="0.25">
      <c r="B74" s="58" t="str">
        <f t="shared" si="4"/>
        <v>Qnt.</v>
      </c>
      <c r="C74" s="57" t="s">
        <v>75</v>
      </c>
      <c r="D74" s="60">
        <f>'1.'!AX10</f>
        <v>0</v>
      </c>
      <c r="E74" s="60">
        <f>'1.'!AY10</f>
        <v>0</v>
      </c>
    </row>
    <row r="75" spans="2:5" outlineLevel="1" x14ac:dyDescent="0.25">
      <c r="B75" s="58" t="str">
        <f t="shared" si="4"/>
        <v>Qnt.</v>
      </c>
      <c r="C75" s="57" t="s">
        <v>76</v>
      </c>
      <c r="D75" s="60">
        <f>'1.'!BC10</f>
        <v>0</v>
      </c>
      <c r="E75" s="60">
        <f>'1.'!BD10</f>
        <v>0</v>
      </c>
    </row>
    <row r="76" spans="2:5" outlineLevel="1" x14ac:dyDescent="0.25">
      <c r="B76" s="58" t="str">
        <f t="shared" si="4"/>
        <v>Qnt.</v>
      </c>
      <c r="C76" s="57" t="s">
        <v>77</v>
      </c>
      <c r="D76" s="60">
        <f>'1.'!BH10</f>
        <v>0</v>
      </c>
      <c r="E76" s="60">
        <f>'1.'!BI10</f>
        <v>0</v>
      </c>
    </row>
    <row r="77" spans="2:5" outlineLevel="1" x14ac:dyDescent="0.25">
      <c r="B77" s="58" t="str">
        <f t="shared" si="4"/>
        <v>Qnt.</v>
      </c>
      <c r="C77" s="57" t="s">
        <v>78</v>
      </c>
      <c r="D77" s="60">
        <f>'1.'!BM10</f>
        <v>0</v>
      </c>
      <c r="E77" s="60">
        <f>'1.'!BN10</f>
        <v>0</v>
      </c>
    </row>
    <row r="78" spans="2:5" outlineLevel="1" x14ac:dyDescent="0.25">
      <c r="B78" s="56" t="s">
        <v>81</v>
      </c>
      <c r="C78" s="59" t="str">
        <f>B66</f>
        <v>Qnt.</v>
      </c>
      <c r="D78" s="56"/>
      <c r="E78" s="56" t="str">
        <f>'1.'!H10</f>
        <v>↑</v>
      </c>
    </row>
    <row r="80" spans="2:5" outlineLevel="1" x14ac:dyDescent="0.25">
      <c r="B80" s="56" t="s">
        <v>80</v>
      </c>
      <c r="C80" s="57" t="s">
        <v>79</v>
      </c>
      <c r="D80" s="56" t="s">
        <v>65</v>
      </c>
      <c r="E80" s="56" t="s">
        <v>66</v>
      </c>
    </row>
    <row r="81" spans="2:5" outlineLevel="1" x14ac:dyDescent="0.25">
      <c r="B81" s="58" t="str">
        <f>'1.'!D25</f>
        <v>Tempo</v>
      </c>
      <c r="C81" s="57" t="s">
        <v>67</v>
      </c>
      <c r="D81" s="60">
        <f>'1.'!J25</f>
        <v>5</v>
      </c>
      <c r="E81" s="60">
        <f>'1.'!K25</f>
        <v>5</v>
      </c>
    </row>
    <row r="82" spans="2:5" outlineLevel="1" x14ac:dyDescent="0.25">
      <c r="B82" s="58" t="str">
        <f>$B$81</f>
        <v>Tempo</v>
      </c>
      <c r="C82" s="57" t="s">
        <v>68</v>
      </c>
      <c r="D82" s="60">
        <f>'1.'!O25</f>
        <v>5</v>
      </c>
      <c r="E82" s="60">
        <f>'1.'!P25</f>
        <v>0</v>
      </c>
    </row>
    <row r="83" spans="2:5" outlineLevel="1" x14ac:dyDescent="0.25">
      <c r="B83" s="58" t="str">
        <f t="shared" ref="B83:B92" si="5">$B$81</f>
        <v>Tempo</v>
      </c>
      <c r="C83" s="57" t="s">
        <v>69</v>
      </c>
      <c r="D83" s="60">
        <f>'1.'!T25</f>
        <v>5</v>
      </c>
      <c r="E83" s="60">
        <f>'1.'!U25</f>
        <v>0</v>
      </c>
    </row>
    <row r="84" spans="2:5" outlineLevel="1" x14ac:dyDescent="0.25">
      <c r="B84" s="58" t="str">
        <f t="shared" si="5"/>
        <v>Tempo</v>
      </c>
      <c r="C84" s="57" t="s">
        <v>70</v>
      </c>
      <c r="D84" s="60">
        <f>'1.'!Y25</f>
        <v>5</v>
      </c>
      <c r="E84" s="60">
        <f>'1.'!Z25</f>
        <v>0</v>
      </c>
    </row>
    <row r="85" spans="2:5" outlineLevel="1" x14ac:dyDescent="0.25">
      <c r="B85" s="58" t="str">
        <f t="shared" si="5"/>
        <v>Tempo</v>
      </c>
      <c r="C85" s="57" t="s">
        <v>71</v>
      </c>
      <c r="D85" s="60">
        <f>'1.'!AD25</f>
        <v>5</v>
      </c>
      <c r="E85" s="60">
        <f>'1.'!AE25</f>
        <v>0</v>
      </c>
    </row>
    <row r="86" spans="2:5" outlineLevel="1" x14ac:dyDescent="0.25">
      <c r="B86" s="58" t="str">
        <f t="shared" si="5"/>
        <v>Tempo</v>
      </c>
      <c r="C86" s="57" t="s">
        <v>72</v>
      </c>
      <c r="D86" s="60">
        <f>'1.'!AI25</f>
        <v>5</v>
      </c>
      <c r="E86" s="60">
        <f>'1.'!AJ25</f>
        <v>0</v>
      </c>
    </row>
    <row r="87" spans="2:5" outlineLevel="1" x14ac:dyDescent="0.25">
      <c r="B87" s="58" t="str">
        <f t="shared" si="5"/>
        <v>Tempo</v>
      </c>
      <c r="C87" s="57" t="s">
        <v>73</v>
      </c>
      <c r="D87" s="60">
        <f>'1.'!AN25</f>
        <v>5</v>
      </c>
      <c r="E87" s="60">
        <f>'1.'!AO25</f>
        <v>0</v>
      </c>
    </row>
    <row r="88" spans="2:5" outlineLevel="1" x14ac:dyDescent="0.25">
      <c r="B88" s="58" t="str">
        <f t="shared" si="5"/>
        <v>Tempo</v>
      </c>
      <c r="C88" s="57" t="s">
        <v>74</v>
      </c>
      <c r="D88" s="60">
        <f>'1.'!AS25</f>
        <v>5</v>
      </c>
      <c r="E88" s="60">
        <f>'1.'!AT25</f>
        <v>0</v>
      </c>
    </row>
    <row r="89" spans="2:5" outlineLevel="1" x14ac:dyDescent="0.25">
      <c r="B89" s="58" t="str">
        <f t="shared" si="5"/>
        <v>Tempo</v>
      </c>
      <c r="C89" s="57" t="s">
        <v>75</v>
      </c>
      <c r="D89" s="60">
        <f>'1.'!AX25</f>
        <v>5</v>
      </c>
      <c r="E89" s="60">
        <f>'1.'!AY25</f>
        <v>0</v>
      </c>
    </row>
    <row r="90" spans="2:5" outlineLevel="1" x14ac:dyDescent="0.25">
      <c r="B90" s="58" t="str">
        <f t="shared" si="5"/>
        <v>Tempo</v>
      </c>
      <c r="C90" s="57" t="s">
        <v>76</v>
      </c>
      <c r="D90" s="60">
        <f>'1.'!BC25</f>
        <v>5</v>
      </c>
      <c r="E90" s="60">
        <f>'1.'!BD25</f>
        <v>0</v>
      </c>
    </row>
    <row r="91" spans="2:5" outlineLevel="1" x14ac:dyDescent="0.25">
      <c r="B91" s="58" t="str">
        <f t="shared" si="5"/>
        <v>Tempo</v>
      </c>
      <c r="C91" s="57" t="s">
        <v>77</v>
      </c>
      <c r="D91" s="60">
        <f>'1.'!BH25</f>
        <v>5</v>
      </c>
      <c r="E91" s="60">
        <f>'1.'!BI25</f>
        <v>0</v>
      </c>
    </row>
    <row r="92" spans="2:5" outlineLevel="1" x14ac:dyDescent="0.25">
      <c r="B92" s="58" t="str">
        <f t="shared" si="5"/>
        <v>Tempo</v>
      </c>
      <c r="C92" s="57" t="s">
        <v>78</v>
      </c>
      <c r="D92" s="60">
        <f>'1.'!BM25</f>
        <v>5</v>
      </c>
      <c r="E92" s="60">
        <f>'1.'!BN25</f>
        <v>0</v>
      </c>
    </row>
    <row r="93" spans="2:5" outlineLevel="1" x14ac:dyDescent="0.25">
      <c r="B93" s="56" t="s">
        <v>81</v>
      </c>
      <c r="C93" s="59" t="str">
        <f>B81</f>
        <v>Tempo</v>
      </c>
      <c r="D93" s="56"/>
      <c r="E93" s="56" t="str">
        <f>'1.'!H25</f>
        <v>↓</v>
      </c>
    </row>
    <row r="95" spans="2:5" hidden="1" outlineLevel="1" x14ac:dyDescent="0.25">
      <c r="B95" s="56" t="s">
        <v>80</v>
      </c>
      <c r="C95" s="57" t="s">
        <v>79</v>
      </c>
      <c r="D95" s="56" t="s">
        <v>65</v>
      </c>
      <c r="E95" s="56" t="s">
        <v>66</v>
      </c>
    </row>
    <row r="96" spans="2:5" hidden="1" outlineLevel="1" x14ac:dyDescent="0.25">
      <c r="B96" s="58" t="str">
        <f>'1.'!D27</f>
        <v>Qnt.</v>
      </c>
      <c r="C96" s="57" t="s">
        <v>67</v>
      </c>
      <c r="D96" s="60">
        <f>'1.'!J27</f>
        <v>500</v>
      </c>
      <c r="E96" s="60">
        <f>'1.'!K27</f>
        <v>500</v>
      </c>
    </row>
    <row r="97" spans="2:5" hidden="1" outlineLevel="1" x14ac:dyDescent="0.25">
      <c r="B97" s="58" t="str">
        <f>$B$96</f>
        <v>Qnt.</v>
      </c>
      <c r="C97" s="57" t="s">
        <v>68</v>
      </c>
      <c r="D97" s="60">
        <f>'1.'!O27</f>
        <v>500</v>
      </c>
      <c r="E97" s="60">
        <f>'1.'!P27</f>
        <v>0</v>
      </c>
    </row>
    <row r="98" spans="2:5" hidden="1" outlineLevel="1" x14ac:dyDescent="0.25">
      <c r="B98" s="58" t="str">
        <f t="shared" ref="B98:B107" si="6">$B$96</f>
        <v>Qnt.</v>
      </c>
      <c r="C98" s="57" t="s">
        <v>69</v>
      </c>
      <c r="D98" s="60">
        <f>'1.'!T27</f>
        <v>500</v>
      </c>
      <c r="E98" s="60">
        <f>'1.'!U27</f>
        <v>0</v>
      </c>
    </row>
    <row r="99" spans="2:5" hidden="1" outlineLevel="1" x14ac:dyDescent="0.25">
      <c r="B99" s="58" t="str">
        <f t="shared" si="6"/>
        <v>Qnt.</v>
      </c>
      <c r="C99" s="57" t="s">
        <v>70</v>
      </c>
      <c r="D99" s="60">
        <f>'1.'!Y27</f>
        <v>500</v>
      </c>
      <c r="E99" s="60">
        <f>'1.'!Z27</f>
        <v>0</v>
      </c>
    </row>
    <row r="100" spans="2:5" hidden="1" outlineLevel="1" x14ac:dyDescent="0.25">
      <c r="B100" s="58" t="str">
        <f t="shared" si="6"/>
        <v>Qnt.</v>
      </c>
      <c r="C100" s="57" t="s">
        <v>71</v>
      </c>
      <c r="D100" s="60">
        <f>'1.'!AD27</f>
        <v>500</v>
      </c>
      <c r="E100" s="60">
        <f>'1.'!AE27</f>
        <v>0</v>
      </c>
    </row>
    <row r="101" spans="2:5" hidden="1" outlineLevel="1" x14ac:dyDescent="0.25">
      <c r="B101" s="58" t="str">
        <f t="shared" si="6"/>
        <v>Qnt.</v>
      </c>
      <c r="C101" s="57" t="s">
        <v>72</v>
      </c>
      <c r="D101" s="60">
        <f>'1.'!AI27</f>
        <v>500</v>
      </c>
      <c r="E101" s="60">
        <f>'1.'!AJ27</f>
        <v>0</v>
      </c>
    </row>
    <row r="102" spans="2:5" hidden="1" outlineLevel="1" x14ac:dyDescent="0.25">
      <c r="B102" s="58" t="str">
        <f t="shared" si="6"/>
        <v>Qnt.</v>
      </c>
      <c r="C102" s="57" t="s">
        <v>73</v>
      </c>
      <c r="D102" s="60">
        <f>'1.'!AN27</f>
        <v>500</v>
      </c>
      <c r="E102" s="60">
        <f>'1.'!AO27</f>
        <v>0</v>
      </c>
    </row>
    <row r="103" spans="2:5" hidden="1" outlineLevel="1" x14ac:dyDescent="0.25">
      <c r="B103" s="58" t="str">
        <f t="shared" si="6"/>
        <v>Qnt.</v>
      </c>
      <c r="C103" s="57" t="s">
        <v>74</v>
      </c>
      <c r="D103" s="60">
        <f>'1.'!AS27</f>
        <v>500</v>
      </c>
      <c r="E103" s="60">
        <f>'1.'!AT27</f>
        <v>0</v>
      </c>
    </row>
    <row r="104" spans="2:5" hidden="1" outlineLevel="1" x14ac:dyDescent="0.25">
      <c r="B104" s="58" t="str">
        <f t="shared" si="6"/>
        <v>Qnt.</v>
      </c>
      <c r="C104" s="57" t="s">
        <v>75</v>
      </c>
      <c r="D104" s="60">
        <f>'1.'!AX27</f>
        <v>500</v>
      </c>
      <c r="E104" s="60">
        <f>'1.'!AY27</f>
        <v>0</v>
      </c>
    </row>
    <row r="105" spans="2:5" hidden="1" outlineLevel="1" x14ac:dyDescent="0.25">
      <c r="B105" s="58" t="str">
        <f t="shared" si="6"/>
        <v>Qnt.</v>
      </c>
      <c r="C105" s="57" t="s">
        <v>76</v>
      </c>
      <c r="D105" s="60">
        <f>'1.'!BC27</f>
        <v>500</v>
      </c>
      <c r="E105" s="60">
        <f>'1.'!BD27</f>
        <v>0</v>
      </c>
    </row>
    <row r="106" spans="2:5" hidden="1" outlineLevel="1" x14ac:dyDescent="0.25">
      <c r="B106" s="58" t="str">
        <f t="shared" si="6"/>
        <v>Qnt.</v>
      </c>
      <c r="C106" s="57" t="s">
        <v>77</v>
      </c>
      <c r="D106" s="60">
        <f>'1.'!BH27</f>
        <v>500</v>
      </c>
      <c r="E106" s="60">
        <f>'1.'!BI27</f>
        <v>0</v>
      </c>
    </row>
    <row r="107" spans="2:5" hidden="1" outlineLevel="1" x14ac:dyDescent="0.25">
      <c r="B107" s="58" t="str">
        <f t="shared" si="6"/>
        <v>Qnt.</v>
      </c>
      <c r="C107" s="57" t="s">
        <v>78</v>
      </c>
      <c r="D107" s="60">
        <f>'1.'!BM27</f>
        <v>500</v>
      </c>
      <c r="E107" s="60">
        <f>'1.'!BN27</f>
        <v>0</v>
      </c>
    </row>
    <row r="108" spans="2:5" hidden="1" outlineLevel="1" x14ac:dyDescent="0.25">
      <c r="B108" s="56" t="s">
        <v>81</v>
      </c>
      <c r="C108" s="59" t="str">
        <f>B96</f>
        <v>Qnt.</v>
      </c>
      <c r="D108" s="56"/>
      <c r="E108" s="56" t="str">
        <f>'1.'!H27</f>
        <v>↑</v>
      </c>
    </row>
    <row r="109" spans="2:5" collapsed="1" x14ac:dyDescent="0.25"/>
    <row r="110" spans="2:5" hidden="1" outlineLevel="1" x14ac:dyDescent="0.25">
      <c r="B110" s="56" t="s">
        <v>80</v>
      </c>
      <c r="C110" s="57" t="s">
        <v>79</v>
      </c>
      <c r="D110" s="56" t="s">
        <v>65</v>
      </c>
      <c r="E110" s="56" t="s">
        <v>66</v>
      </c>
    </row>
    <row r="111" spans="2:5" hidden="1" outlineLevel="1" x14ac:dyDescent="0.25">
      <c r="B111" s="58" t="str">
        <f>'1.'!D29</f>
        <v>R$</v>
      </c>
      <c r="C111" s="57" t="s">
        <v>67</v>
      </c>
      <c r="D111" s="60">
        <f>'1.'!J29</f>
        <v>1000</v>
      </c>
      <c r="E111" s="60">
        <f>'1.'!K29</f>
        <v>1000</v>
      </c>
    </row>
    <row r="112" spans="2:5" hidden="1" outlineLevel="1" x14ac:dyDescent="0.25">
      <c r="B112" s="58" t="str">
        <f>$B$111</f>
        <v>R$</v>
      </c>
      <c r="C112" s="57" t="s">
        <v>68</v>
      </c>
      <c r="D112" s="60">
        <f>'1.'!O29</f>
        <v>1000</v>
      </c>
      <c r="E112" s="60">
        <f>'1.'!P29</f>
        <v>0</v>
      </c>
    </row>
    <row r="113" spans="2:5" hidden="1" outlineLevel="1" x14ac:dyDescent="0.25">
      <c r="B113" s="58" t="str">
        <f t="shared" ref="B113:B122" si="7">$B$111</f>
        <v>R$</v>
      </c>
      <c r="C113" s="57" t="s">
        <v>69</v>
      </c>
      <c r="D113" s="60">
        <f>'1.'!T29</f>
        <v>1000</v>
      </c>
      <c r="E113" s="60">
        <f>'1.'!U29</f>
        <v>0</v>
      </c>
    </row>
    <row r="114" spans="2:5" hidden="1" outlineLevel="1" x14ac:dyDescent="0.25">
      <c r="B114" s="58" t="str">
        <f t="shared" si="7"/>
        <v>R$</v>
      </c>
      <c r="C114" s="57" t="s">
        <v>70</v>
      </c>
      <c r="D114" s="60">
        <f>'1.'!Y29</f>
        <v>1000</v>
      </c>
      <c r="E114" s="60">
        <f>'1.'!Z29</f>
        <v>0</v>
      </c>
    </row>
    <row r="115" spans="2:5" hidden="1" outlineLevel="1" x14ac:dyDescent="0.25">
      <c r="B115" s="58" t="str">
        <f t="shared" si="7"/>
        <v>R$</v>
      </c>
      <c r="C115" s="57" t="s">
        <v>71</v>
      </c>
      <c r="D115" s="60">
        <f>'1.'!AD29</f>
        <v>1000</v>
      </c>
      <c r="E115" s="60">
        <f>'1.'!AE29</f>
        <v>0</v>
      </c>
    </row>
    <row r="116" spans="2:5" hidden="1" outlineLevel="1" x14ac:dyDescent="0.25">
      <c r="B116" s="58" t="str">
        <f t="shared" si="7"/>
        <v>R$</v>
      </c>
      <c r="C116" s="57" t="s">
        <v>72</v>
      </c>
      <c r="D116" s="60">
        <f>'1.'!AI29</f>
        <v>1000</v>
      </c>
      <c r="E116" s="60">
        <f>'1.'!AJ29</f>
        <v>0</v>
      </c>
    </row>
    <row r="117" spans="2:5" hidden="1" outlineLevel="1" x14ac:dyDescent="0.25">
      <c r="B117" s="58" t="str">
        <f t="shared" si="7"/>
        <v>R$</v>
      </c>
      <c r="C117" s="57" t="s">
        <v>73</v>
      </c>
      <c r="D117" s="60">
        <f>'1.'!AN29</f>
        <v>1000</v>
      </c>
      <c r="E117" s="60">
        <f>'1.'!AO29</f>
        <v>0</v>
      </c>
    </row>
    <row r="118" spans="2:5" hidden="1" outlineLevel="1" x14ac:dyDescent="0.25">
      <c r="B118" s="58" t="str">
        <f t="shared" si="7"/>
        <v>R$</v>
      </c>
      <c r="C118" s="57" t="s">
        <v>74</v>
      </c>
      <c r="D118" s="60">
        <f>'1.'!AS29</f>
        <v>1000</v>
      </c>
      <c r="E118" s="60">
        <f>'1.'!AT29</f>
        <v>0</v>
      </c>
    </row>
    <row r="119" spans="2:5" hidden="1" outlineLevel="1" x14ac:dyDescent="0.25">
      <c r="B119" s="58" t="str">
        <f t="shared" si="7"/>
        <v>R$</v>
      </c>
      <c r="C119" s="57" t="s">
        <v>75</v>
      </c>
      <c r="D119" s="60">
        <f>'1.'!AX29</f>
        <v>1000</v>
      </c>
      <c r="E119" s="60">
        <f>'1.'!AY29</f>
        <v>0</v>
      </c>
    </row>
    <row r="120" spans="2:5" hidden="1" outlineLevel="1" x14ac:dyDescent="0.25">
      <c r="B120" s="58" t="str">
        <f t="shared" si="7"/>
        <v>R$</v>
      </c>
      <c r="C120" s="57" t="s">
        <v>76</v>
      </c>
      <c r="D120" s="60">
        <f>'1.'!BC29</f>
        <v>1000</v>
      </c>
      <c r="E120" s="60">
        <f>'1.'!BD29</f>
        <v>0</v>
      </c>
    </row>
    <row r="121" spans="2:5" hidden="1" outlineLevel="1" x14ac:dyDescent="0.25">
      <c r="B121" s="58" t="str">
        <f t="shared" si="7"/>
        <v>R$</v>
      </c>
      <c r="C121" s="57" t="s">
        <v>77</v>
      </c>
      <c r="D121" s="60">
        <f>'1.'!BH29</f>
        <v>1000</v>
      </c>
      <c r="E121" s="60">
        <f>'1.'!BI29</f>
        <v>0</v>
      </c>
    </row>
    <row r="122" spans="2:5" hidden="1" outlineLevel="1" x14ac:dyDescent="0.25">
      <c r="B122" s="58" t="str">
        <f t="shared" si="7"/>
        <v>R$</v>
      </c>
      <c r="C122" s="57" t="s">
        <v>78</v>
      </c>
      <c r="D122" s="60">
        <f>'1.'!BM29</f>
        <v>1000</v>
      </c>
      <c r="E122" s="60">
        <f>'1.'!BN29</f>
        <v>0</v>
      </c>
    </row>
    <row r="123" spans="2:5" hidden="1" outlineLevel="1" x14ac:dyDescent="0.25">
      <c r="B123" s="56" t="s">
        <v>81</v>
      </c>
      <c r="C123" s="59" t="str">
        <f>B111</f>
        <v>R$</v>
      </c>
      <c r="D123" s="56"/>
      <c r="E123" s="56" t="str">
        <f>'1.'!H29</f>
        <v>↓</v>
      </c>
    </row>
    <row r="124" spans="2:5" collapsed="1" x14ac:dyDescent="0.25"/>
    <row r="125" spans="2:5" hidden="1" outlineLevel="1" x14ac:dyDescent="0.25">
      <c r="B125" s="56" t="s">
        <v>80</v>
      </c>
      <c r="C125" s="57" t="s">
        <v>79</v>
      </c>
      <c r="D125" s="56" t="s">
        <v>65</v>
      </c>
      <c r="E125" s="56" t="s">
        <v>66</v>
      </c>
    </row>
    <row r="126" spans="2:5" hidden="1" outlineLevel="1" x14ac:dyDescent="0.25">
      <c r="B126" s="58" t="str">
        <f>'1.'!D31</f>
        <v>%</v>
      </c>
      <c r="C126" s="57" t="s">
        <v>67</v>
      </c>
      <c r="D126" s="60">
        <f>'1.'!J31</f>
        <v>10</v>
      </c>
      <c r="E126" s="60">
        <f>'1.'!K31</f>
        <v>10</v>
      </c>
    </row>
    <row r="127" spans="2:5" hidden="1" outlineLevel="1" x14ac:dyDescent="0.25">
      <c r="B127" s="58" t="str">
        <f>$B$126</f>
        <v>%</v>
      </c>
      <c r="C127" s="57" t="s">
        <v>68</v>
      </c>
      <c r="D127" s="60">
        <f>'1.'!O31</f>
        <v>10</v>
      </c>
      <c r="E127" s="60">
        <f>'1.'!P31</f>
        <v>0</v>
      </c>
    </row>
    <row r="128" spans="2:5" hidden="1" outlineLevel="1" x14ac:dyDescent="0.25">
      <c r="B128" s="58" t="str">
        <f t="shared" ref="B128:B137" si="8">$B$126</f>
        <v>%</v>
      </c>
      <c r="C128" s="57" t="s">
        <v>69</v>
      </c>
      <c r="D128" s="60">
        <f>'1.'!T31</f>
        <v>10</v>
      </c>
      <c r="E128" s="60">
        <f>'1.'!U31</f>
        <v>0</v>
      </c>
    </row>
    <row r="129" spans="2:5" hidden="1" outlineLevel="1" x14ac:dyDescent="0.25">
      <c r="B129" s="58" t="str">
        <f t="shared" si="8"/>
        <v>%</v>
      </c>
      <c r="C129" s="57" t="s">
        <v>70</v>
      </c>
      <c r="D129" s="60">
        <f>'1.'!Y31</f>
        <v>10</v>
      </c>
      <c r="E129" s="60">
        <f>'1.'!Z31</f>
        <v>0</v>
      </c>
    </row>
    <row r="130" spans="2:5" hidden="1" outlineLevel="1" x14ac:dyDescent="0.25">
      <c r="B130" s="58" t="str">
        <f t="shared" si="8"/>
        <v>%</v>
      </c>
      <c r="C130" s="57" t="s">
        <v>71</v>
      </c>
      <c r="D130" s="60">
        <f>'1.'!AD31</f>
        <v>10</v>
      </c>
      <c r="E130" s="60">
        <f>'1.'!AE31</f>
        <v>0</v>
      </c>
    </row>
    <row r="131" spans="2:5" hidden="1" outlineLevel="1" x14ac:dyDescent="0.25">
      <c r="B131" s="58" t="str">
        <f t="shared" si="8"/>
        <v>%</v>
      </c>
      <c r="C131" s="57" t="s">
        <v>72</v>
      </c>
      <c r="D131" s="60">
        <f>'1.'!AI31</f>
        <v>10</v>
      </c>
      <c r="E131" s="60">
        <f>'1.'!AJ31</f>
        <v>0</v>
      </c>
    </row>
    <row r="132" spans="2:5" hidden="1" outlineLevel="1" x14ac:dyDescent="0.25">
      <c r="B132" s="58" t="str">
        <f t="shared" si="8"/>
        <v>%</v>
      </c>
      <c r="C132" s="57" t="s">
        <v>73</v>
      </c>
      <c r="D132" s="60">
        <f>'1.'!AN31</f>
        <v>10</v>
      </c>
      <c r="E132" s="60">
        <f>'1.'!AO31</f>
        <v>0</v>
      </c>
    </row>
    <row r="133" spans="2:5" hidden="1" outlineLevel="1" x14ac:dyDescent="0.25">
      <c r="B133" s="58" t="str">
        <f t="shared" si="8"/>
        <v>%</v>
      </c>
      <c r="C133" s="57" t="s">
        <v>74</v>
      </c>
      <c r="D133" s="60">
        <f>'1.'!AS31</f>
        <v>10</v>
      </c>
      <c r="E133" s="60">
        <f>'1.'!AT31</f>
        <v>0</v>
      </c>
    </row>
    <row r="134" spans="2:5" hidden="1" outlineLevel="1" x14ac:dyDescent="0.25">
      <c r="B134" s="58" t="str">
        <f t="shared" si="8"/>
        <v>%</v>
      </c>
      <c r="C134" s="57" t="s">
        <v>75</v>
      </c>
      <c r="D134" s="60">
        <f>'1.'!AX31</f>
        <v>10</v>
      </c>
      <c r="E134" s="60">
        <f>'1.'!AY31</f>
        <v>0</v>
      </c>
    </row>
    <row r="135" spans="2:5" hidden="1" outlineLevel="1" x14ac:dyDescent="0.25">
      <c r="B135" s="58" t="str">
        <f t="shared" si="8"/>
        <v>%</v>
      </c>
      <c r="C135" s="57" t="s">
        <v>76</v>
      </c>
      <c r="D135" s="60">
        <f>'1.'!BC31</f>
        <v>10</v>
      </c>
      <c r="E135" s="60">
        <f>'1.'!BD31</f>
        <v>0</v>
      </c>
    </row>
    <row r="136" spans="2:5" hidden="1" outlineLevel="1" x14ac:dyDescent="0.25">
      <c r="B136" s="58" t="str">
        <f t="shared" si="8"/>
        <v>%</v>
      </c>
      <c r="C136" s="57" t="s">
        <v>77</v>
      </c>
      <c r="D136" s="60">
        <f>'1.'!BH31</f>
        <v>10</v>
      </c>
      <c r="E136" s="60">
        <f>'1.'!BI31</f>
        <v>0</v>
      </c>
    </row>
    <row r="137" spans="2:5" hidden="1" outlineLevel="1" x14ac:dyDescent="0.25">
      <c r="B137" s="58" t="str">
        <f t="shared" si="8"/>
        <v>%</v>
      </c>
      <c r="C137" s="57" t="s">
        <v>78</v>
      </c>
      <c r="D137" s="60">
        <f>'1.'!BM31</f>
        <v>10</v>
      </c>
      <c r="E137" s="60">
        <f>'1.'!BN31</f>
        <v>0</v>
      </c>
    </row>
    <row r="138" spans="2:5" hidden="1" outlineLevel="1" x14ac:dyDescent="0.25">
      <c r="B138" s="56" t="s">
        <v>81</v>
      </c>
      <c r="C138" s="59" t="str">
        <f>B126</f>
        <v>%</v>
      </c>
      <c r="D138" s="56"/>
      <c r="E138" s="56" t="str">
        <f>'1.'!H31</f>
        <v>↑</v>
      </c>
    </row>
    <row r="139" spans="2:5" collapsed="1" x14ac:dyDescent="0.25"/>
    <row r="140" spans="2:5" hidden="1" outlineLevel="1" x14ac:dyDescent="0.25">
      <c r="B140" s="56" t="s">
        <v>80</v>
      </c>
      <c r="C140" s="57" t="s">
        <v>79</v>
      </c>
      <c r="D140" s="56" t="s">
        <v>65</v>
      </c>
      <c r="E140" s="56" t="s">
        <v>66</v>
      </c>
    </row>
    <row r="141" spans="2:5" hidden="1" outlineLevel="1" x14ac:dyDescent="0.25">
      <c r="B141" s="58" t="str">
        <f>'1.'!D33</f>
        <v>Qnt.</v>
      </c>
      <c r="C141" s="57" t="s">
        <v>67</v>
      </c>
      <c r="D141" s="60">
        <f>'1.'!J33</f>
        <v>250</v>
      </c>
      <c r="E141" s="60">
        <f>'1.'!K33</f>
        <v>250</v>
      </c>
    </row>
    <row r="142" spans="2:5" hidden="1" outlineLevel="1" x14ac:dyDescent="0.25">
      <c r="B142" s="58" t="str">
        <f>$B$141</f>
        <v>Qnt.</v>
      </c>
      <c r="C142" s="57" t="s">
        <v>68</v>
      </c>
      <c r="D142" s="60">
        <f>'1.'!O33</f>
        <v>250</v>
      </c>
      <c r="E142" s="60">
        <f>'1.'!P33</f>
        <v>0</v>
      </c>
    </row>
    <row r="143" spans="2:5" hidden="1" outlineLevel="1" x14ac:dyDescent="0.25">
      <c r="B143" s="58" t="str">
        <f t="shared" ref="B143:B152" si="9">$B$141</f>
        <v>Qnt.</v>
      </c>
      <c r="C143" s="57" t="s">
        <v>69</v>
      </c>
      <c r="D143" s="60">
        <f>'1.'!T33</f>
        <v>250</v>
      </c>
      <c r="E143" s="60">
        <f>'1.'!U33</f>
        <v>0</v>
      </c>
    </row>
    <row r="144" spans="2:5" hidden="1" outlineLevel="1" x14ac:dyDescent="0.25">
      <c r="B144" s="58" t="str">
        <f t="shared" si="9"/>
        <v>Qnt.</v>
      </c>
      <c r="C144" s="57" t="s">
        <v>70</v>
      </c>
      <c r="D144" s="60">
        <f>'1.'!Y33</f>
        <v>250</v>
      </c>
      <c r="E144" s="60">
        <f>'1.'!Z33</f>
        <v>0</v>
      </c>
    </row>
    <row r="145" spans="2:5" hidden="1" outlineLevel="1" x14ac:dyDescent="0.25">
      <c r="B145" s="58" t="str">
        <f t="shared" si="9"/>
        <v>Qnt.</v>
      </c>
      <c r="C145" s="57" t="s">
        <v>71</v>
      </c>
      <c r="D145" s="60">
        <f>'1.'!AD33</f>
        <v>250</v>
      </c>
      <c r="E145" s="60">
        <f>'1.'!AE33</f>
        <v>0</v>
      </c>
    </row>
    <row r="146" spans="2:5" hidden="1" outlineLevel="1" x14ac:dyDescent="0.25">
      <c r="B146" s="58" t="str">
        <f t="shared" si="9"/>
        <v>Qnt.</v>
      </c>
      <c r="C146" s="57" t="s">
        <v>72</v>
      </c>
      <c r="D146" s="60">
        <f>'1.'!AI33</f>
        <v>250</v>
      </c>
      <c r="E146" s="60">
        <f>'1.'!AJ33</f>
        <v>0</v>
      </c>
    </row>
    <row r="147" spans="2:5" hidden="1" outlineLevel="1" x14ac:dyDescent="0.25">
      <c r="B147" s="58" t="str">
        <f t="shared" si="9"/>
        <v>Qnt.</v>
      </c>
      <c r="C147" s="57" t="s">
        <v>73</v>
      </c>
      <c r="D147" s="60">
        <f>'1.'!AN33</f>
        <v>250</v>
      </c>
      <c r="E147" s="60">
        <f>'1.'!AO33</f>
        <v>0</v>
      </c>
    </row>
    <row r="148" spans="2:5" hidden="1" outlineLevel="1" x14ac:dyDescent="0.25">
      <c r="B148" s="58" t="str">
        <f t="shared" si="9"/>
        <v>Qnt.</v>
      </c>
      <c r="C148" s="57" t="s">
        <v>74</v>
      </c>
      <c r="D148" s="60">
        <f>'1.'!AS33</f>
        <v>250</v>
      </c>
      <c r="E148" s="60">
        <f>'1.'!AT33</f>
        <v>0</v>
      </c>
    </row>
    <row r="149" spans="2:5" hidden="1" outlineLevel="1" x14ac:dyDescent="0.25">
      <c r="B149" s="58" t="str">
        <f t="shared" si="9"/>
        <v>Qnt.</v>
      </c>
      <c r="C149" s="57" t="s">
        <v>75</v>
      </c>
      <c r="D149" s="60">
        <f>'1.'!AX33</f>
        <v>250</v>
      </c>
      <c r="E149" s="60">
        <f>'1.'!AY33</f>
        <v>0</v>
      </c>
    </row>
    <row r="150" spans="2:5" hidden="1" outlineLevel="1" x14ac:dyDescent="0.25">
      <c r="B150" s="58" t="str">
        <f t="shared" si="9"/>
        <v>Qnt.</v>
      </c>
      <c r="C150" s="57" t="s">
        <v>76</v>
      </c>
      <c r="D150" s="60">
        <f>'1.'!BC33</f>
        <v>250</v>
      </c>
      <c r="E150" s="60">
        <f>'1.'!BD33</f>
        <v>0</v>
      </c>
    </row>
    <row r="151" spans="2:5" hidden="1" outlineLevel="1" x14ac:dyDescent="0.25">
      <c r="B151" s="58" t="str">
        <f t="shared" si="9"/>
        <v>Qnt.</v>
      </c>
      <c r="C151" s="57" t="s">
        <v>77</v>
      </c>
      <c r="D151" s="60">
        <f>'1.'!BH33</f>
        <v>250</v>
      </c>
      <c r="E151" s="60">
        <f>'1.'!BI33</f>
        <v>0</v>
      </c>
    </row>
    <row r="152" spans="2:5" hidden="1" outlineLevel="1" x14ac:dyDescent="0.25">
      <c r="B152" s="58" t="str">
        <f t="shared" si="9"/>
        <v>Qnt.</v>
      </c>
      <c r="C152" s="57" t="s">
        <v>78</v>
      </c>
      <c r="D152" s="60">
        <f>'1.'!BM33</f>
        <v>250</v>
      </c>
      <c r="E152" s="60">
        <f>'1.'!BN33</f>
        <v>0</v>
      </c>
    </row>
    <row r="153" spans="2:5" hidden="1" outlineLevel="1" x14ac:dyDescent="0.25">
      <c r="B153" s="56" t="s">
        <v>81</v>
      </c>
      <c r="C153" s="59" t="str">
        <f>B141</f>
        <v>Qnt.</v>
      </c>
      <c r="D153" s="56"/>
      <c r="E153" s="56" t="str">
        <f>'1.'!H33</f>
        <v>↓</v>
      </c>
    </row>
    <row r="154" spans="2:5" collapsed="1" x14ac:dyDescent="0.25"/>
  </sheetData>
  <mergeCells count="2">
    <mergeCell ref="C2:H2"/>
    <mergeCell ref="I2:N2"/>
  </mergeCells>
  <phoneticPr fontId="47" type="noConversion"/>
  <hyperlinks>
    <hyperlink ref="B2" location="HOME!A1" display="&lt; HOME" xr:uid="{CFEFCB9C-BBD7-48F7-B747-F26C885C25A7}"/>
  </hyperlink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C7D-05C8-4DA5-B293-800C5EB864CA}">
  <sheetPr codeName="Planilha3">
    <tabColor theme="0" tint="-0.14999847407452621"/>
  </sheetPr>
  <dimension ref="B1:I26"/>
  <sheetViews>
    <sheetView showGridLines="0" zoomScale="55" zoomScaleNormal="55" workbookViewId="0">
      <pane ySplit="4" topLeftCell="A5" activePane="bottomLeft" state="frozen"/>
      <selection activeCell="H9" sqref="H9"/>
      <selection pane="bottomLeft" activeCell="B6" sqref="B6"/>
    </sheetView>
  </sheetViews>
  <sheetFormatPr defaultRowHeight="15" x14ac:dyDescent="0.25"/>
  <cols>
    <col min="2" max="2" width="27.28515625" customWidth="1"/>
    <col min="3" max="3" width="195.7109375" customWidth="1"/>
    <col min="4" max="5" width="26.42578125" customWidth="1"/>
    <col min="6" max="6" width="4.5703125" customWidth="1"/>
    <col min="7" max="7" width="50.42578125" bestFit="1" customWidth="1"/>
    <col min="8" max="8" width="3" customWidth="1"/>
    <col min="9" max="9" width="51.85546875" bestFit="1" customWidth="1"/>
  </cols>
  <sheetData>
    <row r="1" spans="2:9" ht="15.75" thickBot="1" x14ac:dyDescent="0.3"/>
    <row r="2" spans="2:9" ht="89.1" customHeight="1" thickBot="1" x14ac:dyDescent="0.3">
      <c r="B2" s="43" t="s">
        <v>26</v>
      </c>
      <c r="C2" s="84" t="s">
        <v>84</v>
      </c>
      <c r="D2" s="85"/>
      <c r="E2" s="85"/>
      <c r="G2" s="86" t="str">
        <f>HOME!E2</f>
        <v>NOME DO PILAR</v>
      </c>
      <c r="H2" s="87"/>
      <c r="I2" s="88"/>
    </row>
    <row r="4" spans="2:9" ht="61.5" x14ac:dyDescent="0.25">
      <c r="B4" s="41" t="s">
        <v>3</v>
      </c>
      <c r="C4" s="42" t="s">
        <v>0</v>
      </c>
      <c r="D4" s="42" t="s">
        <v>1</v>
      </c>
      <c r="E4" s="42" t="s">
        <v>2</v>
      </c>
      <c r="G4" s="42" t="s">
        <v>5</v>
      </c>
      <c r="I4" s="42" t="s">
        <v>7</v>
      </c>
    </row>
    <row r="5" spans="2:9" ht="13.5" customHeight="1" x14ac:dyDescent="0.25">
      <c r="C5" s="1"/>
      <c r="D5" s="1"/>
      <c r="E5" s="1"/>
      <c r="G5" s="1"/>
      <c r="I5" s="1"/>
    </row>
    <row r="6" spans="2:9" ht="36" customHeight="1" x14ac:dyDescent="0.25">
      <c r="B6" s="33">
        <v>1</v>
      </c>
      <c r="C6" s="34"/>
      <c r="D6" s="8" t="s">
        <v>92</v>
      </c>
      <c r="E6" s="8">
        <v>0</v>
      </c>
      <c r="G6" s="63" t="s">
        <v>6</v>
      </c>
      <c r="I6" s="63" t="s">
        <v>6</v>
      </c>
    </row>
    <row r="7" spans="2:9" ht="36" customHeight="1" x14ac:dyDescent="0.25">
      <c r="B7" s="33">
        <v>2</v>
      </c>
      <c r="C7" s="34"/>
      <c r="D7" s="8" t="s">
        <v>93</v>
      </c>
      <c r="E7" s="8">
        <v>1</v>
      </c>
      <c r="G7" s="63" t="s">
        <v>61</v>
      </c>
      <c r="I7" s="63" t="s">
        <v>61</v>
      </c>
    </row>
    <row r="8" spans="2:9" ht="36" customHeight="1" x14ac:dyDescent="0.25">
      <c r="B8" s="33">
        <v>3</v>
      </c>
      <c r="C8" s="34"/>
      <c r="D8" s="8" t="s">
        <v>94</v>
      </c>
      <c r="E8" s="8">
        <v>2</v>
      </c>
      <c r="G8" s="63" t="s">
        <v>95</v>
      </c>
      <c r="I8" s="63" t="s">
        <v>95</v>
      </c>
    </row>
    <row r="9" spans="2:9" ht="36" customHeight="1" x14ac:dyDescent="0.25">
      <c r="B9" s="33">
        <v>4</v>
      </c>
      <c r="C9" s="34"/>
      <c r="D9" s="8" t="s">
        <v>94</v>
      </c>
      <c r="E9" s="8">
        <v>3</v>
      </c>
      <c r="G9" s="63" t="s">
        <v>95</v>
      </c>
      <c r="I9" s="63" t="s">
        <v>95</v>
      </c>
    </row>
    <row r="10" spans="2:9" ht="36" customHeight="1" x14ac:dyDescent="0.25">
      <c r="B10" s="33">
        <v>5</v>
      </c>
      <c r="C10" s="34"/>
      <c r="D10" s="8" t="s">
        <v>94</v>
      </c>
      <c r="E10" s="8">
        <v>4</v>
      </c>
      <c r="G10" s="63" t="s">
        <v>95</v>
      </c>
      <c r="I10" s="63" t="s">
        <v>95</v>
      </c>
    </row>
    <row r="11" spans="2:9" ht="36" customHeight="1" x14ac:dyDescent="0.25">
      <c r="B11" s="33">
        <v>6</v>
      </c>
      <c r="C11" s="15"/>
      <c r="D11" s="8" t="s">
        <v>94</v>
      </c>
      <c r="E11" s="8">
        <v>5</v>
      </c>
      <c r="G11" s="63" t="s">
        <v>95</v>
      </c>
      <c r="I11" s="63" t="s">
        <v>95</v>
      </c>
    </row>
    <row r="12" spans="2:9" ht="36" customHeight="1" x14ac:dyDescent="0.25">
      <c r="B12" s="33">
        <v>7</v>
      </c>
      <c r="C12" s="15"/>
      <c r="D12" s="8" t="s">
        <v>94</v>
      </c>
      <c r="E12" s="8">
        <v>6</v>
      </c>
      <c r="G12" s="63" t="s">
        <v>95</v>
      </c>
      <c r="I12" s="63" t="s">
        <v>95</v>
      </c>
    </row>
    <row r="13" spans="2:9" ht="36" customHeight="1" x14ac:dyDescent="0.25">
      <c r="B13" s="33">
        <v>8</v>
      </c>
      <c r="C13" s="15"/>
      <c r="D13" s="8" t="s">
        <v>94</v>
      </c>
      <c r="E13" s="8">
        <v>7</v>
      </c>
      <c r="G13" s="63" t="s">
        <v>95</v>
      </c>
      <c r="I13" s="63" t="s">
        <v>95</v>
      </c>
    </row>
    <row r="14" spans="2:9" ht="36" customHeight="1" x14ac:dyDescent="0.25">
      <c r="B14" s="33">
        <v>9</v>
      </c>
      <c r="C14" s="15"/>
      <c r="D14" s="8" t="s">
        <v>94</v>
      </c>
      <c r="E14" s="8">
        <v>8</v>
      </c>
      <c r="G14" s="63" t="s">
        <v>95</v>
      </c>
      <c r="I14" s="63" t="s">
        <v>95</v>
      </c>
    </row>
    <row r="15" spans="2:9" ht="36" customHeight="1" x14ac:dyDescent="0.25">
      <c r="B15" s="33">
        <v>10</v>
      </c>
      <c r="C15" s="15"/>
      <c r="D15" s="8" t="s">
        <v>94</v>
      </c>
      <c r="E15" s="8">
        <v>9</v>
      </c>
      <c r="G15" s="63" t="s">
        <v>95</v>
      </c>
      <c r="I15" s="63" t="s">
        <v>95</v>
      </c>
    </row>
    <row r="16" spans="2:9" ht="36" customHeight="1" x14ac:dyDescent="0.25">
      <c r="B16" s="33">
        <v>11</v>
      </c>
      <c r="C16" s="15"/>
      <c r="D16" s="8" t="s">
        <v>94</v>
      </c>
      <c r="E16" s="8">
        <v>10</v>
      </c>
      <c r="G16" s="63" t="s">
        <v>95</v>
      </c>
      <c r="I16" s="63" t="s">
        <v>95</v>
      </c>
    </row>
    <row r="17" spans="2:9" ht="36" customHeight="1" x14ac:dyDescent="0.25">
      <c r="B17" s="33">
        <v>12</v>
      </c>
      <c r="C17" s="15"/>
      <c r="D17" s="8" t="s">
        <v>94</v>
      </c>
      <c r="E17" s="8">
        <v>10</v>
      </c>
      <c r="G17" s="63" t="s">
        <v>95</v>
      </c>
      <c r="I17" s="63" t="s">
        <v>95</v>
      </c>
    </row>
    <row r="18" spans="2:9" ht="36" customHeight="1" x14ac:dyDescent="0.25">
      <c r="B18" s="33">
        <v>13</v>
      </c>
      <c r="C18" s="15"/>
      <c r="D18" s="8" t="s">
        <v>94</v>
      </c>
      <c r="E18" s="8">
        <v>10</v>
      </c>
      <c r="G18" s="63" t="s">
        <v>95</v>
      </c>
      <c r="I18" s="63" t="s">
        <v>95</v>
      </c>
    </row>
    <row r="19" spans="2:9" ht="36" customHeight="1" x14ac:dyDescent="0.25">
      <c r="B19" s="33">
        <v>14</v>
      </c>
      <c r="C19" s="15"/>
      <c r="D19" s="8" t="s">
        <v>94</v>
      </c>
      <c r="E19" s="8">
        <v>10</v>
      </c>
      <c r="G19" s="63" t="s">
        <v>95</v>
      </c>
      <c r="I19" s="63" t="s">
        <v>95</v>
      </c>
    </row>
    <row r="20" spans="2:9" ht="36" customHeight="1" x14ac:dyDescent="0.25">
      <c r="B20" s="33">
        <v>15</v>
      </c>
      <c r="C20" s="15"/>
      <c r="D20" s="8" t="s">
        <v>94</v>
      </c>
      <c r="E20" s="8">
        <v>10</v>
      </c>
      <c r="G20" s="63" t="s">
        <v>95</v>
      </c>
      <c r="I20" s="63" t="s">
        <v>95</v>
      </c>
    </row>
    <row r="21" spans="2:9" ht="36" customHeight="1" x14ac:dyDescent="0.25">
      <c r="B21" s="33">
        <v>16</v>
      </c>
      <c r="C21" s="15"/>
      <c r="D21" s="8" t="s">
        <v>94</v>
      </c>
      <c r="E21" s="8">
        <v>10</v>
      </c>
      <c r="G21" s="63" t="s">
        <v>95</v>
      </c>
      <c r="I21" s="63" t="s">
        <v>95</v>
      </c>
    </row>
    <row r="22" spans="2:9" ht="36" customHeight="1" x14ac:dyDescent="0.25">
      <c r="B22" s="33">
        <v>17</v>
      </c>
      <c r="C22" s="15"/>
      <c r="D22" s="8" t="s">
        <v>94</v>
      </c>
      <c r="E22" s="8">
        <v>10</v>
      </c>
      <c r="G22" s="63" t="s">
        <v>95</v>
      </c>
      <c r="I22" s="63" t="s">
        <v>95</v>
      </c>
    </row>
    <row r="23" spans="2:9" ht="36" customHeight="1" x14ac:dyDescent="0.25">
      <c r="B23" s="33">
        <v>18</v>
      </c>
      <c r="C23" s="15"/>
      <c r="D23" s="8" t="s">
        <v>94</v>
      </c>
      <c r="E23" s="8">
        <v>10</v>
      </c>
      <c r="G23" s="63" t="s">
        <v>95</v>
      </c>
      <c r="I23" s="63" t="s">
        <v>95</v>
      </c>
    </row>
    <row r="24" spans="2:9" ht="36" customHeight="1" x14ac:dyDescent="0.25">
      <c r="B24" s="33">
        <v>19</v>
      </c>
      <c r="C24" s="15"/>
      <c r="D24" s="8" t="s">
        <v>94</v>
      </c>
      <c r="E24" s="8">
        <v>10</v>
      </c>
      <c r="G24" s="63" t="s">
        <v>95</v>
      </c>
      <c r="I24" s="63" t="s">
        <v>95</v>
      </c>
    </row>
    <row r="25" spans="2:9" ht="36" customHeight="1" x14ac:dyDescent="0.25">
      <c r="B25" s="33">
        <v>20</v>
      </c>
      <c r="C25" s="15"/>
      <c r="D25" s="8" t="s">
        <v>94</v>
      </c>
      <c r="E25" s="8">
        <v>10</v>
      </c>
      <c r="G25" s="63" t="s">
        <v>95</v>
      </c>
      <c r="I25" s="63" t="s">
        <v>95</v>
      </c>
    </row>
    <row r="26" spans="2:9" ht="36" customHeight="1" x14ac:dyDescent="0.25"/>
  </sheetData>
  <mergeCells count="2">
    <mergeCell ref="C2:E2"/>
    <mergeCell ref="G2:I2"/>
  </mergeCells>
  <conditionalFormatting sqref="D6:D25">
    <cfRule type="containsText" dxfId="27" priority="5" operator="containsText" text="BAIXO">
      <formula>NOT(ISERROR(SEARCH("BAIXO",D6)))</formula>
    </cfRule>
    <cfRule type="containsText" dxfId="26" priority="6" operator="containsText" text="MÉDIO">
      <formula>NOT(ISERROR(SEARCH("MÉDIO",D6)))</formula>
    </cfRule>
    <cfRule type="containsText" dxfId="25" priority="7" operator="containsText" text="ALTO">
      <formula>NOT(ISERROR(SEARCH("ALTO",D6)))</formula>
    </cfRule>
  </conditionalFormatting>
  <conditionalFormatting sqref="E6:E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25">
    <cfRule type="cellIs" dxfId="24" priority="16" operator="equal">
      <formula>"CONCLUÍDO"</formula>
    </cfRule>
    <cfRule type="cellIs" dxfId="23" priority="17" operator="equal">
      <formula>"PENDENTE"</formula>
    </cfRule>
    <cfRule type="cellIs" dxfId="22" priority="18" operator="equal">
      <formula>"EM ANDAMENTO"</formula>
    </cfRule>
  </conditionalFormatting>
  <conditionalFormatting sqref="I6:I25">
    <cfRule type="cellIs" dxfId="21" priority="1" operator="equal">
      <formula>"CONCLUÍDO"</formula>
    </cfRule>
    <cfRule type="cellIs" dxfId="20" priority="2" operator="equal">
      <formula>"PENDENTE"</formula>
    </cfRule>
    <cfRule type="cellIs" dxfId="19" priority="3" operator="equal">
      <formula>"EM ANDAMENTO"</formula>
    </cfRule>
  </conditionalFormatting>
  <dataValidations count="3">
    <dataValidation type="list" allowBlank="1" showInputMessage="1" showErrorMessage="1" sqref="D6:D25" xr:uid="{6A7A5803-0DCE-4C6B-A8F5-FB304D5A1EFA}">
      <formula1>"ALTO, MÉDIO, BAIXO"</formula1>
    </dataValidation>
    <dataValidation type="list" allowBlank="1" showInputMessage="1" showErrorMessage="1" sqref="E6:E25" xr:uid="{A3E7E8CB-DA70-4F7C-BD98-8AA1EC1FF8F0}">
      <formula1>"0, 1, 2, 3, 4, 5, 6, 7, 8, 9, 10"</formula1>
    </dataValidation>
    <dataValidation type="list" allowBlank="1" showInputMessage="1" showErrorMessage="1" sqref="G6:G25 I6:I25" xr:uid="{038585A7-1618-4032-87F1-2F4529D1727C}">
      <formula1>"PENDENTE, EM ANDAMENTO, CONCLUÍDO"</formula1>
    </dataValidation>
  </dataValidations>
  <hyperlinks>
    <hyperlink ref="B6" location="'1'!A1" display="'1'!A1" xr:uid="{F19BFE68-2F21-4A88-8641-14BC127CBE7B}"/>
    <hyperlink ref="B7" location="'2'!A1" display="'2'!A1" xr:uid="{3DB8198C-D510-43F2-808E-D599B40FBD05}"/>
    <hyperlink ref="B8" location="'3'!A1" display="'3'!A1" xr:uid="{A094D653-DF17-48EE-8581-64DDE9038FFA}"/>
    <hyperlink ref="B9" location="'4'!A1" display="'4'!A1" xr:uid="{EBA17334-F76B-4F36-BB66-8DE93D463D3C}"/>
    <hyperlink ref="B10" location="'5'!A1" display="'5'!A1" xr:uid="{A4891BC3-C200-4A7F-99A7-218000B0881D}"/>
    <hyperlink ref="B11" location="'6'!A1" display="'6'!A1" xr:uid="{CA980206-EFF1-4B38-B859-1FF0F67CCE81}"/>
    <hyperlink ref="B12" location="'7'!A1" display="'7'!A1" xr:uid="{41B9FC44-7678-4FA7-BE3B-329C60E2866B}"/>
    <hyperlink ref="B13" location="'8'!A1" display="'8'!A1" xr:uid="{D03DF4FC-B4F5-41FA-BC42-E1F99EF606AE}"/>
    <hyperlink ref="B14" location="'9'!A1" display="'9'!A1" xr:uid="{3C88451E-AABE-481D-8ADD-4CB462563F2D}"/>
    <hyperlink ref="B2" location="HOME!A1" display="&lt; HOME" xr:uid="{28932562-424C-4E03-A2C2-D85BB4397053}"/>
    <hyperlink ref="B15" location="'10'!A1" display="'10'!A1" xr:uid="{DE50F603-F4B9-43FC-B6A9-3B574C08756F}"/>
    <hyperlink ref="B16" location="'11'!A1" display="'11'!A1" xr:uid="{4BD447AC-C88C-4491-B980-82CCBF76514C}"/>
    <hyperlink ref="B18" location="'13'!A1" display="'13'!A1" xr:uid="{F27A25BD-30D1-4065-838E-95388538947B}"/>
    <hyperlink ref="B20" location="'15'!A1" display="'15'!A1" xr:uid="{6127643F-BC01-44B7-9D64-9F24378B01B2}"/>
    <hyperlink ref="B22" location="'17'!A1" display="'17'!A1" xr:uid="{73DA92CF-BA4B-4766-BDAC-F88B1FD217AF}"/>
    <hyperlink ref="B17" location="'12'!A1" display="'12'!A1" xr:uid="{804453DD-16C9-4A6B-9D63-0F7B19ADEBB3}"/>
    <hyperlink ref="B19" location="'14'!A1" display="'14'!A1" xr:uid="{2F5A5642-A79F-434E-ABE1-AF1508813F15}"/>
    <hyperlink ref="B21" location="'16'!A1" display="'16'!A1" xr:uid="{B6659B7F-F810-41C0-B284-41358A3722A2}"/>
    <hyperlink ref="B23" location="'18'!A1" display="'18'!A1" xr:uid="{BA939DB1-589E-484E-921A-BEC180E5B8D6}"/>
    <hyperlink ref="B24" location="'19'!A1" display="'19'!A1" xr:uid="{59591239-F6E2-479E-8CFF-D21BFD86947F}"/>
    <hyperlink ref="B25" location="'20'!A1" display="'20'!A1" xr:uid="{EB2ED3D4-DAFE-4B3D-B8B2-FB1CB8FEB7F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FE86-B2C6-47A5-802C-BEDE480F4EAC}">
  <sheetPr codeName="Planilha5">
    <tabColor theme="0" tint="-0.14999847407452621"/>
  </sheetPr>
  <dimension ref="A1:AD17"/>
  <sheetViews>
    <sheetView showGridLines="0" zoomScale="50" zoomScaleNormal="50" workbookViewId="0">
      <pane xSplit="1" ySplit="4" topLeftCell="B5" activePane="bottomRight" state="frozen"/>
      <selection activeCell="H9" sqref="H9"/>
      <selection pane="topRight" activeCell="H9" sqref="H9"/>
      <selection pane="bottomLeft" activeCell="H9" sqref="H9"/>
      <selection pane="bottomRight" activeCell="N28" sqref="N28"/>
    </sheetView>
  </sheetViews>
  <sheetFormatPr defaultColWidth="14.42578125" defaultRowHeight="15.75" customHeight="1" x14ac:dyDescent="0.25"/>
  <cols>
    <col min="1" max="1" width="4.28515625" style="9" customWidth="1"/>
    <col min="2" max="2" width="14.5703125" style="10" customWidth="1"/>
    <col min="3" max="3" width="51.7109375" customWidth="1"/>
    <col min="4" max="4" width="15.42578125" style="10" customWidth="1"/>
    <col min="5" max="6" width="16.42578125" style="10" customWidth="1"/>
    <col min="7" max="7" width="1.85546875" style="10" customWidth="1"/>
    <col min="8" max="8" width="9.7109375" style="10" customWidth="1"/>
    <col min="9" max="9" width="51.7109375" customWidth="1"/>
    <col min="10" max="10" width="15.42578125" style="10" customWidth="1"/>
    <col min="11" max="12" width="16.42578125" style="10" customWidth="1"/>
    <col min="13" max="13" width="1.85546875" customWidth="1"/>
    <col min="14" max="14" width="9.7109375" style="10" customWidth="1"/>
    <col min="15" max="15" width="51.7109375" customWidth="1"/>
    <col min="16" max="16" width="15.42578125" style="10" customWidth="1"/>
    <col min="17" max="18" width="16.42578125" style="10" customWidth="1"/>
    <col min="19" max="19" width="2" style="9" customWidth="1"/>
    <col min="20" max="20" width="9.7109375" style="10" customWidth="1"/>
    <col min="21" max="21" width="51.7109375" style="9" customWidth="1"/>
    <col min="22" max="22" width="15.42578125" style="10" customWidth="1"/>
    <col min="23" max="24" width="16.42578125" style="10" customWidth="1"/>
    <col min="25" max="25" width="1.85546875" style="9" customWidth="1"/>
    <col min="26" max="26" width="9.7109375" style="10" customWidth="1"/>
    <col min="27" max="27" width="51.7109375" style="9" customWidth="1"/>
    <col min="28" max="28" width="15.42578125" style="10" customWidth="1"/>
    <col min="29" max="30" width="16.42578125" style="10" customWidth="1"/>
    <col min="31" max="16384" width="14.42578125" style="9"/>
  </cols>
  <sheetData>
    <row r="1" spans="1:30" ht="14.45" customHeight="1" thickBot="1" x14ac:dyDescent="0.3"/>
    <row r="2" spans="1:30" customFormat="1" ht="61.5" customHeight="1" thickBot="1" x14ac:dyDescent="0.6">
      <c r="B2" s="69" t="s">
        <v>26</v>
      </c>
      <c r="C2" s="93" t="s">
        <v>85</v>
      </c>
      <c r="D2" s="94"/>
      <c r="E2" s="94"/>
      <c r="F2" s="94"/>
      <c r="G2" s="94"/>
      <c r="H2" s="95"/>
      <c r="I2" s="91" t="str">
        <f>HOME!E2</f>
        <v>NOME DO PILAR</v>
      </c>
      <c r="J2" s="92"/>
      <c r="K2" s="92"/>
      <c r="L2" s="70"/>
      <c r="M2" s="14"/>
      <c r="N2" s="62"/>
      <c r="O2" s="62"/>
      <c r="P2" s="62"/>
      <c r="Q2" s="62"/>
      <c r="R2" s="62"/>
      <c r="S2" s="13"/>
      <c r="T2" s="62"/>
      <c r="U2" s="62"/>
      <c r="V2" s="62"/>
      <c r="W2" s="62"/>
      <c r="X2" s="62"/>
      <c r="Y2" s="13"/>
      <c r="Z2" s="62"/>
      <c r="AA2" s="62"/>
      <c r="AB2" s="62"/>
      <c r="AC2" s="62"/>
      <c r="AD2" s="62"/>
    </row>
    <row r="3" spans="1:30" ht="7.5" customHeight="1" x14ac:dyDescent="0.25"/>
    <row r="4" spans="1:30" s="13" customFormat="1" ht="63" customHeight="1" x14ac:dyDescent="0.55000000000000004">
      <c r="B4" s="42" t="s">
        <v>3</v>
      </c>
      <c r="C4" s="16" t="s">
        <v>55</v>
      </c>
      <c r="D4" s="65" t="s">
        <v>1</v>
      </c>
      <c r="E4" s="65" t="s">
        <v>98</v>
      </c>
      <c r="F4" s="65" t="s">
        <v>97</v>
      </c>
      <c r="G4" s="10"/>
      <c r="H4" s="42" t="s">
        <v>3</v>
      </c>
      <c r="I4" s="16" t="s">
        <v>55</v>
      </c>
      <c r="J4" s="65" t="s">
        <v>1</v>
      </c>
      <c r="K4" s="65" t="s">
        <v>98</v>
      </c>
      <c r="L4" s="65" t="s">
        <v>97</v>
      </c>
      <c r="M4" s="14"/>
      <c r="N4" s="42" t="s">
        <v>3</v>
      </c>
      <c r="O4" s="16" t="s">
        <v>55</v>
      </c>
      <c r="P4" s="65" t="s">
        <v>1</v>
      </c>
      <c r="Q4" s="65" t="s">
        <v>98</v>
      </c>
      <c r="R4" s="65" t="s">
        <v>97</v>
      </c>
      <c r="T4" s="42" t="s">
        <v>3</v>
      </c>
      <c r="U4" s="16" t="s">
        <v>55</v>
      </c>
      <c r="V4" s="65" t="s">
        <v>1</v>
      </c>
      <c r="W4" s="65" t="s">
        <v>98</v>
      </c>
      <c r="X4" s="65" t="s">
        <v>97</v>
      </c>
      <c r="Z4" s="42" t="s">
        <v>3</v>
      </c>
      <c r="AA4" s="16" t="s">
        <v>55</v>
      </c>
      <c r="AB4" s="65" t="s">
        <v>1</v>
      </c>
      <c r="AC4" s="65" t="s">
        <v>98</v>
      </c>
      <c r="AD4" s="65" t="s">
        <v>97</v>
      </c>
    </row>
    <row r="5" spans="1:30" ht="6.75" customHeight="1" x14ac:dyDescent="0.25">
      <c r="U5"/>
      <c r="AA5"/>
    </row>
    <row r="6" spans="1:30" ht="36.950000000000003" customHeight="1" x14ac:dyDescent="0.25">
      <c r="B6" s="44">
        <v>1</v>
      </c>
      <c r="C6" s="12" t="s">
        <v>8</v>
      </c>
      <c r="D6" s="64" t="s">
        <v>92</v>
      </c>
      <c r="E6" s="64">
        <v>1</v>
      </c>
      <c r="F6" s="64">
        <v>10</v>
      </c>
      <c r="H6" s="44">
        <v>1</v>
      </c>
      <c r="I6" s="12" t="s">
        <v>8</v>
      </c>
      <c r="J6" s="64" t="s">
        <v>92</v>
      </c>
      <c r="K6" s="64">
        <v>0</v>
      </c>
      <c r="L6" s="64">
        <v>9</v>
      </c>
      <c r="N6" s="44">
        <v>1</v>
      </c>
      <c r="O6" s="12" t="s">
        <v>8</v>
      </c>
      <c r="P6" s="64" t="s">
        <v>92</v>
      </c>
      <c r="Q6" s="64">
        <v>1</v>
      </c>
      <c r="R6" s="64">
        <v>10</v>
      </c>
      <c r="T6" s="44">
        <v>1</v>
      </c>
      <c r="U6" s="12" t="s">
        <v>8</v>
      </c>
      <c r="V6" s="64" t="s">
        <v>92</v>
      </c>
      <c r="W6" s="64">
        <v>1</v>
      </c>
      <c r="X6" s="64">
        <v>10</v>
      </c>
      <c r="Z6" s="44">
        <v>1</v>
      </c>
      <c r="AA6" s="12" t="s">
        <v>8</v>
      </c>
      <c r="AB6" s="64" t="s">
        <v>92</v>
      </c>
      <c r="AC6" s="64">
        <v>1</v>
      </c>
      <c r="AD6" s="64">
        <v>10</v>
      </c>
    </row>
    <row r="7" spans="1:30" ht="36.950000000000003" customHeight="1" x14ac:dyDescent="0.25">
      <c r="B7" s="44">
        <v>2</v>
      </c>
      <c r="C7" s="12" t="s">
        <v>8</v>
      </c>
      <c r="D7" s="64" t="s">
        <v>93</v>
      </c>
      <c r="E7" s="64">
        <v>2</v>
      </c>
      <c r="F7" s="64">
        <v>9</v>
      </c>
      <c r="H7" s="44">
        <v>2</v>
      </c>
      <c r="I7" s="12" t="s">
        <v>8</v>
      </c>
      <c r="J7" s="64" t="s">
        <v>93</v>
      </c>
      <c r="K7" s="64">
        <v>1</v>
      </c>
      <c r="L7" s="64">
        <v>8</v>
      </c>
      <c r="N7" s="44">
        <v>2</v>
      </c>
      <c r="O7" s="12" t="s">
        <v>8</v>
      </c>
      <c r="P7" s="64" t="s">
        <v>93</v>
      </c>
      <c r="Q7" s="64">
        <v>2</v>
      </c>
      <c r="R7" s="64">
        <v>9</v>
      </c>
      <c r="T7" s="44">
        <v>2</v>
      </c>
      <c r="U7" s="12" t="s">
        <v>8</v>
      </c>
      <c r="V7" s="64" t="s">
        <v>93</v>
      </c>
      <c r="W7" s="64">
        <v>2</v>
      </c>
      <c r="X7" s="64">
        <v>9</v>
      </c>
      <c r="Z7" s="44">
        <v>2</v>
      </c>
      <c r="AA7" s="12" t="s">
        <v>8</v>
      </c>
      <c r="AB7" s="64" t="s">
        <v>93</v>
      </c>
      <c r="AC7" s="64">
        <v>2</v>
      </c>
      <c r="AD7" s="64">
        <v>9</v>
      </c>
    </row>
    <row r="8" spans="1:30" ht="36.950000000000003" customHeight="1" x14ac:dyDescent="0.25">
      <c r="B8" s="44">
        <v>3</v>
      </c>
      <c r="C8" s="12" t="s">
        <v>8</v>
      </c>
      <c r="D8" s="64" t="s">
        <v>94</v>
      </c>
      <c r="E8" s="64">
        <v>3</v>
      </c>
      <c r="F8" s="64">
        <v>8</v>
      </c>
      <c r="H8" s="44">
        <v>3</v>
      </c>
      <c r="I8" s="12" t="s">
        <v>8</v>
      </c>
      <c r="J8" s="64" t="s">
        <v>94</v>
      </c>
      <c r="K8" s="64">
        <v>2</v>
      </c>
      <c r="L8" s="64">
        <v>7</v>
      </c>
      <c r="N8" s="44">
        <v>3</v>
      </c>
      <c r="O8" s="12" t="s">
        <v>8</v>
      </c>
      <c r="P8" s="64" t="s">
        <v>94</v>
      </c>
      <c r="Q8" s="64">
        <v>3</v>
      </c>
      <c r="R8" s="64">
        <v>8</v>
      </c>
      <c r="T8" s="44">
        <v>3</v>
      </c>
      <c r="U8" s="12" t="s">
        <v>8</v>
      </c>
      <c r="V8" s="64" t="s">
        <v>94</v>
      </c>
      <c r="W8" s="64">
        <v>3</v>
      </c>
      <c r="X8" s="64">
        <v>8</v>
      </c>
      <c r="Z8" s="44">
        <v>3</v>
      </c>
      <c r="AA8" s="12" t="s">
        <v>8</v>
      </c>
      <c r="AB8" s="64" t="s">
        <v>94</v>
      </c>
      <c r="AC8" s="64">
        <v>3</v>
      </c>
      <c r="AD8" s="64">
        <v>8</v>
      </c>
    </row>
    <row r="9" spans="1:30" ht="36.950000000000003" customHeight="1" x14ac:dyDescent="0.25">
      <c r="B9" s="44">
        <v>4</v>
      </c>
      <c r="C9" s="12" t="s">
        <v>8</v>
      </c>
      <c r="D9" s="64" t="s">
        <v>92</v>
      </c>
      <c r="E9" s="64">
        <v>4</v>
      </c>
      <c r="F9" s="64">
        <v>7</v>
      </c>
      <c r="H9" s="44">
        <v>4</v>
      </c>
      <c r="I9" s="12" t="s">
        <v>8</v>
      </c>
      <c r="J9" s="64" t="s">
        <v>92</v>
      </c>
      <c r="K9" s="64">
        <v>3</v>
      </c>
      <c r="L9" s="64">
        <v>6</v>
      </c>
      <c r="N9" s="44">
        <v>4</v>
      </c>
      <c r="O9" s="12" t="s">
        <v>8</v>
      </c>
      <c r="P9" s="64" t="s">
        <v>92</v>
      </c>
      <c r="Q9" s="64">
        <v>4</v>
      </c>
      <c r="R9" s="64">
        <v>7</v>
      </c>
      <c r="T9" s="44">
        <v>4</v>
      </c>
      <c r="U9" s="12" t="s">
        <v>8</v>
      </c>
      <c r="V9" s="64" t="s">
        <v>92</v>
      </c>
      <c r="W9" s="64">
        <v>4</v>
      </c>
      <c r="X9" s="64">
        <v>7</v>
      </c>
      <c r="Z9" s="44">
        <v>4</v>
      </c>
      <c r="AA9" s="12" t="s">
        <v>8</v>
      </c>
      <c r="AB9" s="64" t="s">
        <v>92</v>
      </c>
      <c r="AC9" s="64">
        <v>4</v>
      </c>
      <c r="AD9" s="64">
        <v>7</v>
      </c>
    </row>
    <row r="10" spans="1:30" ht="36.950000000000003" customHeight="1" x14ac:dyDescent="0.25">
      <c r="B10" s="44">
        <v>5</v>
      </c>
      <c r="C10" s="12" t="s">
        <v>8</v>
      </c>
      <c r="D10" s="64" t="s">
        <v>92</v>
      </c>
      <c r="E10" s="64">
        <v>5</v>
      </c>
      <c r="F10" s="64">
        <v>6</v>
      </c>
      <c r="H10" s="44">
        <v>5</v>
      </c>
      <c r="I10" s="12" t="s">
        <v>8</v>
      </c>
      <c r="J10" s="64" t="s">
        <v>92</v>
      </c>
      <c r="K10" s="64">
        <v>4</v>
      </c>
      <c r="L10" s="64">
        <v>5</v>
      </c>
      <c r="N10" s="44">
        <v>5</v>
      </c>
      <c r="O10" s="12" t="s">
        <v>8</v>
      </c>
      <c r="P10" s="64" t="s">
        <v>92</v>
      </c>
      <c r="Q10" s="64">
        <v>5</v>
      </c>
      <c r="R10" s="64">
        <v>6</v>
      </c>
      <c r="T10" s="44">
        <v>5</v>
      </c>
      <c r="U10" s="12" t="s">
        <v>8</v>
      </c>
      <c r="V10" s="64" t="s">
        <v>92</v>
      </c>
      <c r="W10" s="64">
        <v>5</v>
      </c>
      <c r="X10" s="64">
        <v>6</v>
      </c>
      <c r="Z10" s="44">
        <v>5</v>
      </c>
      <c r="AA10" s="12" t="s">
        <v>8</v>
      </c>
      <c r="AB10" s="64" t="s">
        <v>92</v>
      </c>
      <c r="AC10" s="64">
        <v>5</v>
      </c>
      <c r="AD10" s="64">
        <v>6</v>
      </c>
    </row>
    <row r="11" spans="1:30" ht="36.950000000000003" customHeight="1" x14ac:dyDescent="0.25">
      <c r="B11" s="44">
        <v>6</v>
      </c>
      <c r="C11" s="12" t="s">
        <v>8</v>
      </c>
      <c r="D11" s="64" t="s">
        <v>92</v>
      </c>
      <c r="E11" s="64">
        <v>6</v>
      </c>
      <c r="F11" s="64">
        <v>5</v>
      </c>
      <c r="H11" s="44">
        <v>6</v>
      </c>
      <c r="I11" s="12" t="s">
        <v>8</v>
      </c>
      <c r="J11" s="64" t="s">
        <v>92</v>
      </c>
      <c r="K11" s="64">
        <v>5</v>
      </c>
      <c r="L11" s="64">
        <v>4</v>
      </c>
      <c r="N11" s="44">
        <v>6</v>
      </c>
      <c r="O11" s="12" t="s">
        <v>8</v>
      </c>
      <c r="P11" s="64" t="s">
        <v>92</v>
      </c>
      <c r="Q11" s="64">
        <v>6</v>
      </c>
      <c r="R11" s="64">
        <v>5</v>
      </c>
      <c r="T11" s="44">
        <v>6</v>
      </c>
      <c r="U11" s="12" t="s">
        <v>8</v>
      </c>
      <c r="V11" s="64" t="s">
        <v>92</v>
      </c>
      <c r="W11" s="64">
        <v>6</v>
      </c>
      <c r="X11" s="64">
        <v>5</v>
      </c>
      <c r="Z11" s="44">
        <v>6</v>
      </c>
      <c r="AA11" s="12" t="s">
        <v>8</v>
      </c>
      <c r="AB11" s="64" t="s">
        <v>92</v>
      </c>
      <c r="AC11" s="64">
        <v>6</v>
      </c>
      <c r="AD11" s="64">
        <v>5</v>
      </c>
    </row>
    <row r="12" spans="1:30" ht="36.950000000000003" customHeight="1" x14ac:dyDescent="0.25">
      <c r="B12" s="44">
        <v>7</v>
      </c>
      <c r="C12" s="12" t="s">
        <v>8</v>
      </c>
      <c r="D12" s="64" t="s">
        <v>92</v>
      </c>
      <c r="E12" s="64">
        <v>7</v>
      </c>
      <c r="F12" s="64">
        <v>4</v>
      </c>
      <c r="H12" s="44">
        <v>7</v>
      </c>
      <c r="I12" s="12" t="s">
        <v>8</v>
      </c>
      <c r="J12" s="64" t="s">
        <v>92</v>
      </c>
      <c r="K12" s="64">
        <v>6</v>
      </c>
      <c r="L12" s="64">
        <v>3</v>
      </c>
      <c r="N12" s="44">
        <v>7</v>
      </c>
      <c r="O12" s="12" t="s">
        <v>8</v>
      </c>
      <c r="P12" s="64" t="s">
        <v>92</v>
      </c>
      <c r="Q12" s="64">
        <v>7</v>
      </c>
      <c r="R12" s="64">
        <v>4</v>
      </c>
      <c r="T12" s="44">
        <v>7</v>
      </c>
      <c r="U12" s="12" t="s">
        <v>8</v>
      </c>
      <c r="V12" s="64" t="s">
        <v>92</v>
      </c>
      <c r="W12" s="64">
        <v>7</v>
      </c>
      <c r="X12" s="64">
        <v>4</v>
      </c>
      <c r="Z12" s="44">
        <v>7</v>
      </c>
      <c r="AA12" s="12" t="s">
        <v>8</v>
      </c>
      <c r="AB12" s="64" t="s">
        <v>92</v>
      </c>
      <c r="AC12" s="64">
        <v>7</v>
      </c>
      <c r="AD12" s="64">
        <v>4</v>
      </c>
    </row>
    <row r="13" spans="1:30" ht="36.950000000000003" customHeight="1" x14ac:dyDescent="0.25">
      <c r="B13" s="44">
        <v>8</v>
      </c>
      <c r="C13" s="12" t="s">
        <v>8</v>
      </c>
      <c r="D13" s="64" t="s">
        <v>92</v>
      </c>
      <c r="E13" s="64">
        <v>8</v>
      </c>
      <c r="F13" s="64">
        <v>3</v>
      </c>
      <c r="H13" s="44">
        <v>8</v>
      </c>
      <c r="I13" s="12" t="s">
        <v>8</v>
      </c>
      <c r="J13" s="64" t="s">
        <v>92</v>
      </c>
      <c r="K13" s="64">
        <v>7</v>
      </c>
      <c r="L13" s="64">
        <v>2</v>
      </c>
      <c r="N13" s="44">
        <v>8</v>
      </c>
      <c r="O13" s="12" t="s">
        <v>8</v>
      </c>
      <c r="P13" s="64" t="s">
        <v>92</v>
      </c>
      <c r="Q13" s="64">
        <v>8</v>
      </c>
      <c r="R13" s="64">
        <v>3</v>
      </c>
      <c r="T13" s="44">
        <v>8</v>
      </c>
      <c r="U13" s="12" t="s">
        <v>8</v>
      </c>
      <c r="V13" s="64" t="s">
        <v>92</v>
      </c>
      <c r="W13" s="64">
        <v>8</v>
      </c>
      <c r="X13" s="64">
        <v>3</v>
      </c>
      <c r="Z13" s="44">
        <v>8</v>
      </c>
      <c r="AA13" s="12" t="s">
        <v>8</v>
      </c>
      <c r="AB13" s="64" t="s">
        <v>92</v>
      </c>
      <c r="AC13" s="64">
        <v>8</v>
      </c>
      <c r="AD13" s="64">
        <v>3</v>
      </c>
    </row>
    <row r="14" spans="1:30" ht="36.950000000000003" customHeight="1" x14ac:dyDescent="0.25">
      <c r="B14" s="44">
        <v>9</v>
      </c>
      <c r="C14" s="12" t="s">
        <v>8</v>
      </c>
      <c r="D14" s="64" t="s">
        <v>92</v>
      </c>
      <c r="E14" s="64">
        <v>9</v>
      </c>
      <c r="F14" s="64">
        <v>2</v>
      </c>
      <c r="H14" s="44">
        <v>9</v>
      </c>
      <c r="I14" s="12" t="s">
        <v>8</v>
      </c>
      <c r="J14" s="64" t="s">
        <v>92</v>
      </c>
      <c r="K14" s="64">
        <v>8</v>
      </c>
      <c r="L14" s="64">
        <v>1</v>
      </c>
      <c r="N14" s="44">
        <v>9</v>
      </c>
      <c r="O14" s="12" t="s">
        <v>8</v>
      </c>
      <c r="P14" s="64" t="s">
        <v>92</v>
      </c>
      <c r="Q14" s="64">
        <v>9</v>
      </c>
      <c r="R14" s="64">
        <v>2</v>
      </c>
      <c r="T14" s="44">
        <v>9</v>
      </c>
      <c r="U14" s="12" t="s">
        <v>8</v>
      </c>
      <c r="V14" s="64" t="s">
        <v>92</v>
      </c>
      <c r="W14" s="64">
        <v>9</v>
      </c>
      <c r="X14" s="64">
        <v>2</v>
      </c>
      <c r="Z14" s="44">
        <v>9</v>
      </c>
      <c r="AA14" s="12" t="s">
        <v>8</v>
      </c>
      <c r="AB14" s="64" t="s">
        <v>92</v>
      </c>
      <c r="AC14" s="64">
        <v>9</v>
      </c>
      <c r="AD14" s="64">
        <v>2</v>
      </c>
    </row>
    <row r="15" spans="1:30" s="11" customFormat="1" ht="36.950000000000003" customHeight="1" x14ac:dyDescent="0.25">
      <c r="A15" s="9"/>
      <c r="B15" s="44">
        <v>10</v>
      </c>
      <c r="C15" s="12" t="s">
        <v>8</v>
      </c>
      <c r="D15" s="64" t="s">
        <v>92</v>
      </c>
      <c r="E15" s="64">
        <v>10</v>
      </c>
      <c r="F15" s="64">
        <v>1</v>
      </c>
      <c r="G15" s="10"/>
      <c r="H15" s="44">
        <v>10</v>
      </c>
      <c r="I15" s="12" t="s">
        <v>8</v>
      </c>
      <c r="J15" s="64" t="s">
        <v>92</v>
      </c>
      <c r="K15" s="64">
        <v>9</v>
      </c>
      <c r="L15" s="64">
        <v>0</v>
      </c>
      <c r="M15"/>
      <c r="N15" s="44">
        <v>10</v>
      </c>
      <c r="O15" s="12" t="s">
        <v>8</v>
      </c>
      <c r="P15" s="64" t="s">
        <v>92</v>
      </c>
      <c r="Q15" s="64">
        <v>10</v>
      </c>
      <c r="R15" s="64">
        <v>1</v>
      </c>
      <c r="S15" s="9"/>
      <c r="T15" s="44">
        <v>10</v>
      </c>
      <c r="U15" s="12" t="s">
        <v>8</v>
      </c>
      <c r="V15" s="64" t="s">
        <v>92</v>
      </c>
      <c r="W15" s="64">
        <v>10</v>
      </c>
      <c r="X15" s="64">
        <v>1</v>
      </c>
      <c r="Y15" s="9"/>
      <c r="Z15" s="44">
        <v>10</v>
      </c>
      <c r="AA15" s="12" t="s">
        <v>8</v>
      </c>
      <c r="AB15" s="64" t="s">
        <v>92</v>
      </c>
      <c r="AC15" s="64">
        <v>10</v>
      </c>
      <c r="AD15" s="64">
        <v>1</v>
      </c>
    </row>
    <row r="17" spans="2:30" ht="53.45" customHeight="1" x14ac:dyDescent="0.25">
      <c r="B17" s="89" t="s">
        <v>96</v>
      </c>
      <c r="C17" s="89"/>
      <c r="D17" s="90"/>
      <c r="E17" s="66">
        <f>IFERROR(AVERAGE(E6:E15),0)</f>
        <v>5.5</v>
      </c>
      <c r="F17" s="66">
        <f>IFERROR(AVERAGE(F6:F15),0)</f>
        <v>5.5</v>
      </c>
      <c r="H17" s="89" t="s">
        <v>96</v>
      </c>
      <c r="I17" s="89"/>
      <c r="J17" s="90"/>
      <c r="K17" s="66">
        <f>IFERROR(AVERAGE(K6:K15),0)</f>
        <v>4.5</v>
      </c>
      <c r="L17" s="66">
        <f>IFERROR(AVERAGE(L6:L15),0)</f>
        <v>4.5</v>
      </c>
      <c r="N17" s="89" t="s">
        <v>96</v>
      </c>
      <c r="O17" s="89"/>
      <c r="P17" s="90"/>
      <c r="Q17" s="66">
        <f>IFERROR(AVERAGE(Q6:Q15),0)</f>
        <v>5.5</v>
      </c>
      <c r="R17" s="66">
        <f>IFERROR(AVERAGE(R6:R15),0)</f>
        <v>5.5</v>
      </c>
      <c r="T17" s="89" t="s">
        <v>96</v>
      </c>
      <c r="U17" s="89"/>
      <c r="V17" s="90"/>
      <c r="W17" s="66">
        <f>IFERROR(AVERAGE(W6:W15),0)</f>
        <v>5.5</v>
      </c>
      <c r="X17" s="66">
        <f>IFERROR(AVERAGE(X6:X15),0)</f>
        <v>5.5</v>
      </c>
      <c r="Z17" s="89" t="s">
        <v>96</v>
      </c>
      <c r="AA17" s="89"/>
      <c r="AB17" s="90"/>
      <c r="AC17" s="66">
        <f>IFERROR(AVERAGE(AC6:AC15),0)</f>
        <v>5.5</v>
      </c>
      <c r="AD17" s="66">
        <f>IFERROR(AVERAGE(AD6:AD15),0)</f>
        <v>5.5</v>
      </c>
    </row>
  </sheetData>
  <mergeCells count="7">
    <mergeCell ref="Z17:AB17"/>
    <mergeCell ref="I2:K2"/>
    <mergeCell ref="C2:H2"/>
    <mergeCell ref="B17:D17"/>
    <mergeCell ref="H17:J17"/>
    <mergeCell ref="N17:P17"/>
    <mergeCell ref="T17:V17"/>
  </mergeCells>
  <conditionalFormatting sqref="D6:D15">
    <cfRule type="containsText" dxfId="18" priority="24" operator="containsText" text="BAIXO">
      <formula>NOT(ISERROR(SEARCH("BAIXO",D6)))</formula>
    </cfRule>
    <cfRule type="containsText" dxfId="17" priority="25" operator="containsText" text="MÉDIO">
      <formula>NOT(ISERROR(SEARCH("MÉDIO",D6)))</formula>
    </cfRule>
    <cfRule type="containsText" dxfId="16" priority="26" operator="containsText" text="ALTO">
      <formula>NOT(ISERROR(SEARCH("ALTO",D6)))</formula>
    </cfRule>
  </conditionalFormatting>
  <conditionalFormatting sqref="E6:E1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1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15">
    <cfRule type="containsText" dxfId="15" priority="16" operator="containsText" text="BAIXO">
      <formula>NOT(ISERROR(SEARCH("BAIXO",J6)))</formula>
    </cfRule>
    <cfRule type="containsText" dxfId="14" priority="17" operator="containsText" text="MÉDIO">
      <formula>NOT(ISERROR(SEARCH("MÉDIO",J6)))</formula>
    </cfRule>
    <cfRule type="containsText" dxfId="13" priority="18" operator="containsText" text="ALTO">
      <formula>NOT(ISERROR(SEARCH("ALTO",J6)))</formula>
    </cfRule>
  </conditionalFormatting>
  <conditionalFormatting sqref="K6:K1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1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P15">
    <cfRule type="containsText" dxfId="12" priority="11" operator="containsText" text="BAIXO">
      <formula>NOT(ISERROR(SEARCH("BAIXO",P6)))</formula>
    </cfRule>
    <cfRule type="containsText" dxfId="11" priority="12" operator="containsText" text="MÉDIO">
      <formula>NOT(ISERROR(SEARCH("MÉDIO",P6)))</formula>
    </cfRule>
    <cfRule type="containsText" dxfId="10" priority="13" operator="containsText" text="ALTO">
      <formula>NOT(ISERROR(SEARCH("ALTO",P6)))</formula>
    </cfRule>
  </conditionalFormatting>
  <conditionalFormatting sqref="Q6:Q1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:R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V15">
    <cfRule type="containsText" dxfId="9" priority="6" operator="containsText" text="BAIXO">
      <formula>NOT(ISERROR(SEARCH("BAIXO",V6)))</formula>
    </cfRule>
    <cfRule type="containsText" dxfId="8" priority="7" operator="containsText" text="MÉDIO">
      <formula>NOT(ISERROR(SEARCH("MÉDIO",V6)))</formula>
    </cfRule>
    <cfRule type="containsText" dxfId="7" priority="8" operator="containsText" text="ALTO">
      <formula>NOT(ISERROR(SEARCH("ALTO",V6)))</formula>
    </cfRule>
  </conditionalFormatting>
  <conditionalFormatting sqref="W6:W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:X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:AB15">
    <cfRule type="containsText" dxfId="6" priority="1" operator="containsText" text="BAIXO">
      <formula>NOT(ISERROR(SEARCH("BAIXO",AB6)))</formula>
    </cfRule>
    <cfRule type="containsText" dxfId="5" priority="2" operator="containsText" text="MÉDIO">
      <formula>NOT(ISERROR(SEARCH("MÉDIO",AB6)))</formula>
    </cfRule>
    <cfRule type="containsText" dxfId="4" priority="3" operator="containsText" text="ALTO">
      <formula>NOT(ISERROR(SEARCH("ALTO",AB6)))</formula>
    </cfRule>
  </conditionalFormatting>
  <conditionalFormatting sqref="AC6:AC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:AD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list" showInputMessage="1" showErrorMessage="1" sqref="E6:E15 K6:K15 Q6:Q15 W6:W15 AC6:AC15" xr:uid="{1213B432-0BEB-48E8-9916-82434B3DA9DB}">
      <formula1>"0, 1, 2, 3, 4, 5, 6, 7, 8, 9, 10"</formula1>
    </dataValidation>
    <dataValidation type="list" allowBlank="1" showInputMessage="1" showErrorMessage="1" sqref="F6:F15 L6:L15 R6:R15 X6:X15 AD6:AD15" xr:uid="{B238A7C4-CC84-4AAE-BFD9-3BE853F44E09}">
      <formula1>"0, 1, 2, 3, 4, 5, 6, 7, 8, 9, 10"</formula1>
    </dataValidation>
    <dataValidation type="list" allowBlank="1" showInputMessage="1" showErrorMessage="1" sqref="D6:D15 AB6:AB15 P6:P15 V6:V15 J6:J15" xr:uid="{ADCD3980-E0C5-4E2D-8DE9-FFE1554860CD}">
      <formula1>"ALTO, MÉDIO, BAIXO"</formula1>
    </dataValidation>
  </dataValidations>
  <hyperlinks>
    <hyperlink ref="B2" location="HOME!A1" display="&lt; HOME" xr:uid="{5943895D-4AA2-4EFF-81F2-A02F71EC3E45}"/>
  </hyperlink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E8F8-E574-4B17-8DDF-4244D866B6D1}">
  <sheetPr codeName="Planilha4">
    <tabColor theme="0" tint="-0.14999847407452621"/>
  </sheetPr>
  <dimension ref="B1:Q13"/>
  <sheetViews>
    <sheetView showGridLines="0" zoomScale="90" zoomScaleNormal="90" workbookViewId="0">
      <pane ySplit="4" topLeftCell="A5" activePane="bottomLeft" state="frozen"/>
      <selection activeCell="F10" sqref="F10"/>
      <selection pane="bottomLeft" activeCell="B5" sqref="B5"/>
    </sheetView>
  </sheetViews>
  <sheetFormatPr defaultRowHeight="15" x14ac:dyDescent="0.25"/>
  <cols>
    <col min="1" max="1" width="2.85546875" customWidth="1"/>
    <col min="2" max="2" width="16" customWidth="1"/>
    <col min="3" max="3" width="0.85546875" customWidth="1"/>
    <col min="4" max="4" width="16.5703125" style="17" customWidth="1"/>
    <col min="5" max="5" width="0.5703125" style="17" customWidth="1"/>
    <col min="6" max="6" width="19.28515625" style="17" customWidth="1"/>
    <col min="7" max="7" width="0.5703125" style="17" customWidth="1"/>
    <col min="8" max="8" width="22.140625" style="17" customWidth="1"/>
    <col min="9" max="9" width="0.5703125" style="17" customWidth="1"/>
    <col min="10" max="10" width="19.140625" style="17" customWidth="1"/>
    <col min="11" max="11" width="0.5703125" style="17" customWidth="1"/>
    <col min="12" max="12" width="16.85546875" style="17" customWidth="1"/>
    <col min="13" max="13" width="0.5703125" customWidth="1"/>
    <col min="14" max="14" width="30.42578125" style="17" customWidth="1"/>
    <col min="15" max="15" width="10.28515625" style="17" customWidth="1"/>
    <col min="16" max="16" width="11.85546875" style="17" customWidth="1"/>
    <col min="17" max="17" width="9.42578125" style="17" customWidth="1"/>
  </cols>
  <sheetData>
    <row r="1" spans="2:17" ht="5.45" customHeight="1" x14ac:dyDescent="0.25"/>
    <row r="2" spans="2:17" ht="29.45" customHeight="1" x14ac:dyDescent="0.25">
      <c r="B2" s="32" t="s">
        <v>26</v>
      </c>
      <c r="C2" s="23"/>
      <c r="D2" s="96" t="s">
        <v>86</v>
      </c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</row>
    <row r="3" spans="2:17" ht="1.5" customHeight="1" x14ac:dyDescent="0.25"/>
    <row r="4" spans="2:17" s="23" customFormat="1" x14ac:dyDescent="0.25">
      <c r="B4" s="19" t="s">
        <v>17</v>
      </c>
      <c r="D4" s="20" t="s">
        <v>18</v>
      </c>
      <c r="E4" s="17"/>
      <c r="F4" s="20" t="s">
        <v>19</v>
      </c>
      <c r="G4" s="17"/>
      <c r="H4" s="20" t="s">
        <v>20</v>
      </c>
      <c r="I4" s="17"/>
      <c r="J4" s="20" t="s">
        <v>21</v>
      </c>
      <c r="K4" s="17"/>
      <c r="L4" s="20" t="s">
        <v>22</v>
      </c>
      <c r="N4" s="20" t="s">
        <v>23</v>
      </c>
      <c r="O4" s="20" t="s">
        <v>24</v>
      </c>
      <c r="P4" s="20" t="s">
        <v>11</v>
      </c>
      <c r="Q4" s="20" t="s">
        <v>25</v>
      </c>
    </row>
    <row r="5" spans="2:17" s="2" customFormat="1" ht="24" x14ac:dyDescent="0.25">
      <c r="B5" s="67"/>
      <c r="C5"/>
      <c r="D5" s="25"/>
      <c r="E5" s="24"/>
      <c r="F5" s="25"/>
      <c r="G5" s="24"/>
      <c r="H5" s="25"/>
      <c r="I5" s="24"/>
      <c r="J5" s="25"/>
      <c r="K5" s="17"/>
      <c r="L5" s="22"/>
      <c r="N5" s="26"/>
      <c r="O5" s="27"/>
      <c r="P5" s="29" t="s">
        <v>61</v>
      </c>
      <c r="Q5" s="28"/>
    </row>
    <row r="6" spans="2:17" s="2" customFormat="1" ht="30" customHeight="1" x14ac:dyDescent="0.25">
      <c r="B6" s="67"/>
      <c r="C6"/>
      <c r="D6" s="25"/>
      <c r="E6" s="24"/>
      <c r="F6" s="25"/>
      <c r="G6" s="24"/>
      <c r="H6" s="25"/>
      <c r="I6" s="24"/>
      <c r="J6" s="25"/>
      <c r="K6" s="17"/>
      <c r="L6" s="22"/>
      <c r="N6" s="26"/>
      <c r="O6" s="27"/>
      <c r="P6" s="29" t="s">
        <v>62</v>
      </c>
      <c r="Q6" s="28"/>
    </row>
    <row r="7" spans="2:17" s="2" customFormat="1" ht="30" customHeight="1" x14ac:dyDescent="0.25">
      <c r="B7" s="67"/>
      <c r="C7"/>
      <c r="D7" s="25"/>
      <c r="E7" s="24"/>
      <c r="F7" s="25"/>
      <c r="G7" s="24"/>
      <c r="H7" s="25"/>
      <c r="I7" s="24"/>
      <c r="J7" s="25"/>
      <c r="K7" s="17"/>
      <c r="L7" s="22"/>
      <c r="N7" s="26"/>
      <c r="O7" s="27"/>
      <c r="P7" s="29" t="s">
        <v>63</v>
      </c>
      <c r="Q7" s="28"/>
    </row>
    <row r="8" spans="2:17" s="2" customFormat="1" ht="30" customHeight="1" x14ac:dyDescent="0.25">
      <c r="B8" s="67"/>
      <c r="C8"/>
      <c r="D8" s="25"/>
      <c r="E8" s="24"/>
      <c r="F8" s="25"/>
      <c r="G8" s="24"/>
      <c r="H8" s="25"/>
      <c r="I8" s="24"/>
      <c r="J8" s="25"/>
      <c r="K8" s="17"/>
      <c r="L8" s="22"/>
      <c r="N8" s="26"/>
      <c r="O8" s="27"/>
      <c r="P8" s="29" t="s">
        <v>64</v>
      </c>
      <c r="Q8" s="28"/>
    </row>
    <row r="9" spans="2:17" s="2" customFormat="1" ht="30" customHeight="1" x14ac:dyDescent="0.25">
      <c r="B9" s="67"/>
      <c r="C9"/>
      <c r="D9" s="25"/>
      <c r="E9" s="24"/>
      <c r="F9" s="30"/>
      <c r="G9" s="24"/>
      <c r="H9" s="25"/>
      <c r="I9" s="24"/>
      <c r="J9" s="25"/>
      <c r="K9" s="17"/>
      <c r="L9" s="22"/>
      <c r="N9" s="26"/>
      <c r="O9" s="27"/>
      <c r="P9" s="29" t="s">
        <v>61</v>
      </c>
      <c r="Q9" s="28"/>
    </row>
    <row r="10" spans="2:17" s="2" customFormat="1" ht="30" customHeight="1" x14ac:dyDescent="0.25">
      <c r="B10" s="67"/>
      <c r="C10"/>
      <c r="D10" s="25"/>
      <c r="E10" s="24"/>
      <c r="F10" s="25"/>
      <c r="G10" s="24"/>
      <c r="H10" s="25"/>
      <c r="I10" s="24"/>
      <c r="J10" s="25"/>
      <c r="K10" s="17"/>
      <c r="L10" s="22"/>
      <c r="N10" s="26"/>
      <c r="O10" s="27"/>
      <c r="P10" s="29" t="s">
        <v>62</v>
      </c>
      <c r="Q10" s="28"/>
    </row>
    <row r="11" spans="2:17" s="2" customFormat="1" ht="30" customHeight="1" x14ac:dyDescent="0.25">
      <c r="B11" s="67"/>
      <c r="C11"/>
      <c r="D11" s="25"/>
      <c r="E11" s="24"/>
      <c r="F11" s="25"/>
      <c r="G11" s="24"/>
      <c r="H11" s="25"/>
      <c r="I11" s="24"/>
      <c r="J11" s="25"/>
      <c r="K11" s="17"/>
      <c r="L11" s="22"/>
      <c r="N11" s="26"/>
      <c r="O11" s="27"/>
      <c r="P11" s="29" t="s">
        <v>63</v>
      </c>
      <c r="Q11" s="28"/>
    </row>
    <row r="12" spans="2:17" s="2" customFormat="1" ht="30" customHeight="1" x14ac:dyDescent="0.25">
      <c r="B12" s="67"/>
      <c r="C12"/>
      <c r="D12" s="25"/>
      <c r="E12" s="24"/>
      <c r="F12" s="25"/>
      <c r="G12" s="24"/>
      <c r="H12" s="25"/>
      <c r="I12" s="24"/>
      <c r="J12" s="25"/>
      <c r="K12" s="17"/>
      <c r="L12" s="22"/>
      <c r="N12" s="26"/>
      <c r="O12" s="27"/>
      <c r="P12" s="29" t="s">
        <v>64</v>
      </c>
      <c r="Q12" s="28"/>
    </row>
    <row r="13" spans="2:17" s="2" customFormat="1" ht="30" customHeight="1" x14ac:dyDescent="0.25">
      <c r="B13" s="67"/>
      <c r="C13"/>
      <c r="D13" s="25"/>
      <c r="E13" s="24"/>
      <c r="F13" s="25"/>
      <c r="G13" s="24"/>
      <c r="H13" s="25"/>
      <c r="I13" s="24"/>
      <c r="J13" s="25"/>
      <c r="K13" s="17"/>
      <c r="L13" s="22"/>
      <c r="N13" s="26"/>
      <c r="O13" s="27"/>
      <c r="P13" s="29" t="s">
        <v>61</v>
      </c>
      <c r="Q13" s="28"/>
    </row>
  </sheetData>
  <mergeCells count="1">
    <mergeCell ref="D2:Q2"/>
  </mergeCells>
  <conditionalFormatting sqref="P5:P13">
    <cfRule type="cellIs" dxfId="3" priority="1" operator="equal">
      <formula>"CONCLUÍDA"</formula>
    </cfRule>
    <cfRule type="cellIs" dxfId="2" priority="2" operator="equal">
      <formula>"ATRASADA"</formula>
    </cfRule>
    <cfRule type="cellIs" dxfId="1" priority="3" operator="equal">
      <formula>"EM ANDAMENTO"</formula>
    </cfRule>
    <cfRule type="cellIs" dxfId="0" priority="4" operator="equal">
      <formula>"A INICIAR"</formula>
    </cfRule>
  </conditionalFormatting>
  <dataValidations count="1">
    <dataValidation type="list" showInputMessage="1" showErrorMessage="1" sqref="P5:P13" xr:uid="{8E02ABF2-68AC-4527-8184-DCED97BBFC12}">
      <formula1>"A INICIAR, EM ANDAMENTO, CONCLUÍDA, ATRASADA"</formula1>
    </dataValidation>
  </dataValidations>
  <hyperlinks>
    <hyperlink ref="B2" location="HOME!A1" display="&lt; HOME" xr:uid="{0D8F1FC8-0CC2-48B3-BC6B-EF672C55217F}"/>
  </hyperlink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5168C9-0A42-4948-AB55-4475484DA692}">
          <x14:formula1>
            <xm:f>'1.'!$C$6:$C$33</xm:f>
          </x14:formula1>
          <xm:sqref>B5:B13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148E-EB4A-4F4C-9877-8456391C480B}">
  <sheetPr codeName="Planilha6">
    <tabColor rgb="FFC00000"/>
  </sheetPr>
  <dimension ref="B2:C3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7">
        <f>'3.'!C6</f>
        <v>0</v>
      </c>
    </row>
    <row r="3" spans="2:3" x14ac:dyDescent="0.25">
      <c r="B3" s="4">
        <v>1</v>
      </c>
      <c r="C3" s="5"/>
    </row>
    <row r="4" spans="2:3" x14ac:dyDescent="0.25">
      <c r="B4" s="4"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 t="shared" si="0"/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</sheetData>
  <mergeCells count="1">
    <mergeCell ref="B33:C33"/>
  </mergeCells>
  <hyperlinks>
    <hyperlink ref="B2" location="'3.'!A1" display="&lt;&lt; VOLTAR À MATRIZ" xr:uid="{F274895E-6438-43EE-945E-2467E087F47F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70C1-2C81-40A1-9E55-0B465CF548B8}">
  <sheetPr codeName="Planilha7">
    <tabColor rgb="FFC00000"/>
  </sheetPr>
  <dimension ref="B2:C33"/>
  <sheetViews>
    <sheetView showGridLines="0" workbookViewId="0">
      <pane ySplit="2" topLeftCell="A3" activePane="bottomLeft" state="frozen"/>
      <selection activeCell="C16" sqref="C16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'3.'!C7</f>
        <v>0</v>
      </c>
    </row>
    <row r="3" spans="2:3" ht="15" customHeight="1" x14ac:dyDescent="0.25">
      <c r="B3" s="4">
        <v>1</v>
      </c>
      <c r="C3" s="5"/>
    </row>
    <row r="4" spans="2:3" ht="15" customHeight="1" x14ac:dyDescent="0.25">
      <c r="B4" s="4">
        <v>2</v>
      </c>
      <c r="C4" s="5"/>
    </row>
    <row r="5" spans="2:3" ht="15" customHeight="1" x14ac:dyDescent="0.25">
      <c r="B5" s="4">
        <f t="shared" ref="B5:B32" si="0">B4+1</f>
        <v>3</v>
      </c>
      <c r="C5" s="5"/>
    </row>
    <row r="6" spans="2:3" ht="15" customHeight="1" x14ac:dyDescent="0.25">
      <c r="B6" s="4">
        <f t="shared" si="0"/>
        <v>4</v>
      </c>
      <c r="C6" s="5"/>
    </row>
    <row r="7" spans="2:3" ht="15" customHeight="1" x14ac:dyDescent="0.25">
      <c r="B7" s="4">
        <f t="shared" si="0"/>
        <v>5</v>
      </c>
      <c r="C7" s="5"/>
    </row>
    <row r="8" spans="2:3" ht="15" customHeight="1" x14ac:dyDescent="0.25">
      <c r="B8" s="4">
        <f t="shared" si="0"/>
        <v>6</v>
      </c>
      <c r="C8" s="5"/>
    </row>
    <row r="9" spans="2:3" ht="15" customHeight="1" x14ac:dyDescent="0.25">
      <c r="B9" s="4">
        <f t="shared" si="0"/>
        <v>7</v>
      </c>
      <c r="C9" s="5"/>
    </row>
    <row r="10" spans="2:3" ht="15" customHeight="1" x14ac:dyDescent="0.25">
      <c r="B10" s="4">
        <f t="shared" si="0"/>
        <v>8</v>
      </c>
      <c r="C10" s="5"/>
    </row>
    <row r="11" spans="2:3" ht="15" customHeight="1" x14ac:dyDescent="0.25">
      <c r="B11" s="4">
        <f t="shared" si="0"/>
        <v>9</v>
      </c>
      <c r="C11" s="5"/>
    </row>
    <row r="12" spans="2:3" ht="15" customHeight="1" x14ac:dyDescent="0.25">
      <c r="B12" s="4">
        <f t="shared" si="0"/>
        <v>10</v>
      </c>
      <c r="C12" s="5"/>
    </row>
    <row r="13" spans="2:3" ht="15" customHeight="1" x14ac:dyDescent="0.25">
      <c r="B13" s="4">
        <f t="shared" si="0"/>
        <v>11</v>
      </c>
      <c r="C13" s="5"/>
    </row>
    <row r="14" spans="2:3" ht="15" customHeight="1" x14ac:dyDescent="0.25">
      <c r="B14" s="4">
        <f t="shared" si="0"/>
        <v>12</v>
      </c>
      <c r="C14" s="5"/>
    </row>
    <row r="15" spans="2:3" ht="15" customHeight="1" x14ac:dyDescent="0.25">
      <c r="B15" s="4">
        <f t="shared" si="0"/>
        <v>13</v>
      </c>
      <c r="C15" s="5"/>
    </row>
    <row r="16" spans="2:3" ht="15" customHeight="1" x14ac:dyDescent="0.25">
      <c r="B16" s="4">
        <f t="shared" si="0"/>
        <v>14</v>
      </c>
      <c r="C16" s="5"/>
    </row>
    <row r="17" spans="2:3" ht="15" customHeight="1" x14ac:dyDescent="0.25">
      <c r="B17" s="4">
        <f t="shared" si="0"/>
        <v>15</v>
      </c>
      <c r="C17" s="5"/>
    </row>
    <row r="18" spans="2:3" ht="15" customHeight="1" x14ac:dyDescent="0.25">
      <c r="B18" s="4">
        <f t="shared" si="0"/>
        <v>16</v>
      </c>
      <c r="C18" s="5"/>
    </row>
    <row r="19" spans="2:3" ht="15" customHeight="1" x14ac:dyDescent="0.25">
      <c r="B19" s="4">
        <f t="shared" si="0"/>
        <v>17</v>
      </c>
      <c r="C19" s="5"/>
    </row>
    <row r="20" spans="2:3" ht="15" customHeight="1" x14ac:dyDescent="0.25">
      <c r="B20" s="4">
        <f t="shared" si="0"/>
        <v>18</v>
      </c>
      <c r="C20" s="5"/>
    </row>
    <row r="21" spans="2:3" ht="15" customHeight="1" x14ac:dyDescent="0.25">
      <c r="B21" s="4">
        <f t="shared" si="0"/>
        <v>19</v>
      </c>
      <c r="C21" s="5"/>
    </row>
    <row r="22" spans="2:3" ht="15" customHeight="1" x14ac:dyDescent="0.25">
      <c r="B22" s="4">
        <f t="shared" si="0"/>
        <v>20</v>
      </c>
      <c r="C22" s="5"/>
    </row>
    <row r="23" spans="2:3" ht="15" customHeight="1" x14ac:dyDescent="0.25">
      <c r="B23" s="4">
        <f t="shared" si="0"/>
        <v>21</v>
      </c>
      <c r="C23" s="5"/>
    </row>
    <row r="24" spans="2:3" ht="15" customHeight="1" x14ac:dyDescent="0.25">
      <c r="B24" s="4">
        <f t="shared" si="0"/>
        <v>22</v>
      </c>
      <c r="C24" s="5"/>
    </row>
    <row r="25" spans="2:3" ht="15" customHeight="1" x14ac:dyDescent="0.25">
      <c r="B25" s="4">
        <f t="shared" si="0"/>
        <v>23</v>
      </c>
      <c r="C25" s="5"/>
    </row>
    <row r="26" spans="2:3" ht="15" customHeight="1" x14ac:dyDescent="0.25">
      <c r="B26" s="4">
        <f t="shared" si="0"/>
        <v>24</v>
      </c>
      <c r="C26" s="5"/>
    </row>
    <row r="27" spans="2:3" ht="15" customHeight="1" x14ac:dyDescent="0.25">
      <c r="B27" s="4">
        <f t="shared" si="0"/>
        <v>25</v>
      </c>
      <c r="C27" s="5"/>
    </row>
    <row r="28" spans="2:3" ht="15" customHeight="1" x14ac:dyDescent="0.25">
      <c r="B28" s="4">
        <f t="shared" si="0"/>
        <v>26</v>
      </c>
      <c r="C28" s="5"/>
    </row>
    <row r="29" spans="2:3" ht="15" customHeight="1" x14ac:dyDescent="0.25">
      <c r="B29" s="4">
        <f t="shared" si="0"/>
        <v>27</v>
      </c>
      <c r="C29" s="5"/>
    </row>
    <row r="30" spans="2:3" ht="15" customHeight="1" x14ac:dyDescent="0.25">
      <c r="B30" s="4">
        <f t="shared" si="0"/>
        <v>28</v>
      </c>
      <c r="C30" s="5"/>
    </row>
    <row r="31" spans="2:3" ht="15" customHeight="1" x14ac:dyDescent="0.25">
      <c r="B31" s="4">
        <f t="shared" si="0"/>
        <v>29</v>
      </c>
      <c r="C31" s="5"/>
    </row>
    <row r="32" spans="2:3" ht="15" customHeight="1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</sheetData>
  <mergeCells count="1">
    <mergeCell ref="B33:C33"/>
  </mergeCells>
  <hyperlinks>
    <hyperlink ref="B2" location="'3.'!A1" display="&lt;&lt; VOLTAR À MATRIZ" xr:uid="{95AD3A5A-72FE-49EC-9B60-7B49B03F61C3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2B3F-5108-46F8-BC26-9CAE027DABE1}">
  <sheetPr codeName="Planilha8">
    <tabColor rgb="FFC00000"/>
  </sheetPr>
  <dimension ref="B2:C45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'3.'!C8</f>
        <v>0</v>
      </c>
    </row>
    <row r="3" spans="2:3" x14ac:dyDescent="0.25">
      <c r="B3" s="4">
        <v>1</v>
      </c>
      <c r="C3" s="5"/>
    </row>
    <row r="4" spans="2:3" x14ac:dyDescent="0.25">
      <c r="B4" s="4"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 t="shared" si="0"/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12C4110C-5CA3-46D0-BE79-4DC8FB2B9A47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A1F0-7E95-47B7-8E97-C7D837DFDCAB}">
  <sheetPr codeName="Planilha9"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'3.'!C9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AA0B8F90-82F2-4664-9EB2-558BDECF119A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C14D-6274-4240-B9C1-3F8C03FCAE0B}">
  <sheetPr codeName="Planilha10">
    <tabColor rgb="FFC00000"/>
  </sheetPr>
  <dimension ref="B2:C47"/>
  <sheetViews>
    <sheetView showGridLines="0" workbookViewId="0">
      <pane ySplit="2" topLeftCell="A3" activePane="bottomLeft" state="frozen"/>
      <selection activeCell="C16" sqref="C16"/>
      <selection pane="bottomLeft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'3.'!C10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4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4">
        <f t="shared" si="0"/>
        <v>31</v>
      </c>
      <c r="C33" s="5"/>
    </row>
    <row r="34" spans="2:3" x14ac:dyDescent="0.25">
      <c r="B34" s="4">
        <f t="shared" si="0"/>
        <v>32</v>
      </c>
      <c r="C34" s="5"/>
    </row>
    <row r="35" spans="2:3" x14ac:dyDescent="0.25">
      <c r="B35" s="97" t="s">
        <v>4</v>
      </c>
      <c r="C35" s="98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x14ac:dyDescent="0.25">
      <c r="B45"/>
    </row>
    <row r="46" spans="2:3" x14ac:dyDescent="0.25">
      <c r="B46"/>
    </row>
    <row r="47" spans="2:3" ht="4.9000000000000004" customHeight="1" x14ac:dyDescent="0.25"/>
  </sheetData>
  <mergeCells count="1">
    <mergeCell ref="B35:C35"/>
  </mergeCells>
  <hyperlinks>
    <hyperlink ref="B2" location="'3.'!A1" display="&lt;&lt; VOLTAR À MATRIZ" xr:uid="{DF62BB1E-AE08-4B27-889D-E49D0243CD3A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15C8-9549-4FB4-889F-3C7E86EA0483}">
  <sheetPr codeName="Planilha11">
    <tabColor rgb="FFC00000"/>
  </sheetPr>
  <dimension ref="B2:C46"/>
  <sheetViews>
    <sheetView showGridLines="0" zoomScaleNormal="10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'3.'!C11</f>
        <v>0</v>
      </c>
    </row>
    <row r="3" spans="2:3" ht="15" customHeight="1" x14ac:dyDescent="0.25">
      <c r="B3" s="4">
        <v>1</v>
      </c>
      <c r="C3" s="5"/>
    </row>
    <row r="4" spans="2:3" ht="15" customHeight="1" x14ac:dyDescent="0.25">
      <c r="B4" s="4">
        <v>2</v>
      </c>
      <c r="C4" s="5"/>
    </row>
    <row r="5" spans="2:3" ht="15" customHeight="1" x14ac:dyDescent="0.25">
      <c r="B5" s="4">
        <f t="shared" ref="B5:B7" si="0">B4+1</f>
        <v>3</v>
      </c>
      <c r="C5" s="5"/>
    </row>
    <row r="6" spans="2:3" ht="15" customHeight="1" x14ac:dyDescent="0.25">
      <c r="B6" s="4">
        <f t="shared" si="0"/>
        <v>4</v>
      </c>
      <c r="C6" s="5"/>
    </row>
    <row r="7" spans="2:3" ht="15" customHeight="1" x14ac:dyDescent="0.25">
      <c r="B7" s="4">
        <f t="shared" si="0"/>
        <v>5</v>
      </c>
      <c r="C7" s="5"/>
    </row>
    <row r="8" spans="2:3" ht="15" customHeight="1" x14ac:dyDescent="0.25">
      <c r="B8" s="4">
        <v>5</v>
      </c>
      <c r="C8" s="5"/>
    </row>
    <row r="9" spans="2:3" ht="15" customHeight="1" x14ac:dyDescent="0.25">
      <c r="B9" s="4">
        <v>6</v>
      </c>
      <c r="C9" s="5"/>
    </row>
    <row r="10" spans="2:3" ht="15" customHeight="1" x14ac:dyDescent="0.25">
      <c r="B10" s="4">
        <v>7</v>
      </c>
      <c r="C10" s="5"/>
    </row>
    <row r="11" spans="2:3" ht="15" customHeight="1" x14ac:dyDescent="0.25">
      <c r="B11" s="4">
        <v>8</v>
      </c>
      <c r="C11" s="5"/>
    </row>
    <row r="12" spans="2:3" ht="15" customHeight="1" x14ac:dyDescent="0.25">
      <c r="B12" s="4">
        <v>9</v>
      </c>
      <c r="C12" s="5"/>
    </row>
    <row r="13" spans="2:3" ht="15" customHeight="1" x14ac:dyDescent="0.25">
      <c r="B13" s="4">
        <v>10</v>
      </c>
      <c r="C13" s="5"/>
    </row>
    <row r="14" spans="2:3" ht="15" customHeight="1" x14ac:dyDescent="0.25">
      <c r="B14" s="4">
        <v>11</v>
      </c>
      <c r="C14" s="5"/>
    </row>
    <row r="15" spans="2:3" ht="15" customHeight="1" x14ac:dyDescent="0.25">
      <c r="B15" s="4">
        <v>12</v>
      </c>
      <c r="C15" s="5"/>
    </row>
    <row r="16" spans="2:3" ht="15" customHeight="1" x14ac:dyDescent="0.25">
      <c r="B16" s="4">
        <v>13</v>
      </c>
      <c r="C16" s="5"/>
    </row>
    <row r="17" spans="2:3" ht="15" customHeight="1" x14ac:dyDescent="0.25">
      <c r="B17" s="4">
        <v>14</v>
      </c>
      <c r="C17" s="5"/>
    </row>
    <row r="18" spans="2:3" ht="15" customHeight="1" x14ac:dyDescent="0.25">
      <c r="B18" s="4">
        <v>15</v>
      </c>
      <c r="C18" s="5"/>
    </row>
    <row r="19" spans="2:3" ht="15" customHeight="1" x14ac:dyDescent="0.25">
      <c r="B19" s="4">
        <v>16</v>
      </c>
      <c r="C19" s="5"/>
    </row>
    <row r="20" spans="2:3" ht="15" customHeight="1" x14ac:dyDescent="0.25">
      <c r="B20" s="4">
        <v>17</v>
      </c>
      <c r="C20" s="5"/>
    </row>
    <row r="21" spans="2:3" ht="15" customHeight="1" x14ac:dyDescent="0.25">
      <c r="B21" s="4">
        <v>18</v>
      </c>
      <c r="C21" s="5"/>
    </row>
    <row r="22" spans="2:3" ht="15" customHeight="1" x14ac:dyDescent="0.25">
      <c r="B22" s="4">
        <v>19</v>
      </c>
      <c r="C22" s="5"/>
    </row>
    <row r="23" spans="2:3" ht="15" customHeight="1" x14ac:dyDescent="0.25">
      <c r="B23" s="4">
        <v>20</v>
      </c>
      <c r="C23" s="5"/>
    </row>
    <row r="24" spans="2:3" ht="15" customHeight="1" x14ac:dyDescent="0.25">
      <c r="B24" s="4">
        <v>21</v>
      </c>
      <c r="C24" s="5"/>
    </row>
    <row r="25" spans="2:3" ht="15" customHeight="1" x14ac:dyDescent="0.25">
      <c r="B25" s="4">
        <v>22</v>
      </c>
      <c r="C25" s="5"/>
    </row>
    <row r="26" spans="2:3" ht="15" customHeight="1" x14ac:dyDescent="0.25">
      <c r="B26" s="4">
        <v>23</v>
      </c>
      <c r="C26" s="5"/>
    </row>
    <row r="27" spans="2:3" ht="15" customHeight="1" x14ac:dyDescent="0.25">
      <c r="B27" s="4">
        <v>24</v>
      </c>
      <c r="C27" s="5"/>
    </row>
    <row r="28" spans="2:3" ht="15" customHeight="1" x14ac:dyDescent="0.25">
      <c r="B28" s="4">
        <v>25</v>
      </c>
      <c r="C28" s="5"/>
    </row>
    <row r="29" spans="2:3" ht="15" customHeight="1" x14ac:dyDescent="0.25">
      <c r="B29" s="4">
        <v>26</v>
      </c>
      <c r="C29" s="5"/>
    </row>
    <row r="30" spans="2:3" ht="15" customHeight="1" x14ac:dyDescent="0.25">
      <c r="B30" s="4">
        <v>27</v>
      </c>
      <c r="C30" s="5"/>
    </row>
    <row r="31" spans="2:3" ht="15" customHeight="1" x14ac:dyDescent="0.25">
      <c r="B31" s="4">
        <v>28</v>
      </c>
      <c r="C31" s="5"/>
    </row>
    <row r="32" spans="2:3" ht="15" customHeight="1" x14ac:dyDescent="0.25">
      <c r="B32" s="4">
        <v>29</v>
      </c>
      <c r="C32" s="5"/>
    </row>
    <row r="33" spans="2:3" ht="15" customHeight="1" x14ac:dyDescent="0.25">
      <c r="B33" s="4">
        <v>30</v>
      </c>
      <c r="C33" s="5"/>
    </row>
    <row r="34" spans="2:3" x14ac:dyDescent="0.25">
      <c r="B34" s="97" t="s">
        <v>4</v>
      </c>
      <c r="C34" s="98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x14ac:dyDescent="0.25">
      <c r="B45"/>
    </row>
    <row r="46" spans="2:3" ht="4.9000000000000004" customHeight="1" x14ac:dyDescent="0.25"/>
  </sheetData>
  <mergeCells count="1">
    <mergeCell ref="B34:C34"/>
  </mergeCells>
  <hyperlinks>
    <hyperlink ref="B2" location="'3.'!A1" display="&lt;&lt; VOLTAR À MATRIZ" xr:uid="{A2FA9556-C51F-4D79-AF40-CFB9F9A1CE2E}"/>
  </hyperlinks>
  <printOptions horizontalCentered="1"/>
  <pageMargins left="0.51181102362204722" right="0.51181102362204722" top="0.39370078740157483" bottom="0.39370078740157483" header="0.31496062992125984" footer="0.31496062992125984"/>
  <pageSetup paperSize="9" scale="64" orientation="landscape" r:id="rId1"/>
  <rowBreaks count="2" manualBreakCount="2">
    <brk id="21" max="16383" man="1"/>
    <brk id="3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4D8F-D6BC-4F63-8084-DCC988F30702}">
  <sheetPr codeName="Planilha12">
    <tabColor rgb="FFC00000"/>
  </sheetPr>
  <dimension ref="B2:C46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3">
        <f>'3.'!C12</f>
        <v>0</v>
      </c>
    </row>
    <row r="3" spans="2:3" x14ac:dyDescent="0.25">
      <c r="B3" s="4">
        <v>1</v>
      </c>
      <c r="C3" s="5"/>
    </row>
    <row r="4" spans="2:3" x14ac:dyDescent="0.25">
      <c r="B4" s="4">
        <v>2</v>
      </c>
      <c r="C4" s="5"/>
    </row>
    <row r="5" spans="2:3" x14ac:dyDescent="0.25">
      <c r="B5" s="4">
        <f t="shared" ref="B5:B7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v>5</v>
      </c>
      <c r="C8" s="5"/>
    </row>
    <row r="9" spans="2:3" x14ac:dyDescent="0.25">
      <c r="B9" s="4">
        <v>6</v>
      </c>
      <c r="C9" s="5"/>
    </row>
    <row r="10" spans="2:3" x14ac:dyDescent="0.25">
      <c r="B10" s="4">
        <v>7</v>
      </c>
      <c r="C10" s="5"/>
    </row>
    <row r="11" spans="2:3" x14ac:dyDescent="0.25">
      <c r="B11" s="4">
        <v>8</v>
      </c>
      <c r="C11" s="5"/>
    </row>
    <row r="12" spans="2:3" x14ac:dyDescent="0.25">
      <c r="B12" s="4">
        <v>9</v>
      </c>
      <c r="C12" s="5"/>
    </row>
    <row r="13" spans="2:3" x14ac:dyDescent="0.25">
      <c r="B13" s="4">
        <v>10</v>
      </c>
      <c r="C13" s="5"/>
    </row>
    <row r="14" spans="2:3" x14ac:dyDescent="0.25">
      <c r="B14" s="4">
        <v>11</v>
      </c>
      <c r="C14" s="5"/>
    </row>
    <row r="15" spans="2:3" x14ac:dyDescent="0.25">
      <c r="B15" s="4">
        <v>12</v>
      </c>
      <c r="C15" s="5"/>
    </row>
    <row r="16" spans="2:3" x14ac:dyDescent="0.25">
      <c r="B16" s="4">
        <v>13</v>
      </c>
      <c r="C16" s="5"/>
    </row>
    <row r="17" spans="2:3" x14ac:dyDescent="0.25">
      <c r="B17" s="4">
        <v>14</v>
      </c>
      <c r="C17" s="5"/>
    </row>
    <row r="18" spans="2:3" x14ac:dyDescent="0.25">
      <c r="B18" s="4">
        <v>15</v>
      </c>
      <c r="C18" s="5"/>
    </row>
    <row r="19" spans="2:3" x14ac:dyDescent="0.25">
      <c r="B19" s="4">
        <v>16</v>
      </c>
      <c r="C19" s="5"/>
    </row>
    <row r="20" spans="2:3" x14ac:dyDescent="0.25">
      <c r="B20" s="4">
        <v>17</v>
      </c>
      <c r="C20" s="5"/>
    </row>
    <row r="21" spans="2:3" x14ac:dyDescent="0.25">
      <c r="B21" s="4">
        <v>18</v>
      </c>
      <c r="C21" s="5"/>
    </row>
    <row r="22" spans="2:3" x14ac:dyDescent="0.25">
      <c r="B22" s="4">
        <v>19</v>
      </c>
      <c r="C22" s="5"/>
    </row>
    <row r="23" spans="2:3" x14ac:dyDescent="0.25">
      <c r="B23" s="4">
        <v>20</v>
      </c>
      <c r="C23" s="5"/>
    </row>
    <row r="24" spans="2:3" x14ac:dyDescent="0.25">
      <c r="B24" s="4">
        <v>21</v>
      </c>
      <c r="C24" s="5"/>
    </row>
    <row r="25" spans="2:3" x14ac:dyDescent="0.25">
      <c r="B25" s="4">
        <v>22</v>
      </c>
      <c r="C25" s="5"/>
    </row>
    <row r="26" spans="2:3" x14ac:dyDescent="0.25">
      <c r="B26" s="4">
        <v>23</v>
      </c>
      <c r="C26" s="5"/>
    </row>
    <row r="27" spans="2:3" x14ac:dyDescent="0.25">
      <c r="B27" s="4">
        <v>24</v>
      </c>
      <c r="C27" s="5"/>
    </row>
    <row r="28" spans="2:3" x14ac:dyDescent="0.25">
      <c r="B28" s="4">
        <v>25</v>
      </c>
      <c r="C28" s="5"/>
    </row>
    <row r="29" spans="2:3" x14ac:dyDescent="0.25">
      <c r="B29" s="4">
        <v>26</v>
      </c>
      <c r="C29" s="5"/>
    </row>
    <row r="30" spans="2:3" x14ac:dyDescent="0.25">
      <c r="B30" s="4">
        <v>27</v>
      </c>
      <c r="C30" s="5"/>
    </row>
    <row r="31" spans="2:3" x14ac:dyDescent="0.25">
      <c r="B31" s="4">
        <v>28</v>
      </c>
      <c r="C31" s="5"/>
    </row>
    <row r="32" spans="2:3" x14ac:dyDescent="0.25">
      <c r="B32" s="4">
        <v>29</v>
      </c>
      <c r="C32" s="5"/>
    </row>
    <row r="33" spans="2:3" x14ac:dyDescent="0.25">
      <c r="B33" s="4">
        <v>30</v>
      </c>
      <c r="C33" s="5"/>
    </row>
    <row r="34" spans="2:3" x14ac:dyDescent="0.25">
      <c r="B34" s="97" t="s">
        <v>4</v>
      </c>
      <c r="C34" s="98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x14ac:dyDescent="0.25">
      <c r="B45"/>
    </row>
    <row r="46" spans="2:3" ht="4.9000000000000004" customHeight="1" x14ac:dyDescent="0.25"/>
  </sheetData>
  <mergeCells count="1">
    <mergeCell ref="B34:C34"/>
  </mergeCells>
  <hyperlinks>
    <hyperlink ref="B2" location="'3.'!A1" display="&lt;&lt; VOLTAR À MATRIZ" xr:uid="{10B7CCD4-642D-42CF-8FFD-18EAD6422E37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D380-0597-4387-9443-BF3FE93193BE}">
  <sheetPr codeName="Planilha13">
    <tabColor rgb="FFC00000"/>
  </sheetPr>
  <dimension ref="B2:C45"/>
  <sheetViews>
    <sheetView showGridLines="0" workbookViewId="0">
      <pane ySplit="2" topLeftCell="A3" activePane="bottomLeft" state="frozen"/>
      <selection activeCell="B2" sqref="B2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'3.'!C13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CAE41095-8C90-40FA-AC8E-24CE0FA55614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AFCA-D556-4007-9A36-9F24686BDF10}">
  <sheetPr codeName="Planilha14"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'3.'!C14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BF89F101-500A-4BA9-B603-38239D2FBB3D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4AC9-9412-4965-83F9-AD2254254352}">
  <sheetPr codeName="Planilha15"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F8A02E8A-DE39-4F06-9CE2-DEBE2F052E64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C3EE-2D07-42EA-9EB7-20807D106E76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326C200A-4F37-49D6-A49C-AA65A2C394A1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955B-496D-4B14-8768-41CA3C08F39A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8BB0D64D-FEEC-4017-A872-74F92BADA34E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71D7-FA21-45DB-BE08-A3BEB0F6BFB3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D381A205-7585-4706-A54E-A6958A63E0A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E2E5-CF50-4A82-B4C3-740D63519A09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4F3C2E8C-82F1-4A03-970B-D1FF250AB553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4E03-F486-41C4-AE6F-2096190B3A77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2AD3B2EB-4779-494D-B263-002E384E0AC9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6DA8-B3B4-4993-B6C1-CBC0531B14BB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49DA11E4-90FC-4FCC-ADDA-1C46CD6BCD84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3770-DFE8-4A2C-87FC-9073E9D9475F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96CBED21-D489-48E7-AC14-218D90AE52B8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1830-CFE7-4CC4-9741-DD4E7780419B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63932B3E-5303-4E25-B2B6-4884E0EBA896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E262-B11A-42C8-841F-E90958EB2445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05D97AC8-3A59-4537-AD0F-4B8E97997DE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C096-809A-43D7-B268-DD092272E0EF}">
  <sheetPr>
    <tabColor rgb="FFC00000"/>
  </sheetPr>
  <dimension ref="B2:C45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2" max="2" width="10.5703125" style="2" customWidth="1"/>
    <col min="3" max="3" width="87.7109375" customWidth="1"/>
    <col min="5" max="5" width="34" bestFit="1" customWidth="1"/>
  </cols>
  <sheetData>
    <row r="2" spans="2:3" ht="25.5" x14ac:dyDescent="0.25">
      <c r="B2" s="68" t="s">
        <v>27</v>
      </c>
      <c r="C2" s="6">
        <f>'3.'!C15</f>
        <v>0</v>
      </c>
    </row>
    <row r="3" spans="2:3" x14ac:dyDescent="0.25">
      <c r="B3" s="4">
        <v>1</v>
      </c>
      <c r="C3" s="5"/>
    </row>
    <row r="4" spans="2:3" x14ac:dyDescent="0.25">
      <c r="B4" s="4">
        <f>B3+1</f>
        <v>2</v>
      </c>
      <c r="C4" s="5"/>
    </row>
    <row r="5" spans="2:3" x14ac:dyDescent="0.25">
      <c r="B5" s="4">
        <f t="shared" ref="B5:B32" si="0">B4+1</f>
        <v>3</v>
      </c>
      <c r="C5" s="5"/>
    </row>
    <row r="6" spans="2:3" x14ac:dyDescent="0.25">
      <c r="B6" s="4">
        <f t="shared" si="0"/>
        <v>4</v>
      </c>
      <c r="C6" s="5"/>
    </row>
    <row r="7" spans="2:3" x14ac:dyDescent="0.25">
      <c r="B7" s="4">
        <f t="shared" si="0"/>
        <v>5</v>
      </c>
      <c r="C7" s="5"/>
    </row>
    <row r="8" spans="2:3" x14ac:dyDescent="0.25">
      <c r="B8" s="4">
        <f t="shared" si="0"/>
        <v>6</v>
      </c>
      <c r="C8" s="5"/>
    </row>
    <row r="9" spans="2:3" x14ac:dyDescent="0.25">
      <c r="B9" s="4">
        <f t="shared" si="0"/>
        <v>7</v>
      </c>
      <c r="C9" s="5"/>
    </row>
    <row r="10" spans="2:3" x14ac:dyDescent="0.25">
      <c r="B10" s="4">
        <f t="shared" si="0"/>
        <v>8</v>
      </c>
      <c r="C10" s="5"/>
    </row>
    <row r="11" spans="2:3" x14ac:dyDescent="0.25">
      <c r="B11" s="4">
        <f>B10+1</f>
        <v>9</v>
      </c>
      <c r="C11" s="5"/>
    </row>
    <row r="12" spans="2:3" x14ac:dyDescent="0.25">
      <c r="B12" s="4">
        <f t="shared" si="0"/>
        <v>10</v>
      </c>
      <c r="C12" s="5"/>
    </row>
    <row r="13" spans="2:3" x14ac:dyDescent="0.25">
      <c r="B13" s="4">
        <f t="shared" si="0"/>
        <v>11</v>
      </c>
      <c r="C13" s="5"/>
    </row>
    <row r="14" spans="2:3" x14ac:dyDescent="0.25">
      <c r="B14" s="4">
        <f t="shared" si="0"/>
        <v>12</v>
      </c>
      <c r="C14" s="5"/>
    </row>
    <row r="15" spans="2:3" x14ac:dyDescent="0.25">
      <c r="B15" s="4">
        <f t="shared" si="0"/>
        <v>13</v>
      </c>
      <c r="C15" s="5"/>
    </row>
    <row r="16" spans="2:3" x14ac:dyDescent="0.25">
      <c r="B16" s="4">
        <f t="shared" si="0"/>
        <v>14</v>
      </c>
      <c r="C16" s="5"/>
    </row>
    <row r="17" spans="2:3" x14ac:dyDescent="0.25">
      <c r="B17" s="4">
        <f t="shared" si="0"/>
        <v>15</v>
      </c>
      <c r="C17" s="5"/>
    </row>
    <row r="18" spans="2:3" x14ac:dyDescent="0.25">
      <c r="B18" s="4">
        <f t="shared" si="0"/>
        <v>16</v>
      </c>
      <c r="C18" s="5"/>
    </row>
    <row r="19" spans="2:3" x14ac:dyDescent="0.25">
      <c r="B19" s="4">
        <f t="shared" si="0"/>
        <v>17</v>
      </c>
      <c r="C19" s="5"/>
    </row>
    <row r="20" spans="2:3" x14ac:dyDescent="0.25">
      <c r="B20" s="4">
        <f t="shared" si="0"/>
        <v>18</v>
      </c>
      <c r="C20" s="5"/>
    </row>
    <row r="21" spans="2:3" x14ac:dyDescent="0.25">
      <c r="B21" s="4">
        <f t="shared" si="0"/>
        <v>19</v>
      </c>
      <c r="C21" s="5"/>
    </row>
    <row r="22" spans="2:3" x14ac:dyDescent="0.25">
      <c r="B22" s="4">
        <f t="shared" si="0"/>
        <v>20</v>
      </c>
      <c r="C22" s="5"/>
    </row>
    <row r="23" spans="2:3" x14ac:dyDescent="0.25">
      <c r="B23" s="4">
        <f t="shared" si="0"/>
        <v>21</v>
      </c>
      <c r="C23" s="5"/>
    </row>
    <row r="24" spans="2:3" x14ac:dyDescent="0.25">
      <c r="B24" s="4">
        <f t="shared" si="0"/>
        <v>22</v>
      </c>
      <c r="C24" s="5"/>
    </row>
    <row r="25" spans="2:3" x14ac:dyDescent="0.25">
      <c r="B25" s="4">
        <f t="shared" si="0"/>
        <v>23</v>
      </c>
      <c r="C25" s="5"/>
    </row>
    <row r="26" spans="2:3" x14ac:dyDescent="0.25">
      <c r="B26" s="4">
        <f t="shared" si="0"/>
        <v>24</v>
      </c>
      <c r="C26" s="5"/>
    </row>
    <row r="27" spans="2:3" x14ac:dyDescent="0.25">
      <c r="B27" s="4">
        <f t="shared" si="0"/>
        <v>25</v>
      </c>
      <c r="C27" s="5"/>
    </row>
    <row r="28" spans="2:3" x14ac:dyDescent="0.25">
      <c r="B28" s="4">
        <f t="shared" si="0"/>
        <v>26</v>
      </c>
      <c r="C28" s="5"/>
    </row>
    <row r="29" spans="2:3" x14ac:dyDescent="0.25">
      <c r="B29" s="4">
        <f t="shared" si="0"/>
        <v>27</v>
      </c>
      <c r="C29" s="5"/>
    </row>
    <row r="30" spans="2:3" x14ac:dyDescent="0.25">
      <c r="B30" s="4">
        <f t="shared" si="0"/>
        <v>28</v>
      </c>
      <c r="C30" s="5"/>
    </row>
    <row r="31" spans="2:3" x14ac:dyDescent="0.25">
      <c r="B31" s="4">
        <f t="shared" si="0"/>
        <v>29</v>
      </c>
      <c r="C31" s="5"/>
    </row>
    <row r="32" spans="2:3" x14ac:dyDescent="0.25">
      <c r="B32" s="4">
        <f t="shared" si="0"/>
        <v>30</v>
      </c>
      <c r="C32" s="5"/>
    </row>
    <row r="33" spans="2:3" x14ac:dyDescent="0.25">
      <c r="B33" s="97" t="s">
        <v>4</v>
      </c>
      <c r="C33" s="98"/>
    </row>
    <row r="34" spans="2:3" x14ac:dyDescent="0.25">
      <c r="B34"/>
    </row>
    <row r="35" spans="2:3" x14ac:dyDescent="0.25">
      <c r="B35"/>
    </row>
    <row r="36" spans="2:3" x14ac:dyDescent="0.25">
      <c r="B36"/>
    </row>
    <row r="37" spans="2:3" x14ac:dyDescent="0.25">
      <c r="B37"/>
    </row>
    <row r="38" spans="2:3" x14ac:dyDescent="0.25">
      <c r="B38"/>
    </row>
    <row r="39" spans="2:3" x14ac:dyDescent="0.25">
      <c r="B39"/>
    </row>
    <row r="40" spans="2:3" x14ac:dyDescent="0.25">
      <c r="B40"/>
    </row>
    <row r="41" spans="2:3" x14ac:dyDescent="0.25">
      <c r="B41"/>
    </row>
    <row r="42" spans="2:3" x14ac:dyDescent="0.25">
      <c r="B42"/>
    </row>
    <row r="43" spans="2:3" x14ac:dyDescent="0.25">
      <c r="B43"/>
    </row>
    <row r="44" spans="2:3" x14ac:dyDescent="0.25">
      <c r="B44"/>
    </row>
    <row r="45" spans="2:3" ht="4.9000000000000004" customHeight="1" x14ac:dyDescent="0.25"/>
  </sheetData>
  <mergeCells count="1">
    <mergeCell ref="B33:C33"/>
  </mergeCells>
  <hyperlinks>
    <hyperlink ref="B2" location="'3.'!A1" display="&lt;&lt; VOLTAR À MATRIZ" xr:uid="{043AD6F9-1EE1-4648-8A80-F2A55285E268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HOME</vt:lpstr>
      <vt:lpstr>1.</vt:lpstr>
      <vt:lpstr>2.</vt:lpstr>
      <vt:lpstr>3.</vt:lpstr>
      <vt:lpstr>4.</vt:lpstr>
      <vt:lpstr>5.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GaBrIeL Mazetto</cp:lastModifiedBy>
  <cp:lastPrinted>2025-04-16T13:08:48Z</cp:lastPrinted>
  <dcterms:created xsi:type="dcterms:W3CDTF">2025-04-03T13:26:59Z</dcterms:created>
  <dcterms:modified xsi:type="dcterms:W3CDTF">2025-08-05T20:18:20Z</dcterms:modified>
</cp:coreProperties>
</file>