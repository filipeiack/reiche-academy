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danie\Downloads\"/>
    </mc:Choice>
  </mc:AlternateContent>
  <xr:revisionPtr revIDLastSave="0" documentId="13_ncr:1_{677FA1B3-128C-40B0-8438-219D769199DF}" xr6:coauthVersionLast="47" xr6:coauthVersionMax="47" xr10:uidLastSave="{00000000-0000-0000-0000-000000000000}"/>
  <bookViews>
    <workbookView xWindow="-110" yWindow="-110" windowWidth="19420" windowHeight="10300" tabRatio="840" activeTab="1" xr2:uid="{00000000-000D-0000-FFFF-FFFF00000000}"/>
  </bookViews>
  <sheets>
    <sheet name="TEMPOS" sheetId="38" r:id="rId1"/>
    <sheet name="PAINEL" sheetId="8" r:id="rId2"/>
    <sheet name="0.1" sheetId="1" r:id="rId3"/>
    <sheet name="0.2" sheetId="7" r:id="rId4"/>
    <sheet name="0.3" sheetId="6" r:id="rId5"/>
    <sheet name="0.4" sheetId="4" r:id="rId6"/>
    <sheet name="0.5" sheetId="3" r:id="rId7"/>
    <sheet name="1.1" sheetId="9" r:id="rId8"/>
    <sheet name="1.2" sheetId="41" r:id="rId9"/>
    <sheet name="1.3" sheetId="15" r:id="rId10"/>
    <sheet name="1.5" sheetId="16" r:id="rId11"/>
    <sheet name="1.6" sheetId="22" r:id="rId12"/>
    <sheet name="1.7" sheetId="20" r:id="rId13"/>
    <sheet name="1.8" sheetId="36" r:id="rId14"/>
    <sheet name="2.1" sheetId="13" r:id="rId15"/>
    <sheet name="2.2" sheetId="14" r:id="rId16"/>
    <sheet name="2.3" sheetId="17" r:id="rId17"/>
    <sheet name="2.4" sheetId="33" r:id="rId18"/>
    <sheet name="3.1" sheetId="39" r:id="rId19"/>
    <sheet name="3.2" sheetId="18" r:id="rId20"/>
    <sheet name="3.3" sheetId="32" r:id="rId21"/>
    <sheet name="3.4" sheetId="25" r:id="rId22"/>
    <sheet name="3.5" sheetId="24" r:id="rId23"/>
    <sheet name="4.1" sheetId="28" r:id="rId24"/>
    <sheet name="4.2" sheetId="12" r:id="rId25"/>
    <sheet name="4.3" sheetId="31" r:id="rId26"/>
    <sheet name="4.4" sheetId="27" r:id="rId27"/>
    <sheet name="4.5" sheetId="29" r:id="rId28"/>
    <sheet name="4.6" sheetId="21" r:id="rId29"/>
    <sheet name="4.7" sheetId="26" r:id="rId30"/>
    <sheet name="5.1" sheetId="34" r:id="rId31"/>
    <sheet name="5.2" sheetId="35" r:id="rId32"/>
    <sheet name="5.3" sheetId="37" r:id="rId33"/>
  </sheets>
  <externalReferences>
    <externalReference r:id="rId34"/>
    <externalReference r:id="rId35"/>
    <externalReference r:id="rId36"/>
    <externalReference r:id="rId37"/>
    <externalReference r:id="rId38"/>
    <externalReference r:id="rId39"/>
    <externalReference r:id="rId40"/>
  </externalReferences>
  <definedNames>
    <definedName name="______KEY2" localSheetId="3" hidden="1">[1]COMPPROD!#REF!</definedName>
    <definedName name="______KEY2" localSheetId="5" hidden="1">[1]COMPPROD!#REF!</definedName>
    <definedName name="______KEY2" localSheetId="6" hidden="1">[1]COMPPROD!#REF!</definedName>
    <definedName name="______KEY2" localSheetId="7" hidden="1">[1]COMPPROD!#REF!</definedName>
    <definedName name="______KEY2" localSheetId="9" hidden="1">[1]COMPPROD!#REF!</definedName>
    <definedName name="______KEY2" localSheetId="10" hidden="1">[1]COMPPROD!#REF!</definedName>
    <definedName name="______KEY2" localSheetId="11" hidden="1">[1]COMPPROD!#REF!</definedName>
    <definedName name="______KEY2" localSheetId="12" hidden="1">[1]COMPPROD!#REF!</definedName>
    <definedName name="______KEY2" localSheetId="13" hidden="1">[1]COMPPROD!#REF!</definedName>
    <definedName name="______KEY2" localSheetId="14" hidden="1">[1]COMPPROD!#REF!</definedName>
    <definedName name="______KEY2" localSheetId="15" hidden="1">[1]COMPPROD!#REF!</definedName>
    <definedName name="______KEY2" localSheetId="20" hidden="1">[1]COMPPROD!#REF!</definedName>
    <definedName name="______KEY2" localSheetId="21" hidden="1">[1]COMPPROD!#REF!</definedName>
    <definedName name="______KEY2" localSheetId="22" hidden="1">[1]COMPPROD!#REF!</definedName>
    <definedName name="______KEY2" localSheetId="23" hidden="1">[1]COMPPROD!#REF!</definedName>
    <definedName name="______KEY2" localSheetId="24" hidden="1">[1]COMPPROD!#REF!</definedName>
    <definedName name="______KEY2" localSheetId="25" hidden="1">[1]COMPPROD!#REF!</definedName>
    <definedName name="______KEY2" localSheetId="26" hidden="1">[1]COMPPROD!#REF!</definedName>
    <definedName name="______KEY2" localSheetId="27" hidden="1">[1]COMPPROD!#REF!</definedName>
    <definedName name="______KEY2" localSheetId="28" hidden="1">[1]COMPPROD!#REF!</definedName>
    <definedName name="______KEY2" localSheetId="29" hidden="1">[1]COMPPROD!#REF!</definedName>
    <definedName name="______KEY2" localSheetId="30" hidden="1">[1]COMPPROD!#REF!</definedName>
    <definedName name="______KEY2" localSheetId="31" hidden="1">[1]COMPPROD!#REF!</definedName>
    <definedName name="______KEY2" hidden="1">[1]COMPPROD!#REF!</definedName>
    <definedName name="_____KEY2" localSheetId="5" hidden="1">[1]COMPPROD!#REF!</definedName>
    <definedName name="_____KEY2" localSheetId="6" hidden="1">[1]COMPPROD!#REF!</definedName>
    <definedName name="_____KEY2" localSheetId="9" hidden="1">[1]COMPPROD!#REF!</definedName>
    <definedName name="_____KEY2" localSheetId="10" hidden="1">[1]COMPPROD!#REF!</definedName>
    <definedName name="_____KEY2" localSheetId="11" hidden="1">[1]COMPPROD!#REF!</definedName>
    <definedName name="_____KEY2" localSheetId="12" hidden="1">[1]COMPPROD!#REF!</definedName>
    <definedName name="_____KEY2" localSheetId="13" hidden="1">[1]COMPPROD!#REF!</definedName>
    <definedName name="_____KEY2" localSheetId="22" hidden="1">[1]COMPPROD!#REF!</definedName>
    <definedName name="_____KEY2" localSheetId="23" hidden="1">[1]COMPPROD!#REF!</definedName>
    <definedName name="_____KEY2" localSheetId="25" hidden="1">[1]COMPPROD!#REF!</definedName>
    <definedName name="_____KEY2" localSheetId="26" hidden="1">[1]COMPPROD!#REF!</definedName>
    <definedName name="_____KEY2" localSheetId="27" hidden="1">[1]COMPPROD!#REF!</definedName>
    <definedName name="_____KEY2" localSheetId="28" hidden="1">[1]COMPPROD!#REF!</definedName>
    <definedName name="_____KEY2" hidden="1">[1]COMPPROD!#REF!</definedName>
    <definedName name="___KEY2" localSheetId="6" hidden="1">[1]COMPPROD!#REF!</definedName>
    <definedName name="___KEY2" localSheetId="9" hidden="1">[1]COMPPROD!#REF!</definedName>
    <definedName name="___KEY2" localSheetId="10" hidden="1">[1]COMPPROD!#REF!</definedName>
    <definedName name="___KEY2" localSheetId="11" hidden="1">[1]COMPPROD!#REF!</definedName>
    <definedName name="___KEY2" localSheetId="12" hidden="1">[1]COMPPROD!#REF!</definedName>
    <definedName name="___KEY2" localSheetId="13" hidden="1">[1]COMPPROD!#REF!</definedName>
    <definedName name="___KEY2" localSheetId="22" hidden="1">[1]COMPPROD!#REF!</definedName>
    <definedName name="___KEY2" localSheetId="23" hidden="1">[1]COMPPROD!#REF!</definedName>
    <definedName name="___KEY2" localSheetId="25" hidden="1">[1]COMPPROD!#REF!</definedName>
    <definedName name="___KEY2" localSheetId="26" hidden="1">[1]COMPPROD!#REF!</definedName>
    <definedName name="___KEY2" localSheetId="27" hidden="1">[1]COMPPROD!#REF!</definedName>
    <definedName name="___KEY2" localSheetId="28" hidden="1">[1]COMPPROD!#REF!</definedName>
    <definedName name="___KEY2" hidden="1">[1]COMPPROD!#REF!</definedName>
    <definedName name="___thinkcellWUMAAAAAAAAAAAAA7Bc7ZHo6d0e5LJFBo3Hg9g" hidden="1">[2]Link!$A$20:$C$23</definedName>
    <definedName name="___thinkcellWUMAAAAAAAAAAAAAKKRynGzK50G1rFxZa_HDxA" hidden="1">[2]Link!$A$38:$D$45</definedName>
    <definedName name="___thinkcellWUMAAAAAAAACAAAAegWaRZ6Vo0CKr.kcUzmglA" hidden="1">[2]Link!$A$12:$C$15</definedName>
    <definedName name="___thinkcellWUMAAAAAAAADAAAA3noVFmgFpUGVRRVKeaEs5w" hidden="1">[2]Link!$A$47:$B$48</definedName>
    <definedName name="___thinkcellWUMAAAAAAAAEAAAAr5ktaG6.40Wx2AzkgkL_zg" hidden="1">[2]Link!$A$27:$G$33</definedName>
    <definedName name="___thinkcellWUMAAAEAAAAAAAAA3TTb3XQgTEmiRjIURXRuew" hidden="1">[2]Link!$A$2:$D$5</definedName>
    <definedName name="___thinkcellWUMAAAEAAAAAAAAA656ESEq_lEu6K35KDqB5MQ" hidden="1">[2]Link!$A$51:$B$54</definedName>
    <definedName name="___thinkcellWUMAAAEAAAAAAAAAHioTx9KWm0KPZOjXlIyOnA" hidden="1">[2]Link!$A$61:$B$64</definedName>
    <definedName name="___thinkcellWUMAAAEAAAAAAAAAnt_BkBjK8EC8NnYJV4n.Yg" hidden="1">[2]Link!$A$56:$B$59</definedName>
    <definedName name="___thinkcellWUMAAAEAAAACAAAAD0gF2f.tiU69n5bpFCvCaA" hidden="1">[2]Link!$A$51:$B$54</definedName>
    <definedName name="___thinkcellWUMAAAEAAAACAAAAOFPmKCo_7km37ujhJRhMTw" hidden="1">[2]Link!$A$56:$B$59</definedName>
    <definedName name="__KEY2" localSheetId="5" hidden="1">[1]COMPPROD!#REF!</definedName>
    <definedName name="__KEY2" localSheetId="6" hidden="1">[1]COMPPROD!#REF!</definedName>
    <definedName name="__KEY2" localSheetId="7" hidden="1">[1]COMPPROD!#REF!</definedName>
    <definedName name="__KEY2" localSheetId="9" hidden="1">[1]COMPPROD!#REF!</definedName>
    <definedName name="__KEY2" localSheetId="10" hidden="1">[1]COMPPROD!#REF!</definedName>
    <definedName name="__KEY2" localSheetId="11" hidden="1">[1]COMPPROD!#REF!</definedName>
    <definedName name="__KEY2" localSheetId="12" hidden="1">[1]COMPPROD!#REF!</definedName>
    <definedName name="__KEY2" localSheetId="13" hidden="1">[1]COMPPROD!#REF!</definedName>
    <definedName name="__KEY2" localSheetId="14" hidden="1">[1]COMPPROD!#REF!</definedName>
    <definedName name="__KEY2" localSheetId="15" hidden="1">[1]COMPPROD!#REF!</definedName>
    <definedName name="__KEY2" localSheetId="20" hidden="1">[1]COMPPROD!#REF!</definedName>
    <definedName name="__KEY2" localSheetId="21" hidden="1">[1]COMPPROD!#REF!</definedName>
    <definedName name="__KEY2" localSheetId="22" hidden="1">[1]COMPPROD!#REF!</definedName>
    <definedName name="__KEY2" localSheetId="23" hidden="1">[1]COMPPROD!#REF!</definedName>
    <definedName name="__KEY2" localSheetId="24" hidden="1">[1]COMPPROD!#REF!</definedName>
    <definedName name="__KEY2" localSheetId="25" hidden="1">[1]COMPPROD!#REF!</definedName>
    <definedName name="__KEY2" localSheetId="26" hidden="1">[1]COMPPROD!#REF!</definedName>
    <definedName name="__KEY2" localSheetId="27" hidden="1">[1]COMPPROD!#REF!</definedName>
    <definedName name="__KEY2" localSheetId="28" hidden="1">[1]COMPPROD!#REF!</definedName>
    <definedName name="__KEY2" localSheetId="29" hidden="1">[1]COMPPROD!#REF!</definedName>
    <definedName name="__KEY2" localSheetId="30" hidden="1">[1]COMPPROD!#REF!</definedName>
    <definedName name="__KEY2" localSheetId="31" hidden="1">[1]COMPPROD!#REF!</definedName>
    <definedName name="__KEY2" hidden="1">[1]COMPPROD!#REF!</definedName>
    <definedName name="_2" localSheetId="5" hidden="1">'[3]RESUMO DO DBASE PARA O VIVEIRO'!#REF!</definedName>
    <definedName name="_2" localSheetId="6" hidden="1">'[3]RESUMO DO DBASE PARA O VIVEIRO'!#REF!</definedName>
    <definedName name="_2" localSheetId="9" hidden="1">'[3]RESUMO DO DBASE PARA O VIVEIRO'!#REF!</definedName>
    <definedName name="_2" localSheetId="10" hidden="1">'[3]RESUMO DO DBASE PARA O VIVEIRO'!#REF!</definedName>
    <definedName name="_2" localSheetId="11" hidden="1">'[3]RESUMO DO DBASE PARA O VIVEIRO'!#REF!</definedName>
    <definedName name="_2" localSheetId="12" hidden="1">'[3]RESUMO DO DBASE PARA O VIVEIRO'!#REF!</definedName>
    <definedName name="_2" localSheetId="13" hidden="1">'[3]RESUMO DO DBASE PARA O VIVEIRO'!#REF!</definedName>
    <definedName name="_2" localSheetId="22" hidden="1">'[3]RESUMO DO DBASE PARA O VIVEIRO'!#REF!</definedName>
    <definedName name="_2" localSheetId="23" hidden="1">'[3]RESUMO DO DBASE PARA O VIVEIRO'!#REF!</definedName>
    <definedName name="_2" localSheetId="25" hidden="1">'[3]RESUMO DO DBASE PARA O VIVEIRO'!#REF!</definedName>
    <definedName name="_2" localSheetId="26" hidden="1">'[3]RESUMO DO DBASE PARA O VIVEIRO'!#REF!</definedName>
    <definedName name="_2" localSheetId="27" hidden="1">'[3]RESUMO DO DBASE PARA O VIVEIRO'!#REF!</definedName>
    <definedName name="_2" localSheetId="28" hidden="1">'[3]RESUMO DO DBASE PARA O VIVEIRO'!#REF!</definedName>
    <definedName name="_2" hidden="1">'[3]RESUMO DO DBASE PARA O VIVEIRO'!#REF!</definedName>
    <definedName name="_bat67" localSheetId="3" hidden="1">{#N/A,#N/A,FALSE,"Tabl. D1";#N/A,#N/A,FALSE,"Tabl. D1 b";#N/A,#N/A,FALSE,"Tabl. D2";#N/A,#N/A,FALSE,"Tabl. D2 b";#N/A,#N/A,FALSE,"Tabl. D3";#N/A,#N/A,FALSE,"Tabl. D4";#N/A,#N/A,FALSE,"Tabl. D5"}</definedName>
    <definedName name="_bat67" localSheetId="5" hidden="1">{#N/A,#N/A,FALSE,"Tabl. D1";#N/A,#N/A,FALSE,"Tabl. D1 b";#N/A,#N/A,FALSE,"Tabl. D2";#N/A,#N/A,FALSE,"Tabl. D2 b";#N/A,#N/A,FALSE,"Tabl. D3";#N/A,#N/A,FALSE,"Tabl. D4";#N/A,#N/A,FALSE,"Tabl. D5"}</definedName>
    <definedName name="_bat67" localSheetId="6" hidden="1">{#N/A,#N/A,FALSE,"Tabl. D1";#N/A,#N/A,FALSE,"Tabl. D1 b";#N/A,#N/A,FALSE,"Tabl. D2";#N/A,#N/A,FALSE,"Tabl. D2 b";#N/A,#N/A,FALSE,"Tabl. D3";#N/A,#N/A,FALSE,"Tabl. D4";#N/A,#N/A,FALSE,"Tabl. D5"}</definedName>
    <definedName name="_bat67" localSheetId="7" hidden="1">{#N/A,#N/A,FALSE,"Tabl. D1";#N/A,#N/A,FALSE,"Tabl. D1 b";#N/A,#N/A,FALSE,"Tabl. D2";#N/A,#N/A,FALSE,"Tabl. D2 b";#N/A,#N/A,FALSE,"Tabl. D3";#N/A,#N/A,FALSE,"Tabl. D4";#N/A,#N/A,FALSE,"Tabl. D5"}</definedName>
    <definedName name="_bat67" localSheetId="9" hidden="1">{#N/A,#N/A,FALSE,"Tabl. D1";#N/A,#N/A,FALSE,"Tabl. D1 b";#N/A,#N/A,FALSE,"Tabl. D2";#N/A,#N/A,FALSE,"Tabl. D2 b";#N/A,#N/A,FALSE,"Tabl. D3";#N/A,#N/A,FALSE,"Tabl. D4";#N/A,#N/A,FALSE,"Tabl. D5"}</definedName>
    <definedName name="_bat67" localSheetId="10" hidden="1">{#N/A,#N/A,FALSE,"Tabl. D1";#N/A,#N/A,FALSE,"Tabl. D1 b";#N/A,#N/A,FALSE,"Tabl. D2";#N/A,#N/A,FALSE,"Tabl. D2 b";#N/A,#N/A,FALSE,"Tabl. D3";#N/A,#N/A,FALSE,"Tabl. D4";#N/A,#N/A,FALSE,"Tabl. D5"}</definedName>
    <definedName name="_bat67" localSheetId="11" hidden="1">{#N/A,#N/A,FALSE,"Tabl. D1";#N/A,#N/A,FALSE,"Tabl. D1 b";#N/A,#N/A,FALSE,"Tabl. D2";#N/A,#N/A,FALSE,"Tabl. D2 b";#N/A,#N/A,FALSE,"Tabl. D3";#N/A,#N/A,FALSE,"Tabl. D4";#N/A,#N/A,FALSE,"Tabl. D5"}</definedName>
    <definedName name="_bat67" localSheetId="12" hidden="1">{#N/A,#N/A,FALSE,"Tabl. D1";#N/A,#N/A,FALSE,"Tabl. D1 b";#N/A,#N/A,FALSE,"Tabl. D2";#N/A,#N/A,FALSE,"Tabl. D2 b";#N/A,#N/A,FALSE,"Tabl. D3";#N/A,#N/A,FALSE,"Tabl. D4";#N/A,#N/A,FALSE,"Tabl. D5"}</definedName>
    <definedName name="_bat67" localSheetId="13" hidden="1">{#N/A,#N/A,FALSE,"Tabl. D1";#N/A,#N/A,FALSE,"Tabl. D1 b";#N/A,#N/A,FALSE,"Tabl. D2";#N/A,#N/A,FALSE,"Tabl. D2 b";#N/A,#N/A,FALSE,"Tabl. D3";#N/A,#N/A,FALSE,"Tabl. D4";#N/A,#N/A,FALSE,"Tabl. D5"}</definedName>
    <definedName name="_bat67" localSheetId="14" hidden="1">{#N/A,#N/A,FALSE,"Tabl. D1";#N/A,#N/A,FALSE,"Tabl. D1 b";#N/A,#N/A,FALSE,"Tabl. D2";#N/A,#N/A,FALSE,"Tabl. D2 b";#N/A,#N/A,FALSE,"Tabl. D3";#N/A,#N/A,FALSE,"Tabl. D4";#N/A,#N/A,FALSE,"Tabl. D5"}</definedName>
    <definedName name="_bat67" localSheetId="15" hidden="1">{#N/A,#N/A,FALSE,"Tabl. D1";#N/A,#N/A,FALSE,"Tabl. D1 b";#N/A,#N/A,FALSE,"Tabl. D2";#N/A,#N/A,FALSE,"Tabl. D2 b";#N/A,#N/A,FALSE,"Tabl. D3";#N/A,#N/A,FALSE,"Tabl. D4";#N/A,#N/A,FALSE,"Tabl. D5"}</definedName>
    <definedName name="_bat67" localSheetId="20" hidden="1">{#N/A,#N/A,FALSE,"Tabl. D1";#N/A,#N/A,FALSE,"Tabl. D1 b";#N/A,#N/A,FALSE,"Tabl. D2";#N/A,#N/A,FALSE,"Tabl. D2 b";#N/A,#N/A,FALSE,"Tabl. D3";#N/A,#N/A,FALSE,"Tabl. D4";#N/A,#N/A,FALSE,"Tabl. D5"}</definedName>
    <definedName name="_bat67" localSheetId="21" hidden="1">{#N/A,#N/A,FALSE,"Tabl. D1";#N/A,#N/A,FALSE,"Tabl. D1 b";#N/A,#N/A,FALSE,"Tabl. D2";#N/A,#N/A,FALSE,"Tabl. D2 b";#N/A,#N/A,FALSE,"Tabl. D3";#N/A,#N/A,FALSE,"Tabl. D4";#N/A,#N/A,FALSE,"Tabl. D5"}</definedName>
    <definedName name="_bat67" localSheetId="22" hidden="1">{#N/A,#N/A,FALSE,"Tabl. D1";#N/A,#N/A,FALSE,"Tabl. D1 b";#N/A,#N/A,FALSE,"Tabl. D2";#N/A,#N/A,FALSE,"Tabl. D2 b";#N/A,#N/A,FALSE,"Tabl. D3";#N/A,#N/A,FALSE,"Tabl. D4";#N/A,#N/A,FALSE,"Tabl. D5"}</definedName>
    <definedName name="_bat67" localSheetId="23" hidden="1">{#N/A,#N/A,FALSE,"Tabl. D1";#N/A,#N/A,FALSE,"Tabl. D1 b";#N/A,#N/A,FALSE,"Tabl. D2";#N/A,#N/A,FALSE,"Tabl. D2 b";#N/A,#N/A,FALSE,"Tabl. D3";#N/A,#N/A,FALSE,"Tabl. D4";#N/A,#N/A,FALSE,"Tabl. D5"}</definedName>
    <definedName name="_bat67" localSheetId="24" hidden="1">{#N/A,#N/A,FALSE,"Tabl. D1";#N/A,#N/A,FALSE,"Tabl. D1 b";#N/A,#N/A,FALSE,"Tabl. D2";#N/A,#N/A,FALSE,"Tabl. D2 b";#N/A,#N/A,FALSE,"Tabl. D3";#N/A,#N/A,FALSE,"Tabl. D4";#N/A,#N/A,FALSE,"Tabl. D5"}</definedName>
    <definedName name="_bat67" localSheetId="25" hidden="1">{#N/A,#N/A,FALSE,"Tabl. D1";#N/A,#N/A,FALSE,"Tabl. D1 b";#N/A,#N/A,FALSE,"Tabl. D2";#N/A,#N/A,FALSE,"Tabl. D2 b";#N/A,#N/A,FALSE,"Tabl. D3";#N/A,#N/A,FALSE,"Tabl. D4";#N/A,#N/A,FALSE,"Tabl. D5"}</definedName>
    <definedName name="_bat67" localSheetId="26" hidden="1">{#N/A,#N/A,FALSE,"Tabl. D1";#N/A,#N/A,FALSE,"Tabl. D1 b";#N/A,#N/A,FALSE,"Tabl. D2";#N/A,#N/A,FALSE,"Tabl. D2 b";#N/A,#N/A,FALSE,"Tabl. D3";#N/A,#N/A,FALSE,"Tabl. D4";#N/A,#N/A,FALSE,"Tabl. D5"}</definedName>
    <definedName name="_bat67" localSheetId="27" hidden="1">{#N/A,#N/A,FALSE,"Tabl. D1";#N/A,#N/A,FALSE,"Tabl. D1 b";#N/A,#N/A,FALSE,"Tabl. D2";#N/A,#N/A,FALSE,"Tabl. D2 b";#N/A,#N/A,FALSE,"Tabl. D3";#N/A,#N/A,FALSE,"Tabl. D4";#N/A,#N/A,FALSE,"Tabl. D5"}</definedName>
    <definedName name="_bat67" localSheetId="28" hidden="1">{#N/A,#N/A,FALSE,"Tabl. D1";#N/A,#N/A,FALSE,"Tabl. D1 b";#N/A,#N/A,FALSE,"Tabl. D2";#N/A,#N/A,FALSE,"Tabl. D2 b";#N/A,#N/A,FALSE,"Tabl. D3";#N/A,#N/A,FALSE,"Tabl. D4";#N/A,#N/A,FALSE,"Tabl. D5"}</definedName>
    <definedName name="_bat67" localSheetId="29" hidden="1">{#N/A,#N/A,FALSE,"Tabl. D1";#N/A,#N/A,FALSE,"Tabl. D1 b";#N/A,#N/A,FALSE,"Tabl. D2";#N/A,#N/A,FALSE,"Tabl. D2 b";#N/A,#N/A,FALSE,"Tabl. D3";#N/A,#N/A,FALSE,"Tabl. D4";#N/A,#N/A,FALSE,"Tabl. D5"}</definedName>
    <definedName name="_bat67" localSheetId="30" hidden="1">{#N/A,#N/A,FALSE,"Tabl. D1";#N/A,#N/A,FALSE,"Tabl. D1 b";#N/A,#N/A,FALSE,"Tabl. D2";#N/A,#N/A,FALSE,"Tabl. D2 b";#N/A,#N/A,FALSE,"Tabl. D3";#N/A,#N/A,FALSE,"Tabl. D4";#N/A,#N/A,FALSE,"Tabl. D5"}</definedName>
    <definedName name="_bat67" localSheetId="31" hidden="1">{#N/A,#N/A,FALSE,"Tabl. D1";#N/A,#N/A,FALSE,"Tabl. D1 b";#N/A,#N/A,FALSE,"Tabl. D2";#N/A,#N/A,FALSE,"Tabl. D2 b";#N/A,#N/A,FALSE,"Tabl. D3";#N/A,#N/A,FALSE,"Tabl. D4";#N/A,#N/A,FALSE,"Tabl. D5"}</definedName>
    <definedName name="_bat67" localSheetId="32" hidden="1">{#N/A,#N/A,FALSE,"Tabl. D1";#N/A,#N/A,FALSE,"Tabl. D1 b";#N/A,#N/A,FALSE,"Tabl. D2";#N/A,#N/A,FALSE,"Tabl. D2 b";#N/A,#N/A,FALSE,"Tabl. D3";#N/A,#N/A,FALSE,"Tabl. D4";#N/A,#N/A,FALSE,"Tabl. D5"}</definedName>
    <definedName name="_bat67" hidden="1">{#N/A,#N/A,FALSE,"Tabl. D1";#N/A,#N/A,FALSE,"Tabl. D1 b";#N/A,#N/A,FALSE,"Tabl. D2";#N/A,#N/A,FALSE,"Tabl. D2 b";#N/A,#N/A,FALSE,"Tabl. D3";#N/A,#N/A,FALSE,"Tabl. D4";#N/A,#N/A,FALSE,"Tabl. D5"}</definedName>
    <definedName name="_ffffffff" hidden="1">[1]COMPPROD!#REF!</definedName>
    <definedName name="_xlnm._FilterDatabase" localSheetId="30" hidden="1">'5.1'!$B$5:$F$25</definedName>
    <definedName name="_xlnm._FilterDatabase" localSheetId="31" hidden="1">'5.2'!$B$5:$H$25</definedName>
    <definedName name="_g111" localSheetId="3" hidden="1">{#N/A,#N/A,FALSE,"PREÇO.CPV.CA60";#N/A,#N/A,FALSE,"PREÇO.CPV.TREFILADOS";#N/A,#N/A,FALSE,"PREÇO.CPV.CA50";#N/A,#N/A,FALSE,"PREÇO.CPV.FM";#N/A,#N/A,FALSE,"PREÇO-FOB"}</definedName>
    <definedName name="_g111" localSheetId="5" hidden="1">{#N/A,#N/A,FALSE,"PREÇO.CPV.CA60";#N/A,#N/A,FALSE,"PREÇO.CPV.TREFILADOS";#N/A,#N/A,FALSE,"PREÇO.CPV.CA50";#N/A,#N/A,FALSE,"PREÇO.CPV.FM";#N/A,#N/A,FALSE,"PREÇO-FOB"}</definedName>
    <definedName name="_g111" localSheetId="6" hidden="1">{#N/A,#N/A,FALSE,"PREÇO.CPV.CA60";#N/A,#N/A,FALSE,"PREÇO.CPV.TREFILADOS";#N/A,#N/A,FALSE,"PREÇO.CPV.CA50";#N/A,#N/A,FALSE,"PREÇO.CPV.FM";#N/A,#N/A,FALSE,"PREÇO-FOB"}</definedName>
    <definedName name="_g111" localSheetId="7" hidden="1">{#N/A,#N/A,FALSE,"PREÇO.CPV.CA60";#N/A,#N/A,FALSE,"PREÇO.CPV.TREFILADOS";#N/A,#N/A,FALSE,"PREÇO.CPV.CA50";#N/A,#N/A,FALSE,"PREÇO.CPV.FM";#N/A,#N/A,FALSE,"PREÇO-FOB"}</definedName>
    <definedName name="_g111" localSheetId="9" hidden="1">{#N/A,#N/A,FALSE,"PREÇO.CPV.CA60";#N/A,#N/A,FALSE,"PREÇO.CPV.TREFILADOS";#N/A,#N/A,FALSE,"PREÇO.CPV.CA50";#N/A,#N/A,FALSE,"PREÇO.CPV.FM";#N/A,#N/A,FALSE,"PREÇO-FOB"}</definedName>
    <definedName name="_g111" localSheetId="10" hidden="1">{#N/A,#N/A,FALSE,"PREÇO.CPV.CA60";#N/A,#N/A,FALSE,"PREÇO.CPV.TREFILADOS";#N/A,#N/A,FALSE,"PREÇO.CPV.CA50";#N/A,#N/A,FALSE,"PREÇO.CPV.FM";#N/A,#N/A,FALSE,"PREÇO-FOB"}</definedName>
    <definedName name="_g111" localSheetId="11" hidden="1">{#N/A,#N/A,FALSE,"PREÇO.CPV.CA60";#N/A,#N/A,FALSE,"PREÇO.CPV.TREFILADOS";#N/A,#N/A,FALSE,"PREÇO.CPV.CA50";#N/A,#N/A,FALSE,"PREÇO.CPV.FM";#N/A,#N/A,FALSE,"PREÇO-FOB"}</definedName>
    <definedName name="_g111" localSheetId="12" hidden="1">{#N/A,#N/A,FALSE,"PREÇO.CPV.CA60";#N/A,#N/A,FALSE,"PREÇO.CPV.TREFILADOS";#N/A,#N/A,FALSE,"PREÇO.CPV.CA50";#N/A,#N/A,FALSE,"PREÇO.CPV.FM";#N/A,#N/A,FALSE,"PREÇO-FOB"}</definedName>
    <definedName name="_g111" localSheetId="13" hidden="1">{#N/A,#N/A,FALSE,"PREÇO.CPV.CA60";#N/A,#N/A,FALSE,"PREÇO.CPV.TREFILADOS";#N/A,#N/A,FALSE,"PREÇO.CPV.CA50";#N/A,#N/A,FALSE,"PREÇO.CPV.FM";#N/A,#N/A,FALSE,"PREÇO-FOB"}</definedName>
    <definedName name="_g111" localSheetId="14" hidden="1">{#N/A,#N/A,FALSE,"PREÇO.CPV.CA60";#N/A,#N/A,FALSE,"PREÇO.CPV.TREFILADOS";#N/A,#N/A,FALSE,"PREÇO.CPV.CA50";#N/A,#N/A,FALSE,"PREÇO.CPV.FM";#N/A,#N/A,FALSE,"PREÇO-FOB"}</definedName>
    <definedName name="_g111" localSheetId="15" hidden="1">{#N/A,#N/A,FALSE,"PREÇO.CPV.CA60";#N/A,#N/A,FALSE,"PREÇO.CPV.TREFILADOS";#N/A,#N/A,FALSE,"PREÇO.CPV.CA50";#N/A,#N/A,FALSE,"PREÇO.CPV.FM";#N/A,#N/A,FALSE,"PREÇO-FOB"}</definedName>
    <definedName name="_g111" localSheetId="20" hidden="1">{#N/A,#N/A,FALSE,"PREÇO.CPV.CA60";#N/A,#N/A,FALSE,"PREÇO.CPV.TREFILADOS";#N/A,#N/A,FALSE,"PREÇO.CPV.CA50";#N/A,#N/A,FALSE,"PREÇO.CPV.FM";#N/A,#N/A,FALSE,"PREÇO-FOB"}</definedName>
    <definedName name="_g111" localSheetId="21" hidden="1">{#N/A,#N/A,FALSE,"PREÇO.CPV.CA60";#N/A,#N/A,FALSE,"PREÇO.CPV.TREFILADOS";#N/A,#N/A,FALSE,"PREÇO.CPV.CA50";#N/A,#N/A,FALSE,"PREÇO.CPV.FM";#N/A,#N/A,FALSE,"PREÇO-FOB"}</definedName>
    <definedName name="_g111" localSheetId="22" hidden="1">{#N/A,#N/A,FALSE,"PREÇO.CPV.CA60";#N/A,#N/A,FALSE,"PREÇO.CPV.TREFILADOS";#N/A,#N/A,FALSE,"PREÇO.CPV.CA50";#N/A,#N/A,FALSE,"PREÇO.CPV.FM";#N/A,#N/A,FALSE,"PREÇO-FOB"}</definedName>
    <definedName name="_g111" localSheetId="23" hidden="1">{#N/A,#N/A,FALSE,"PREÇO.CPV.CA60";#N/A,#N/A,FALSE,"PREÇO.CPV.TREFILADOS";#N/A,#N/A,FALSE,"PREÇO.CPV.CA50";#N/A,#N/A,FALSE,"PREÇO.CPV.FM";#N/A,#N/A,FALSE,"PREÇO-FOB"}</definedName>
    <definedName name="_g111" localSheetId="24" hidden="1">{#N/A,#N/A,FALSE,"PREÇO.CPV.CA60";#N/A,#N/A,FALSE,"PREÇO.CPV.TREFILADOS";#N/A,#N/A,FALSE,"PREÇO.CPV.CA50";#N/A,#N/A,FALSE,"PREÇO.CPV.FM";#N/A,#N/A,FALSE,"PREÇO-FOB"}</definedName>
    <definedName name="_g111" localSheetId="25" hidden="1">{#N/A,#N/A,FALSE,"PREÇO.CPV.CA60";#N/A,#N/A,FALSE,"PREÇO.CPV.TREFILADOS";#N/A,#N/A,FALSE,"PREÇO.CPV.CA50";#N/A,#N/A,FALSE,"PREÇO.CPV.FM";#N/A,#N/A,FALSE,"PREÇO-FOB"}</definedName>
    <definedName name="_g111" localSheetId="26" hidden="1">{#N/A,#N/A,FALSE,"PREÇO.CPV.CA60";#N/A,#N/A,FALSE,"PREÇO.CPV.TREFILADOS";#N/A,#N/A,FALSE,"PREÇO.CPV.CA50";#N/A,#N/A,FALSE,"PREÇO.CPV.FM";#N/A,#N/A,FALSE,"PREÇO-FOB"}</definedName>
    <definedName name="_g111" localSheetId="27" hidden="1">{#N/A,#N/A,FALSE,"PREÇO.CPV.CA60";#N/A,#N/A,FALSE,"PREÇO.CPV.TREFILADOS";#N/A,#N/A,FALSE,"PREÇO.CPV.CA50";#N/A,#N/A,FALSE,"PREÇO.CPV.FM";#N/A,#N/A,FALSE,"PREÇO-FOB"}</definedName>
    <definedName name="_g111" localSheetId="28" hidden="1">{#N/A,#N/A,FALSE,"PREÇO.CPV.CA60";#N/A,#N/A,FALSE,"PREÇO.CPV.TREFILADOS";#N/A,#N/A,FALSE,"PREÇO.CPV.CA50";#N/A,#N/A,FALSE,"PREÇO.CPV.FM";#N/A,#N/A,FALSE,"PREÇO-FOB"}</definedName>
    <definedName name="_g111" localSheetId="29" hidden="1">{#N/A,#N/A,FALSE,"PREÇO.CPV.CA60";#N/A,#N/A,FALSE,"PREÇO.CPV.TREFILADOS";#N/A,#N/A,FALSE,"PREÇO.CPV.CA50";#N/A,#N/A,FALSE,"PREÇO.CPV.FM";#N/A,#N/A,FALSE,"PREÇO-FOB"}</definedName>
    <definedName name="_g111" localSheetId="30" hidden="1">{#N/A,#N/A,FALSE,"PREÇO.CPV.CA60";#N/A,#N/A,FALSE,"PREÇO.CPV.TREFILADOS";#N/A,#N/A,FALSE,"PREÇO.CPV.CA50";#N/A,#N/A,FALSE,"PREÇO.CPV.FM";#N/A,#N/A,FALSE,"PREÇO-FOB"}</definedName>
    <definedName name="_g111" localSheetId="31" hidden="1">{#N/A,#N/A,FALSE,"PREÇO.CPV.CA60";#N/A,#N/A,FALSE,"PREÇO.CPV.TREFILADOS";#N/A,#N/A,FALSE,"PREÇO.CPV.CA50";#N/A,#N/A,FALSE,"PREÇO.CPV.FM";#N/A,#N/A,FALSE,"PREÇO-FOB"}</definedName>
    <definedName name="_g111" localSheetId="32" hidden="1">{#N/A,#N/A,FALSE,"PREÇO.CPV.CA60";#N/A,#N/A,FALSE,"PREÇO.CPV.TREFILADOS";#N/A,#N/A,FALSE,"PREÇO.CPV.CA50";#N/A,#N/A,FALSE,"PREÇO.CPV.FM";#N/A,#N/A,FALSE,"PREÇO-FOB"}</definedName>
    <definedName name="_g111" hidden="1">{#N/A,#N/A,FALSE,"PREÇO.CPV.CA60";#N/A,#N/A,FALSE,"PREÇO.CPV.TREFILADOS";#N/A,#N/A,FALSE,"PREÇO.CPV.CA50";#N/A,#N/A,FALSE,"PREÇO.CPV.FM";#N/A,#N/A,FALSE,"PREÇO-FOB"}</definedName>
    <definedName name="_K3" hidden="1">[1]COMPPROD!#REF!</definedName>
    <definedName name="_Key1" hidden="1">'[3]RESUMO DO DBASE PARA O VIVEIRO'!#REF!</definedName>
    <definedName name="_KEY2" hidden="1">[1]COMPPROD!#REF!</definedName>
    <definedName name="_M2" localSheetId="3" hidden="1">{#N/A,#N/A,FALSE,"Tabl. G1";#N/A,#N/A,FALSE,"Tabl. G2"}</definedName>
    <definedName name="_M2" localSheetId="5" hidden="1">{#N/A,#N/A,FALSE,"Tabl. G1";#N/A,#N/A,FALSE,"Tabl. G2"}</definedName>
    <definedName name="_M2" localSheetId="6" hidden="1">{#N/A,#N/A,FALSE,"Tabl. G1";#N/A,#N/A,FALSE,"Tabl. G2"}</definedName>
    <definedName name="_M2" localSheetId="7" hidden="1">{#N/A,#N/A,FALSE,"Tabl. G1";#N/A,#N/A,FALSE,"Tabl. G2"}</definedName>
    <definedName name="_M2" localSheetId="9" hidden="1">{#N/A,#N/A,FALSE,"Tabl. G1";#N/A,#N/A,FALSE,"Tabl. G2"}</definedName>
    <definedName name="_M2" localSheetId="10" hidden="1">{#N/A,#N/A,FALSE,"Tabl. G1";#N/A,#N/A,FALSE,"Tabl. G2"}</definedName>
    <definedName name="_M2" localSheetId="11" hidden="1">{#N/A,#N/A,FALSE,"Tabl. G1";#N/A,#N/A,FALSE,"Tabl. G2"}</definedName>
    <definedName name="_M2" localSheetId="12" hidden="1">{#N/A,#N/A,FALSE,"Tabl. G1";#N/A,#N/A,FALSE,"Tabl. G2"}</definedName>
    <definedName name="_M2" localSheetId="13" hidden="1">{#N/A,#N/A,FALSE,"Tabl. G1";#N/A,#N/A,FALSE,"Tabl. G2"}</definedName>
    <definedName name="_M2" localSheetId="14" hidden="1">{#N/A,#N/A,FALSE,"Tabl. G1";#N/A,#N/A,FALSE,"Tabl. G2"}</definedName>
    <definedName name="_M2" localSheetId="15" hidden="1">{#N/A,#N/A,FALSE,"Tabl. G1";#N/A,#N/A,FALSE,"Tabl. G2"}</definedName>
    <definedName name="_M2" localSheetId="20" hidden="1">{#N/A,#N/A,FALSE,"Tabl. G1";#N/A,#N/A,FALSE,"Tabl. G2"}</definedName>
    <definedName name="_M2" localSheetId="21" hidden="1">{#N/A,#N/A,FALSE,"Tabl. G1";#N/A,#N/A,FALSE,"Tabl. G2"}</definedName>
    <definedName name="_M2" localSheetId="22" hidden="1">{#N/A,#N/A,FALSE,"Tabl. G1";#N/A,#N/A,FALSE,"Tabl. G2"}</definedName>
    <definedName name="_M2" localSheetId="23" hidden="1">{#N/A,#N/A,FALSE,"Tabl. G1";#N/A,#N/A,FALSE,"Tabl. G2"}</definedName>
    <definedName name="_M2" localSheetId="24" hidden="1">{#N/A,#N/A,FALSE,"Tabl. G1";#N/A,#N/A,FALSE,"Tabl. G2"}</definedName>
    <definedName name="_M2" localSheetId="25" hidden="1">{#N/A,#N/A,FALSE,"Tabl. G1";#N/A,#N/A,FALSE,"Tabl. G2"}</definedName>
    <definedName name="_M2" localSheetId="26" hidden="1">{#N/A,#N/A,FALSE,"Tabl. G1";#N/A,#N/A,FALSE,"Tabl. G2"}</definedName>
    <definedName name="_M2" localSheetId="27" hidden="1">{#N/A,#N/A,FALSE,"Tabl. G1";#N/A,#N/A,FALSE,"Tabl. G2"}</definedName>
    <definedName name="_M2" localSheetId="28" hidden="1">{#N/A,#N/A,FALSE,"Tabl. G1";#N/A,#N/A,FALSE,"Tabl. G2"}</definedName>
    <definedName name="_M2" localSheetId="29" hidden="1">{#N/A,#N/A,FALSE,"Tabl. G1";#N/A,#N/A,FALSE,"Tabl. G2"}</definedName>
    <definedName name="_M2" localSheetId="30" hidden="1">{#N/A,#N/A,FALSE,"Tabl. G1";#N/A,#N/A,FALSE,"Tabl. G2"}</definedName>
    <definedName name="_M2" localSheetId="31" hidden="1">{#N/A,#N/A,FALSE,"Tabl. G1";#N/A,#N/A,FALSE,"Tabl. G2"}</definedName>
    <definedName name="_M2" localSheetId="32" hidden="1">{#N/A,#N/A,FALSE,"Tabl. G1";#N/A,#N/A,FALSE,"Tabl. G2"}</definedName>
    <definedName name="_M2" hidden="1">{#N/A,#N/A,FALSE,"Tabl. G1";#N/A,#N/A,FALSE,"Tabl. G2"}</definedName>
    <definedName name="_mrn2"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NM09" localSheetId="3" hidden="1">{#N/A,#N/A,FALSE,"Tabl. D1";#N/A,#N/A,FALSE,"Tabl. D1 b";#N/A,#N/A,FALSE,"Tabl. D2";#N/A,#N/A,FALSE,"Tabl. D2 b";#N/A,#N/A,FALSE,"Tabl. D3";#N/A,#N/A,FALSE,"Tabl. D4";#N/A,#N/A,FALSE,"Tabl. D5"}</definedName>
    <definedName name="_NM09" localSheetId="5" hidden="1">{#N/A,#N/A,FALSE,"Tabl. D1";#N/A,#N/A,FALSE,"Tabl. D1 b";#N/A,#N/A,FALSE,"Tabl. D2";#N/A,#N/A,FALSE,"Tabl. D2 b";#N/A,#N/A,FALSE,"Tabl. D3";#N/A,#N/A,FALSE,"Tabl. D4";#N/A,#N/A,FALSE,"Tabl. D5"}</definedName>
    <definedName name="_NM09" localSheetId="6" hidden="1">{#N/A,#N/A,FALSE,"Tabl. D1";#N/A,#N/A,FALSE,"Tabl. D1 b";#N/A,#N/A,FALSE,"Tabl. D2";#N/A,#N/A,FALSE,"Tabl. D2 b";#N/A,#N/A,FALSE,"Tabl. D3";#N/A,#N/A,FALSE,"Tabl. D4";#N/A,#N/A,FALSE,"Tabl. D5"}</definedName>
    <definedName name="_NM09" localSheetId="7" hidden="1">{#N/A,#N/A,FALSE,"Tabl. D1";#N/A,#N/A,FALSE,"Tabl. D1 b";#N/A,#N/A,FALSE,"Tabl. D2";#N/A,#N/A,FALSE,"Tabl. D2 b";#N/A,#N/A,FALSE,"Tabl. D3";#N/A,#N/A,FALSE,"Tabl. D4";#N/A,#N/A,FALSE,"Tabl. D5"}</definedName>
    <definedName name="_NM09" localSheetId="9" hidden="1">{#N/A,#N/A,FALSE,"Tabl. D1";#N/A,#N/A,FALSE,"Tabl. D1 b";#N/A,#N/A,FALSE,"Tabl. D2";#N/A,#N/A,FALSE,"Tabl. D2 b";#N/A,#N/A,FALSE,"Tabl. D3";#N/A,#N/A,FALSE,"Tabl. D4";#N/A,#N/A,FALSE,"Tabl. D5"}</definedName>
    <definedName name="_NM09" localSheetId="10" hidden="1">{#N/A,#N/A,FALSE,"Tabl. D1";#N/A,#N/A,FALSE,"Tabl. D1 b";#N/A,#N/A,FALSE,"Tabl. D2";#N/A,#N/A,FALSE,"Tabl. D2 b";#N/A,#N/A,FALSE,"Tabl. D3";#N/A,#N/A,FALSE,"Tabl. D4";#N/A,#N/A,FALSE,"Tabl. D5"}</definedName>
    <definedName name="_NM09" localSheetId="11" hidden="1">{#N/A,#N/A,FALSE,"Tabl. D1";#N/A,#N/A,FALSE,"Tabl. D1 b";#N/A,#N/A,FALSE,"Tabl. D2";#N/A,#N/A,FALSE,"Tabl. D2 b";#N/A,#N/A,FALSE,"Tabl. D3";#N/A,#N/A,FALSE,"Tabl. D4";#N/A,#N/A,FALSE,"Tabl. D5"}</definedName>
    <definedName name="_NM09" localSheetId="12" hidden="1">{#N/A,#N/A,FALSE,"Tabl. D1";#N/A,#N/A,FALSE,"Tabl. D1 b";#N/A,#N/A,FALSE,"Tabl. D2";#N/A,#N/A,FALSE,"Tabl. D2 b";#N/A,#N/A,FALSE,"Tabl. D3";#N/A,#N/A,FALSE,"Tabl. D4";#N/A,#N/A,FALSE,"Tabl. D5"}</definedName>
    <definedName name="_NM09" localSheetId="13" hidden="1">{#N/A,#N/A,FALSE,"Tabl. D1";#N/A,#N/A,FALSE,"Tabl. D1 b";#N/A,#N/A,FALSE,"Tabl. D2";#N/A,#N/A,FALSE,"Tabl. D2 b";#N/A,#N/A,FALSE,"Tabl. D3";#N/A,#N/A,FALSE,"Tabl. D4";#N/A,#N/A,FALSE,"Tabl. D5"}</definedName>
    <definedName name="_NM09" localSheetId="14" hidden="1">{#N/A,#N/A,FALSE,"Tabl. D1";#N/A,#N/A,FALSE,"Tabl. D1 b";#N/A,#N/A,FALSE,"Tabl. D2";#N/A,#N/A,FALSE,"Tabl. D2 b";#N/A,#N/A,FALSE,"Tabl. D3";#N/A,#N/A,FALSE,"Tabl. D4";#N/A,#N/A,FALSE,"Tabl. D5"}</definedName>
    <definedName name="_NM09" localSheetId="15" hidden="1">{#N/A,#N/A,FALSE,"Tabl. D1";#N/A,#N/A,FALSE,"Tabl. D1 b";#N/A,#N/A,FALSE,"Tabl. D2";#N/A,#N/A,FALSE,"Tabl. D2 b";#N/A,#N/A,FALSE,"Tabl. D3";#N/A,#N/A,FALSE,"Tabl. D4";#N/A,#N/A,FALSE,"Tabl. D5"}</definedName>
    <definedName name="_NM09" localSheetId="20" hidden="1">{#N/A,#N/A,FALSE,"Tabl. D1";#N/A,#N/A,FALSE,"Tabl. D1 b";#N/A,#N/A,FALSE,"Tabl. D2";#N/A,#N/A,FALSE,"Tabl. D2 b";#N/A,#N/A,FALSE,"Tabl. D3";#N/A,#N/A,FALSE,"Tabl. D4";#N/A,#N/A,FALSE,"Tabl. D5"}</definedName>
    <definedName name="_NM09" localSheetId="21" hidden="1">{#N/A,#N/A,FALSE,"Tabl. D1";#N/A,#N/A,FALSE,"Tabl. D1 b";#N/A,#N/A,FALSE,"Tabl. D2";#N/A,#N/A,FALSE,"Tabl. D2 b";#N/A,#N/A,FALSE,"Tabl. D3";#N/A,#N/A,FALSE,"Tabl. D4";#N/A,#N/A,FALSE,"Tabl. D5"}</definedName>
    <definedName name="_NM09" localSheetId="22" hidden="1">{#N/A,#N/A,FALSE,"Tabl. D1";#N/A,#N/A,FALSE,"Tabl. D1 b";#N/A,#N/A,FALSE,"Tabl. D2";#N/A,#N/A,FALSE,"Tabl. D2 b";#N/A,#N/A,FALSE,"Tabl. D3";#N/A,#N/A,FALSE,"Tabl. D4";#N/A,#N/A,FALSE,"Tabl. D5"}</definedName>
    <definedName name="_NM09" localSheetId="23" hidden="1">{#N/A,#N/A,FALSE,"Tabl. D1";#N/A,#N/A,FALSE,"Tabl. D1 b";#N/A,#N/A,FALSE,"Tabl. D2";#N/A,#N/A,FALSE,"Tabl. D2 b";#N/A,#N/A,FALSE,"Tabl. D3";#N/A,#N/A,FALSE,"Tabl. D4";#N/A,#N/A,FALSE,"Tabl. D5"}</definedName>
    <definedName name="_NM09" localSheetId="24" hidden="1">{#N/A,#N/A,FALSE,"Tabl. D1";#N/A,#N/A,FALSE,"Tabl. D1 b";#N/A,#N/A,FALSE,"Tabl. D2";#N/A,#N/A,FALSE,"Tabl. D2 b";#N/A,#N/A,FALSE,"Tabl. D3";#N/A,#N/A,FALSE,"Tabl. D4";#N/A,#N/A,FALSE,"Tabl. D5"}</definedName>
    <definedName name="_NM09" localSheetId="25" hidden="1">{#N/A,#N/A,FALSE,"Tabl. D1";#N/A,#N/A,FALSE,"Tabl. D1 b";#N/A,#N/A,FALSE,"Tabl. D2";#N/A,#N/A,FALSE,"Tabl. D2 b";#N/A,#N/A,FALSE,"Tabl. D3";#N/A,#N/A,FALSE,"Tabl. D4";#N/A,#N/A,FALSE,"Tabl. D5"}</definedName>
    <definedName name="_NM09" localSheetId="26" hidden="1">{#N/A,#N/A,FALSE,"Tabl. D1";#N/A,#N/A,FALSE,"Tabl. D1 b";#N/A,#N/A,FALSE,"Tabl. D2";#N/A,#N/A,FALSE,"Tabl. D2 b";#N/A,#N/A,FALSE,"Tabl. D3";#N/A,#N/A,FALSE,"Tabl. D4";#N/A,#N/A,FALSE,"Tabl. D5"}</definedName>
    <definedName name="_NM09" localSheetId="27" hidden="1">{#N/A,#N/A,FALSE,"Tabl. D1";#N/A,#N/A,FALSE,"Tabl. D1 b";#N/A,#N/A,FALSE,"Tabl. D2";#N/A,#N/A,FALSE,"Tabl. D2 b";#N/A,#N/A,FALSE,"Tabl. D3";#N/A,#N/A,FALSE,"Tabl. D4";#N/A,#N/A,FALSE,"Tabl. D5"}</definedName>
    <definedName name="_NM09" localSheetId="28" hidden="1">{#N/A,#N/A,FALSE,"Tabl. D1";#N/A,#N/A,FALSE,"Tabl. D1 b";#N/A,#N/A,FALSE,"Tabl. D2";#N/A,#N/A,FALSE,"Tabl. D2 b";#N/A,#N/A,FALSE,"Tabl. D3";#N/A,#N/A,FALSE,"Tabl. D4";#N/A,#N/A,FALSE,"Tabl. D5"}</definedName>
    <definedName name="_NM09" localSheetId="29" hidden="1">{#N/A,#N/A,FALSE,"Tabl. D1";#N/A,#N/A,FALSE,"Tabl. D1 b";#N/A,#N/A,FALSE,"Tabl. D2";#N/A,#N/A,FALSE,"Tabl. D2 b";#N/A,#N/A,FALSE,"Tabl. D3";#N/A,#N/A,FALSE,"Tabl. D4";#N/A,#N/A,FALSE,"Tabl. D5"}</definedName>
    <definedName name="_NM09" localSheetId="30" hidden="1">{#N/A,#N/A,FALSE,"Tabl. D1";#N/A,#N/A,FALSE,"Tabl. D1 b";#N/A,#N/A,FALSE,"Tabl. D2";#N/A,#N/A,FALSE,"Tabl. D2 b";#N/A,#N/A,FALSE,"Tabl. D3";#N/A,#N/A,FALSE,"Tabl. D4";#N/A,#N/A,FALSE,"Tabl. D5"}</definedName>
    <definedName name="_NM09" localSheetId="31" hidden="1">{#N/A,#N/A,FALSE,"Tabl. D1";#N/A,#N/A,FALSE,"Tabl. D1 b";#N/A,#N/A,FALSE,"Tabl. D2";#N/A,#N/A,FALSE,"Tabl. D2 b";#N/A,#N/A,FALSE,"Tabl. D3";#N/A,#N/A,FALSE,"Tabl. D4";#N/A,#N/A,FALSE,"Tabl. D5"}</definedName>
    <definedName name="_NM09" localSheetId="32" hidden="1">{#N/A,#N/A,FALSE,"Tabl. D1";#N/A,#N/A,FALSE,"Tabl. D1 b";#N/A,#N/A,FALSE,"Tabl. D2";#N/A,#N/A,FALSE,"Tabl. D2 b";#N/A,#N/A,FALSE,"Tabl. D3";#N/A,#N/A,FALSE,"Tabl. D4";#N/A,#N/A,FALSE,"Tabl. D5"}</definedName>
    <definedName name="_NM09" hidden="1">{#N/A,#N/A,FALSE,"Tabl. D1";#N/A,#N/A,FALSE,"Tabl. D1 b";#N/A,#N/A,FALSE,"Tabl. D2";#N/A,#N/A,FALSE,"Tabl. D2 b";#N/A,#N/A,FALSE,"Tabl. D3";#N/A,#N/A,FALSE,"Tabl. D4";#N/A,#N/A,FALSE,"Tabl. D5"}</definedName>
    <definedName name="_Order1" hidden="1">255</definedName>
    <definedName name="_S1" localSheetId="5" hidden="1">#REF!</definedName>
    <definedName name="_S1" localSheetId="7" hidden="1">#REF!</definedName>
    <definedName name="_S1" localSheetId="9" hidden="1">#REF!</definedName>
    <definedName name="_S1" localSheetId="10" hidden="1">#REF!</definedName>
    <definedName name="_S1" localSheetId="11" hidden="1">#REF!</definedName>
    <definedName name="_S1" localSheetId="12" hidden="1">#REF!</definedName>
    <definedName name="_S1" localSheetId="13" hidden="1">#REF!</definedName>
    <definedName name="_S1" localSheetId="14" hidden="1">#REF!</definedName>
    <definedName name="_S1" localSheetId="15" hidden="1">#REF!</definedName>
    <definedName name="_S1" localSheetId="20" hidden="1">#REF!</definedName>
    <definedName name="_S1" localSheetId="21" hidden="1">#REF!</definedName>
    <definedName name="_S1" localSheetId="22" hidden="1">#REF!</definedName>
    <definedName name="_S1" localSheetId="23" hidden="1">#REF!</definedName>
    <definedName name="_S1" localSheetId="24" hidden="1">#REF!</definedName>
    <definedName name="_S1" localSheetId="25" hidden="1">#REF!</definedName>
    <definedName name="_S1" localSheetId="26" hidden="1">#REF!</definedName>
    <definedName name="_S1" localSheetId="27" hidden="1">#REF!</definedName>
    <definedName name="_S1" localSheetId="28" hidden="1">#REF!</definedName>
    <definedName name="_S1" localSheetId="29" hidden="1">#REF!</definedName>
    <definedName name="_S1" localSheetId="30" hidden="1">#REF!</definedName>
    <definedName name="_S1" localSheetId="31" hidden="1">#REF!</definedName>
    <definedName name="_S1" localSheetId="32" hidden="1">#REF!</definedName>
    <definedName name="_S1" hidden="1">#REF!</definedName>
    <definedName name="_Sort" localSheetId="5" hidden="1">#REF!</definedName>
    <definedName name="_Sort" localSheetId="6"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22" hidden="1">#REF!</definedName>
    <definedName name="_Sort" localSheetId="23" hidden="1">#REF!</definedName>
    <definedName name="_Sort" localSheetId="25" hidden="1">#REF!</definedName>
    <definedName name="_Sort" localSheetId="26" hidden="1">#REF!</definedName>
    <definedName name="_Sort" localSheetId="27" hidden="1">#REF!</definedName>
    <definedName name="_Sort" localSheetId="28" hidden="1">#REF!</definedName>
    <definedName name="_Sort" localSheetId="32" hidden="1">#REF!</definedName>
    <definedName name="_Sort" hidden="1">#REF!</definedName>
    <definedName name="_ss2" localSheetId="3" hidden="1">{"'RR'!$A$2:$E$81"}</definedName>
    <definedName name="_ss2" localSheetId="5" hidden="1">{"'RR'!$A$2:$E$81"}</definedName>
    <definedName name="_ss2" localSheetId="6" hidden="1">{"'RR'!$A$2:$E$81"}</definedName>
    <definedName name="_ss2" localSheetId="7" hidden="1">{"'RR'!$A$2:$E$81"}</definedName>
    <definedName name="_ss2" localSheetId="9" hidden="1">{"'RR'!$A$2:$E$81"}</definedName>
    <definedName name="_ss2" localSheetId="10" hidden="1">{"'RR'!$A$2:$E$81"}</definedName>
    <definedName name="_ss2" localSheetId="11" hidden="1">{"'RR'!$A$2:$E$81"}</definedName>
    <definedName name="_ss2" localSheetId="12" hidden="1">{"'RR'!$A$2:$E$81"}</definedName>
    <definedName name="_ss2" localSheetId="13" hidden="1">{"'RR'!$A$2:$E$81"}</definedName>
    <definedName name="_ss2" localSheetId="14" hidden="1">{"'RR'!$A$2:$E$81"}</definedName>
    <definedName name="_ss2" localSheetId="15" hidden="1">{"'RR'!$A$2:$E$81"}</definedName>
    <definedName name="_ss2" localSheetId="20" hidden="1">{"'RR'!$A$2:$E$81"}</definedName>
    <definedName name="_ss2" localSheetId="21" hidden="1">{"'RR'!$A$2:$E$81"}</definedName>
    <definedName name="_ss2" localSheetId="22" hidden="1">{"'RR'!$A$2:$E$81"}</definedName>
    <definedName name="_ss2" localSheetId="23" hidden="1">{"'RR'!$A$2:$E$81"}</definedName>
    <definedName name="_ss2" localSheetId="24" hidden="1">{"'RR'!$A$2:$E$81"}</definedName>
    <definedName name="_ss2" localSheetId="25" hidden="1">{"'RR'!$A$2:$E$81"}</definedName>
    <definedName name="_ss2" localSheetId="26" hidden="1">{"'RR'!$A$2:$E$81"}</definedName>
    <definedName name="_ss2" localSheetId="27" hidden="1">{"'RR'!$A$2:$E$81"}</definedName>
    <definedName name="_ss2" localSheetId="28" hidden="1">{"'RR'!$A$2:$E$81"}</definedName>
    <definedName name="_ss2" localSheetId="29" hidden="1">{"'RR'!$A$2:$E$81"}</definedName>
    <definedName name="_ss2" localSheetId="30" hidden="1">{"'RR'!$A$2:$E$81"}</definedName>
    <definedName name="_ss2" localSheetId="31" hidden="1">{"'RR'!$A$2:$E$81"}</definedName>
    <definedName name="_ss2" localSheetId="32" hidden="1">{"'RR'!$A$2:$E$81"}</definedName>
    <definedName name="_ss2" hidden="1">{"'RR'!$A$2:$E$81"}</definedName>
    <definedName name="_sss" hidden="1">[4]COMPPROD!#REF!</definedName>
    <definedName name="_taa34" localSheetId="3" hidden="1">{#N/A,#N/A,FALSE,"Tabl. G1";#N/A,#N/A,FALSE,"Tabl. G2"}</definedName>
    <definedName name="_taa34" localSheetId="5" hidden="1">{#N/A,#N/A,FALSE,"Tabl. G1";#N/A,#N/A,FALSE,"Tabl. G2"}</definedName>
    <definedName name="_taa34" localSheetId="6" hidden="1">{#N/A,#N/A,FALSE,"Tabl. G1";#N/A,#N/A,FALSE,"Tabl. G2"}</definedName>
    <definedName name="_taa34" localSheetId="7" hidden="1">{#N/A,#N/A,FALSE,"Tabl. G1";#N/A,#N/A,FALSE,"Tabl. G2"}</definedName>
    <definedName name="_taa34" localSheetId="9" hidden="1">{#N/A,#N/A,FALSE,"Tabl. G1";#N/A,#N/A,FALSE,"Tabl. G2"}</definedName>
    <definedName name="_taa34" localSheetId="10" hidden="1">{#N/A,#N/A,FALSE,"Tabl. G1";#N/A,#N/A,FALSE,"Tabl. G2"}</definedName>
    <definedName name="_taa34" localSheetId="11" hidden="1">{#N/A,#N/A,FALSE,"Tabl. G1";#N/A,#N/A,FALSE,"Tabl. G2"}</definedName>
    <definedName name="_taa34" localSheetId="12" hidden="1">{#N/A,#N/A,FALSE,"Tabl. G1";#N/A,#N/A,FALSE,"Tabl. G2"}</definedName>
    <definedName name="_taa34" localSheetId="13" hidden="1">{#N/A,#N/A,FALSE,"Tabl. G1";#N/A,#N/A,FALSE,"Tabl. G2"}</definedName>
    <definedName name="_taa34" localSheetId="14" hidden="1">{#N/A,#N/A,FALSE,"Tabl. G1";#N/A,#N/A,FALSE,"Tabl. G2"}</definedName>
    <definedName name="_taa34" localSheetId="15" hidden="1">{#N/A,#N/A,FALSE,"Tabl. G1";#N/A,#N/A,FALSE,"Tabl. G2"}</definedName>
    <definedName name="_taa34" localSheetId="20" hidden="1">{#N/A,#N/A,FALSE,"Tabl. G1";#N/A,#N/A,FALSE,"Tabl. G2"}</definedName>
    <definedName name="_taa34" localSheetId="21" hidden="1">{#N/A,#N/A,FALSE,"Tabl. G1";#N/A,#N/A,FALSE,"Tabl. G2"}</definedName>
    <definedName name="_taa34" localSheetId="22" hidden="1">{#N/A,#N/A,FALSE,"Tabl. G1";#N/A,#N/A,FALSE,"Tabl. G2"}</definedName>
    <definedName name="_taa34" localSheetId="23" hidden="1">{#N/A,#N/A,FALSE,"Tabl. G1";#N/A,#N/A,FALSE,"Tabl. G2"}</definedName>
    <definedName name="_taa34" localSheetId="24" hidden="1">{#N/A,#N/A,FALSE,"Tabl. G1";#N/A,#N/A,FALSE,"Tabl. G2"}</definedName>
    <definedName name="_taa34" localSheetId="25" hidden="1">{#N/A,#N/A,FALSE,"Tabl. G1";#N/A,#N/A,FALSE,"Tabl. G2"}</definedName>
    <definedName name="_taa34" localSheetId="26" hidden="1">{#N/A,#N/A,FALSE,"Tabl. G1";#N/A,#N/A,FALSE,"Tabl. G2"}</definedName>
    <definedName name="_taa34" localSheetId="27" hidden="1">{#N/A,#N/A,FALSE,"Tabl. G1";#N/A,#N/A,FALSE,"Tabl. G2"}</definedName>
    <definedName name="_taa34" localSheetId="28" hidden="1">{#N/A,#N/A,FALSE,"Tabl. G1";#N/A,#N/A,FALSE,"Tabl. G2"}</definedName>
    <definedName name="_taa34" localSheetId="29" hidden="1">{#N/A,#N/A,FALSE,"Tabl. G1";#N/A,#N/A,FALSE,"Tabl. G2"}</definedName>
    <definedName name="_taa34" localSheetId="30" hidden="1">{#N/A,#N/A,FALSE,"Tabl. G1";#N/A,#N/A,FALSE,"Tabl. G2"}</definedName>
    <definedName name="_taa34" localSheetId="31" hidden="1">{#N/A,#N/A,FALSE,"Tabl. G1";#N/A,#N/A,FALSE,"Tabl. G2"}</definedName>
    <definedName name="_taa34" localSheetId="32" hidden="1">{#N/A,#N/A,FALSE,"Tabl. G1";#N/A,#N/A,FALSE,"Tabl. G2"}</definedName>
    <definedName name="_taa34" hidden="1">{#N/A,#N/A,FALSE,"Tabl. G1";#N/A,#N/A,FALSE,"Tabl. G2"}</definedName>
    <definedName name="_tab09" localSheetId="3" hidden="1">{#N/A,#N/A,FALSE,"Tabl. FB300";#N/A,#N/A,FALSE,"Tabl. FB350";#N/A,#N/A,FALSE,"Tabl. FB400";#N/A,#N/A,FALSE,"Tabl. FB500";#N/A,#N/A,FALSE,"Tabl. FS090"}</definedName>
    <definedName name="_tab09" localSheetId="5" hidden="1">{#N/A,#N/A,FALSE,"Tabl. FB300";#N/A,#N/A,FALSE,"Tabl. FB350";#N/A,#N/A,FALSE,"Tabl. FB400";#N/A,#N/A,FALSE,"Tabl. FB500";#N/A,#N/A,FALSE,"Tabl. FS090"}</definedName>
    <definedName name="_tab09" localSheetId="6" hidden="1">{#N/A,#N/A,FALSE,"Tabl. FB300";#N/A,#N/A,FALSE,"Tabl. FB350";#N/A,#N/A,FALSE,"Tabl. FB400";#N/A,#N/A,FALSE,"Tabl. FB500";#N/A,#N/A,FALSE,"Tabl. FS090"}</definedName>
    <definedName name="_tab09" localSheetId="7" hidden="1">{#N/A,#N/A,FALSE,"Tabl. FB300";#N/A,#N/A,FALSE,"Tabl. FB350";#N/A,#N/A,FALSE,"Tabl. FB400";#N/A,#N/A,FALSE,"Tabl. FB500";#N/A,#N/A,FALSE,"Tabl. FS090"}</definedName>
    <definedName name="_tab09" localSheetId="9" hidden="1">{#N/A,#N/A,FALSE,"Tabl. FB300";#N/A,#N/A,FALSE,"Tabl. FB350";#N/A,#N/A,FALSE,"Tabl. FB400";#N/A,#N/A,FALSE,"Tabl. FB500";#N/A,#N/A,FALSE,"Tabl. FS090"}</definedName>
    <definedName name="_tab09" localSheetId="10" hidden="1">{#N/A,#N/A,FALSE,"Tabl. FB300";#N/A,#N/A,FALSE,"Tabl. FB350";#N/A,#N/A,FALSE,"Tabl. FB400";#N/A,#N/A,FALSE,"Tabl. FB500";#N/A,#N/A,FALSE,"Tabl. FS090"}</definedName>
    <definedName name="_tab09" localSheetId="11" hidden="1">{#N/A,#N/A,FALSE,"Tabl. FB300";#N/A,#N/A,FALSE,"Tabl. FB350";#N/A,#N/A,FALSE,"Tabl. FB400";#N/A,#N/A,FALSE,"Tabl. FB500";#N/A,#N/A,FALSE,"Tabl. FS090"}</definedName>
    <definedName name="_tab09" localSheetId="12" hidden="1">{#N/A,#N/A,FALSE,"Tabl. FB300";#N/A,#N/A,FALSE,"Tabl. FB350";#N/A,#N/A,FALSE,"Tabl. FB400";#N/A,#N/A,FALSE,"Tabl. FB500";#N/A,#N/A,FALSE,"Tabl. FS090"}</definedName>
    <definedName name="_tab09" localSheetId="13" hidden="1">{#N/A,#N/A,FALSE,"Tabl. FB300";#N/A,#N/A,FALSE,"Tabl. FB350";#N/A,#N/A,FALSE,"Tabl. FB400";#N/A,#N/A,FALSE,"Tabl. FB500";#N/A,#N/A,FALSE,"Tabl. FS090"}</definedName>
    <definedName name="_tab09" localSheetId="14" hidden="1">{#N/A,#N/A,FALSE,"Tabl. FB300";#N/A,#N/A,FALSE,"Tabl. FB350";#N/A,#N/A,FALSE,"Tabl. FB400";#N/A,#N/A,FALSE,"Tabl. FB500";#N/A,#N/A,FALSE,"Tabl. FS090"}</definedName>
    <definedName name="_tab09" localSheetId="15" hidden="1">{#N/A,#N/A,FALSE,"Tabl. FB300";#N/A,#N/A,FALSE,"Tabl. FB350";#N/A,#N/A,FALSE,"Tabl. FB400";#N/A,#N/A,FALSE,"Tabl. FB500";#N/A,#N/A,FALSE,"Tabl. FS090"}</definedName>
    <definedName name="_tab09" localSheetId="20" hidden="1">{#N/A,#N/A,FALSE,"Tabl. FB300";#N/A,#N/A,FALSE,"Tabl. FB350";#N/A,#N/A,FALSE,"Tabl. FB400";#N/A,#N/A,FALSE,"Tabl. FB500";#N/A,#N/A,FALSE,"Tabl. FS090"}</definedName>
    <definedName name="_tab09" localSheetId="21" hidden="1">{#N/A,#N/A,FALSE,"Tabl. FB300";#N/A,#N/A,FALSE,"Tabl. FB350";#N/A,#N/A,FALSE,"Tabl. FB400";#N/A,#N/A,FALSE,"Tabl. FB500";#N/A,#N/A,FALSE,"Tabl. FS090"}</definedName>
    <definedName name="_tab09" localSheetId="22" hidden="1">{#N/A,#N/A,FALSE,"Tabl. FB300";#N/A,#N/A,FALSE,"Tabl. FB350";#N/A,#N/A,FALSE,"Tabl. FB400";#N/A,#N/A,FALSE,"Tabl. FB500";#N/A,#N/A,FALSE,"Tabl. FS090"}</definedName>
    <definedName name="_tab09" localSheetId="23" hidden="1">{#N/A,#N/A,FALSE,"Tabl. FB300";#N/A,#N/A,FALSE,"Tabl. FB350";#N/A,#N/A,FALSE,"Tabl. FB400";#N/A,#N/A,FALSE,"Tabl. FB500";#N/A,#N/A,FALSE,"Tabl. FS090"}</definedName>
    <definedName name="_tab09" localSheetId="24" hidden="1">{#N/A,#N/A,FALSE,"Tabl. FB300";#N/A,#N/A,FALSE,"Tabl. FB350";#N/A,#N/A,FALSE,"Tabl. FB400";#N/A,#N/A,FALSE,"Tabl. FB500";#N/A,#N/A,FALSE,"Tabl. FS090"}</definedName>
    <definedName name="_tab09" localSheetId="25" hidden="1">{#N/A,#N/A,FALSE,"Tabl. FB300";#N/A,#N/A,FALSE,"Tabl. FB350";#N/A,#N/A,FALSE,"Tabl. FB400";#N/A,#N/A,FALSE,"Tabl. FB500";#N/A,#N/A,FALSE,"Tabl. FS090"}</definedName>
    <definedName name="_tab09" localSheetId="26" hidden="1">{#N/A,#N/A,FALSE,"Tabl. FB300";#N/A,#N/A,FALSE,"Tabl. FB350";#N/A,#N/A,FALSE,"Tabl. FB400";#N/A,#N/A,FALSE,"Tabl. FB500";#N/A,#N/A,FALSE,"Tabl. FS090"}</definedName>
    <definedName name="_tab09" localSheetId="27" hidden="1">{#N/A,#N/A,FALSE,"Tabl. FB300";#N/A,#N/A,FALSE,"Tabl. FB350";#N/A,#N/A,FALSE,"Tabl. FB400";#N/A,#N/A,FALSE,"Tabl. FB500";#N/A,#N/A,FALSE,"Tabl. FS090"}</definedName>
    <definedName name="_tab09" localSheetId="28" hidden="1">{#N/A,#N/A,FALSE,"Tabl. FB300";#N/A,#N/A,FALSE,"Tabl. FB350";#N/A,#N/A,FALSE,"Tabl. FB400";#N/A,#N/A,FALSE,"Tabl. FB500";#N/A,#N/A,FALSE,"Tabl. FS090"}</definedName>
    <definedName name="_tab09" localSheetId="29" hidden="1">{#N/A,#N/A,FALSE,"Tabl. FB300";#N/A,#N/A,FALSE,"Tabl. FB350";#N/A,#N/A,FALSE,"Tabl. FB400";#N/A,#N/A,FALSE,"Tabl. FB500";#N/A,#N/A,FALSE,"Tabl. FS090"}</definedName>
    <definedName name="_tab09" localSheetId="30" hidden="1">{#N/A,#N/A,FALSE,"Tabl. FB300";#N/A,#N/A,FALSE,"Tabl. FB350";#N/A,#N/A,FALSE,"Tabl. FB400";#N/A,#N/A,FALSE,"Tabl. FB500";#N/A,#N/A,FALSE,"Tabl. FS090"}</definedName>
    <definedName name="_tab09" localSheetId="31" hidden="1">{#N/A,#N/A,FALSE,"Tabl. FB300";#N/A,#N/A,FALSE,"Tabl. FB350";#N/A,#N/A,FALSE,"Tabl. FB400";#N/A,#N/A,FALSE,"Tabl. FB500";#N/A,#N/A,FALSE,"Tabl. FS090"}</definedName>
    <definedName name="_tab09" localSheetId="32" hidden="1">{#N/A,#N/A,FALSE,"Tabl. FB300";#N/A,#N/A,FALSE,"Tabl. FB350";#N/A,#N/A,FALSE,"Tabl. FB400";#N/A,#N/A,FALSE,"Tabl. FB500";#N/A,#N/A,FALSE,"Tabl. FS090"}</definedName>
    <definedName name="_tab09" hidden="1">{#N/A,#N/A,FALSE,"Tabl. FB300";#N/A,#N/A,FALSE,"Tabl. FB350";#N/A,#N/A,FALSE,"Tabl. FB400";#N/A,#N/A,FALSE,"Tabl. FB500";#N/A,#N/A,FALSE,"Tabl. FS090"}</definedName>
    <definedName name="_tab1" localSheetId="3" hidden="1">{#N/A,#N/A,FALSE,"Tabl. H1";#N/A,#N/A,FALSE,"Tabl. H2"}</definedName>
    <definedName name="_tab1" localSheetId="5" hidden="1">{#N/A,#N/A,FALSE,"Tabl. H1";#N/A,#N/A,FALSE,"Tabl. H2"}</definedName>
    <definedName name="_tab1" localSheetId="6" hidden="1">{#N/A,#N/A,FALSE,"Tabl. H1";#N/A,#N/A,FALSE,"Tabl. H2"}</definedName>
    <definedName name="_tab1" localSheetId="7" hidden="1">{#N/A,#N/A,FALSE,"Tabl. H1";#N/A,#N/A,FALSE,"Tabl. H2"}</definedName>
    <definedName name="_tab1" localSheetId="9" hidden="1">{#N/A,#N/A,FALSE,"Tabl. H1";#N/A,#N/A,FALSE,"Tabl. H2"}</definedName>
    <definedName name="_tab1" localSheetId="10" hidden="1">{#N/A,#N/A,FALSE,"Tabl. H1";#N/A,#N/A,FALSE,"Tabl. H2"}</definedName>
    <definedName name="_tab1" localSheetId="11" hidden="1">{#N/A,#N/A,FALSE,"Tabl. H1";#N/A,#N/A,FALSE,"Tabl. H2"}</definedName>
    <definedName name="_tab1" localSheetId="12" hidden="1">{#N/A,#N/A,FALSE,"Tabl. H1";#N/A,#N/A,FALSE,"Tabl. H2"}</definedName>
    <definedName name="_tab1" localSheetId="13" hidden="1">{#N/A,#N/A,FALSE,"Tabl. H1";#N/A,#N/A,FALSE,"Tabl. H2"}</definedName>
    <definedName name="_tab1" localSheetId="14" hidden="1">{#N/A,#N/A,FALSE,"Tabl. H1";#N/A,#N/A,FALSE,"Tabl. H2"}</definedName>
    <definedName name="_tab1" localSheetId="15" hidden="1">{#N/A,#N/A,FALSE,"Tabl. H1";#N/A,#N/A,FALSE,"Tabl. H2"}</definedName>
    <definedName name="_tab1" localSheetId="20" hidden="1">{#N/A,#N/A,FALSE,"Tabl. H1";#N/A,#N/A,FALSE,"Tabl. H2"}</definedName>
    <definedName name="_tab1" localSheetId="21" hidden="1">{#N/A,#N/A,FALSE,"Tabl. H1";#N/A,#N/A,FALSE,"Tabl. H2"}</definedName>
    <definedName name="_tab1" localSheetId="22" hidden="1">{#N/A,#N/A,FALSE,"Tabl. H1";#N/A,#N/A,FALSE,"Tabl. H2"}</definedName>
    <definedName name="_tab1" localSheetId="23" hidden="1">{#N/A,#N/A,FALSE,"Tabl. H1";#N/A,#N/A,FALSE,"Tabl. H2"}</definedName>
    <definedName name="_tab1" localSheetId="24" hidden="1">{#N/A,#N/A,FALSE,"Tabl. H1";#N/A,#N/A,FALSE,"Tabl. H2"}</definedName>
    <definedName name="_tab1" localSheetId="25" hidden="1">{#N/A,#N/A,FALSE,"Tabl. H1";#N/A,#N/A,FALSE,"Tabl. H2"}</definedName>
    <definedName name="_tab1" localSheetId="26" hidden="1">{#N/A,#N/A,FALSE,"Tabl. H1";#N/A,#N/A,FALSE,"Tabl. H2"}</definedName>
    <definedName name="_tab1" localSheetId="27" hidden="1">{#N/A,#N/A,FALSE,"Tabl. H1";#N/A,#N/A,FALSE,"Tabl. H2"}</definedName>
    <definedName name="_tab1" localSheetId="28" hidden="1">{#N/A,#N/A,FALSE,"Tabl. H1";#N/A,#N/A,FALSE,"Tabl. H2"}</definedName>
    <definedName name="_tab1" localSheetId="29" hidden="1">{#N/A,#N/A,FALSE,"Tabl. H1";#N/A,#N/A,FALSE,"Tabl. H2"}</definedName>
    <definedName name="_tab1" localSheetId="30" hidden="1">{#N/A,#N/A,FALSE,"Tabl. H1";#N/A,#N/A,FALSE,"Tabl. H2"}</definedName>
    <definedName name="_tab1" localSheetId="31" hidden="1">{#N/A,#N/A,FALSE,"Tabl. H1";#N/A,#N/A,FALSE,"Tabl. H2"}</definedName>
    <definedName name="_tab1" localSheetId="32" hidden="1">{#N/A,#N/A,FALSE,"Tabl. H1";#N/A,#N/A,FALSE,"Tabl. H2"}</definedName>
    <definedName name="_tab1" hidden="1">{#N/A,#N/A,FALSE,"Tabl. H1";#N/A,#N/A,FALSE,"Tabl. H2"}</definedName>
    <definedName name="_tab11" localSheetId="3" hidden="1">{#N/A,#N/A,FALSE,"Tabl. G1";#N/A,#N/A,FALSE,"Tabl. G2"}</definedName>
    <definedName name="_tab11" localSheetId="5" hidden="1">{#N/A,#N/A,FALSE,"Tabl. G1";#N/A,#N/A,FALSE,"Tabl. G2"}</definedName>
    <definedName name="_tab11" localSheetId="6" hidden="1">{#N/A,#N/A,FALSE,"Tabl. G1";#N/A,#N/A,FALSE,"Tabl. G2"}</definedName>
    <definedName name="_tab11" localSheetId="7" hidden="1">{#N/A,#N/A,FALSE,"Tabl. G1";#N/A,#N/A,FALSE,"Tabl. G2"}</definedName>
    <definedName name="_tab11" localSheetId="9" hidden="1">{#N/A,#N/A,FALSE,"Tabl. G1";#N/A,#N/A,FALSE,"Tabl. G2"}</definedName>
    <definedName name="_tab11" localSheetId="10" hidden="1">{#N/A,#N/A,FALSE,"Tabl. G1";#N/A,#N/A,FALSE,"Tabl. G2"}</definedName>
    <definedName name="_tab11" localSheetId="11" hidden="1">{#N/A,#N/A,FALSE,"Tabl. G1";#N/A,#N/A,FALSE,"Tabl. G2"}</definedName>
    <definedName name="_tab11" localSheetId="12" hidden="1">{#N/A,#N/A,FALSE,"Tabl. G1";#N/A,#N/A,FALSE,"Tabl. G2"}</definedName>
    <definedName name="_tab11" localSheetId="13" hidden="1">{#N/A,#N/A,FALSE,"Tabl. G1";#N/A,#N/A,FALSE,"Tabl. G2"}</definedName>
    <definedName name="_tab11" localSheetId="14" hidden="1">{#N/A,#N/A,FALSE,"Tabl. G1";#N/A,#N/A,FALSE,"Tabl. G2"}</definedName>
    <definedName name="_tab11" localSheetId="15" hidden="1">{#N/A,#N/A,FALSE,"Tabl. G1";#N/A,#N/A,FALSE,"Tabl. G2"}</definedName>
    <definedName name="_tab11" localSheetId="20" hidden="1">{#N/A,#N/A,FALSE,"Tabl. G1";#N/A,#N/A,FALSE,"Tabl. G2"}</definedName>
    <definedName name="_tab11" localSheetId="21" hidden="1">{#N/A,#N/A,FALSE,"Tabl. G1";#N/A,#N/A,FALSE,"Tabl. G2"}</definedName>
    <definedName name="_tab11" localSheetId="22" hidden="1">{#N/A,#N/A,FALSE,"Tabl. G1";#N/A,#N/A,FALSE,"Tabl. G2"}</definedName>
    <definedName name="_tab11" localSheetId="23" hidden="1">{#N/A,#N/A,FALSE,"Tabl. G1";#N/A,#N/A,FALSE,"Tabl. G2"}</definedName>
    <definedName name="_tab11" localSheetId="24" hidden="1">{#N/A,#N/A,FALSE,"Tabl. G1";#N/A,#N/A,FALSE,"Tabl. G2"}</definedName>
    <definedName name="_tab11" localSheetId="25" hidden="1">{#N/A,#N/A,FALSE,"Tabl. G1";#N/A,#N/A,FALSE,"Tabl. G2"}</definedName>
    <definedName name="_tab11" localSheetId="26" hidden="1">{#N/A,#N/A,FALSE,"Tabl. G1";#N/A,#N/A,FALSE,"Tabl. G2"}</definedName>
    <definedName name="_tab11" localSheetId="27" hidden="1">{#N/A,#N/A,FALSE,"Tabl. G1";#N/A,#N/A,FALSE,"Tabl. G2"}</definedName>
    <definedName name="_tab11" localSheetId="28" hidden="1">{#N/A,#N/A,FALSE,"Tabl. G1";#N/A,#N/A,FALSE,"Tabl. G2"}</definedName>
    <definedName name="_tab11" localSheetId="29" hidden="1">{#N/A,#N/A,FALSE,"Tabl. G1";#N/A,#N/A,FALSE,"Tabl. G2"}</definedName>
    <definedName name="_tab11" localSheetId="30" hidden="1">{#N/A,#N/A,FALSE,"Tabl. G1";#N/A,#N/A,FALSE,"Tabl. G2"}</definedName>
    <definedName name="_tab11" localSheetId="31" hidden="1">{#N/A,#N/A,FALSE,"Tabl. G1";#N/A,#N/A,FALSE,"Tabl. G2"}</definedName>
    <definedName name="_tab11" localSheetId="32" hidden="1">{#N/A,#N/A,FALSE,"Tabl. G1";#N/A,#N/A,FALSE,"Tabl. G2"}</definedName>
    <definedName name="_tab11" hidden="1">{#N/A,#N/A,FALSE,"Tabl. G1";#N/A,#N/A,FALSE,"Tabl. G2"}</definedName>
    <definedName name="_TAB120" localSheetId="3" hidden="1">{#N/A,#N/A,FALSE,"Tabl. FB300";#N/A,#N/A,FALSE,"Tabl. FB350";#N/A,#N/A,FALSE,"Tabl. FB400";#N/A,#N/A,FALSE,"Tabl. FB500";#N/A,#N/A,FALSE,"Tabl. FS090"}</definedName>
    <definedName name="_TAB120" localSheetId="5" hidden="1">{#N/A,#N/A,FALSE,"Tabl. FB300";#N/A,#N/A,FALSE,"Tabl. FB350";#N/A,#N/A,FALSE,"Tabl. FB400";#N/A,#N/A,FALSE,"Tabl. FB500";#N/A,#N/A,FALSE,"Tabl. FS090"}</definedName>
    <definedName name="_TAB120" localSheetId="6" hidden="1">{#N/A,#N/A,FALSE,"Tabl. FB300";#N/A,#N/A,FALSE,"Tabl. FB350";#N/A,#N/A,FALSE,"Tabl. FB400";#N/A,#N/A,FALSE,"Tabl. FB500";#N/A,#N/A,FALSE,"Tabl. FS090"}</definedName>
    <definedName name="_TAB120" localSheetId="7" hidden="1">{#N/A,#N/A,FALSE,"Tabl. FB300";#N/A,#N/A,FALSE,"Tabl. FB350";#N/A,#N/A,FALSE,"Tabl. FB400";#N/A,#N/A,FALSE,"Tabl. FB500";#N/A,#N/A,FALSE,"Tabl. FS090"}</definedName>
    <definedName name="_TAB120" localSheetId="9" hidden="1">{#N/A,#N/A,FALSE,"Tabl. FB300";#N/A,#N/A,FALSE,"Tabl. FB350";#N/A,#N/A,FALSE,"Tabl. FB400";#N/A,#N/A,FALSE,"Tabl. FB500";#N/A,#N/A,FALSE,"Tabl. FS090"}</definedName>
    <definedName name="_TAB120" localSheetId="10" hidden="1">{#N/A,#N/A,FALSE,"Tabl. FB300";#N/A,#N/A,FALSE,"Tabl. FB350";#N/A,#N/A,FALSE,"Tabl. FB400";#N/A,#N/A,FALSE,"Tabl. FB500";#N/A,#N/A,FALSE,"Tabl. FS090"}</definedName>
    <definedName name="_TAB120" localSheetId="11" hidden="1">{#N/A,#N/A,FALSE,"Tabl. FB300";#N/A,#N/A,FALSE,"Tabl. FB350";#N/A,#N/A,FALSE,"Tabl. FB400";#N/A,#N/A,FALSE,"Tabl. FB500";#N/A,#N/A,FALSE,"Tabl. FS090"}</definedName>
    <definedName name="_TAB120" localSheetId="12" hidden="1">{#N/A,#N/A,FALSE,"Tabl. FB300";#N/A,#N/A,FALSE,"Tabl. FB350";#N/A,#N/A,FALSE,"Tabl. FB400";#N/A,#N/A,FALSE,"Tabl. FB500";#N/A,#N/A,FALSE,"Tabl. FS090"}</definedName>
    <definedName name="_TAB120" localSheetId="13" hidden="1">{#N/A,#N/A,FALSE,"Tabl. FB300";#N/A,#N/A,FALSE,"Tabl. FB350";#N/A,#N/A,FALSE,"Tabl. FB400";#N/A,#N/A,FALSE,"Tabl. FB500";#N/A,#N/A,FALSE,"Tabl. FS090"}</definedName>
    <definedName name="_TAB120" localSheetId="14" hidden="1">{#N/A,#N/A,FALSE,"Tabl. FB300";#N/A,#N/A,FALSE,"Tabl. FB350";#N/A,#N/A,FALSE,"Tabl. FB400";#N/A,#N/A,FALSE,"Tabl. FB500";#N/A,#N/A,FALSE,"Tabl. FS090"}</definedName>
    <definedName name="_TAB120" localSheetId="15" hidden="1">{#N/A,#N/A,FALSE,"Tabl. FB300";#N/A,#N/A,FALSE,"Tabl. FB350";#N/A,#N/A,FALSE,"Tabl. FB400";#N/A,#N/A,FALSE,"Tabl. FB500";#N/A,#N/A,FALSE,"Tabl. FS090"}</definedName>
    <definedName name="_TAB120" localSheetId="20" hidden="1">{#N/A,#N/A,FALSE,"Tabl. FB300";#N/A,#N/A,FALSE,"Tabl. FB350";#N/A,#N/A,FALSE,"Tabl. FB400";#N/A,#N/A,FALSE,"Tabl. FB500";#N/A,#N/A,FALSE,"Tabl. FS090"}</definedName>
    <definedName name="_TAB120" localSheetId="21" hidden="1">{#N/A,#N/A,FALSE,"Tabl. FB300";#N/A,#N/A,FALSE,"Tabl. FB350";#N/A,#N/A,FALSE,"Tabl. FB400";#N/A,#N/A,FALSE,"Tabl. FB500";#N/A,#N/A,FALSE,"Tabl. FS090"}</definedName>
    <definedName name="_TAB120" localSheetId="22" hidden="1">{#N/A,#N/A,FALSE,"Tabl. FB300";#N/A,#N/A,FALSE,"Tabl. FB350";#N/A,#N/A,FALSE,"Tabl. FB400";#N/A,#N/A,FALSE,"Tabl. FB500";#N/A,#N/A,FALSE,"Tabl. FS090"}</definedName>
    <definedName name="_TAB120" localSheetId="23" hidden="1">{#N/A,#N/A,FALSE,"Tabl. FB300";#N/A,#N/A,FALSE,"Tabl. FB350";#N/A,#N/A,FALSE,"Tabl. FB400";#N/A,#N/A,FALSE,"Tabl. FB500";#N/A,#N/A,FALSE,"Tabl. FS090"}</definedName>
    <definedName name="_TAB120" localSheetId="24" hidden="1">{#N/A,#N/A,FALSE,"Tabl. FB300";#N/A,#N/A,FALSE,"Tabl. FB350";#N/A,#N/A,FALSE,"Tabl. FB400";#N/A,#N/A,FALSE,"Tabl. FB500";#N/A,#N/A,FALSE,"Tabl. FS090"}</definedName>
    <definedName name="_TAB120" localSheetId="25" hidden="1">{#N/A,#N/A,FALSE,"Tabl. FB300";#N/A,#N/A,FALSE,"Tabl. FB350";#N/A,#N/A,FALSE,"Tabl. FB400";#N/A,#N/A,FALSE,"Tabl. FB500";#N/A,#N/A,FALSE,"Tabl. FS090"}</definedName>
    <definedName name="_TAB120" localSheetId="26" hidden="1">{#N/A,#N/A,FALSE,"Tabl. FB300";#N/A,#N/A,FALSE,"Tabl. FB350";#N/A,#N/A,FALSE,"Tabl. FB400";#N/A,#N/A,FALSE,"Tabl. FB500";#N/A,#N/A,FALSE,"Tabl. FS090"}</definedName>
    <definedName name="_TAB120" localSheetId="27" hidden="1">{#N/A,#N/A,FALSE,"Tabl. FB300";#N/A,#N/A,FALSE,"Tabl. FB350";#N/A,#N/A,FALSE,"Tabl. FB400";#N/A,#N/A,FALSE,"Tabl. FB500";#N/A,#N/A,FALSE,"Tabl. FS090"}</definedName>
    <definedName name="_TAB120" localSheetId="28" hidden="1">{#N/A,#N/A,FALSE,"Tabl. FB300";#N/A,#N/A,FALSE,"Tabl. FB350";#N/A,#N/A,FALSE,"Tabl. FB400";#N/A,#N/A,FALSE,"Tabl. FB500";#N/A,#N/A,FALSE,"Tabl. FS090"}</definedName>
    <definedName name="_TAB120" localSheetId="29" hidden="1">{#N/A,#N/A,FALSE,"Tabl. FB300";#N/A,#N/A,FALSE,"Tabl. FB350";#N/A,#N/A,FALSE,"Tabl. FB400";#N/A,#N/A,FALSE,"Tabl. FB500";#N/A,#N/A,FALSE,"Tabl. FS090"}</definedName>
    <definedName name="_TAB120" localSheetId="30" hidden="1">{#N/A,#N/A,FALSE,"Tabl. FB300";#N/A,#N/A,FALSE,"Tabl. FB350";#N/A,#N/A,FALSE,"Tabl. FB400";#N/A,#N/A,FALSE,"Tabl. FB500";#N/A,#N/A,FALSE,"Tabl. FS090"}</definedName>
    <definedName name="_TAB120" localSheetId="31" hidden="1">{#N/A,#N/A,FALSE,"Tabl. FB300";#N/A,#N/A,FALSE,"Tabl. FB350";#N/A,#N/A,FALSE,"Tabl. FB400";#N/A,#N/A,FALSE,"Tabl. FB500";#N/A,#N/A,FALSE,"Tabl. FS090"}</definedName>
    <definedName name="_TAB120" localSheetId="32" hidden="1">{#N/A,#N/A,FALSE,"Tabl. FB300";#N/A,#N/A,FALSE,"Tabl. FB350";#N/A,#N/A,FALSE,"Tabl. FB400";#N/A,#N/A,FALSE,"Tabl. FB500";#N/A,#N/A,FALSE,"Tabl. FS090"}</definedName>
    <definedName name="_TAB120" hidden="1">{#N/A,#N/A,FALSE,"Tabl. FB300";#N/A,#N/A,FALSE,"Tabl. FB350";#N/A,#N/A,FALSE,"Tabl. FB400";#N/A,#N/A,FALSE,"Tabl. FB500";#N/A,#N/A,FALSE,"Tabl. FS090"}</definedName>
    <definedName name="_tab14" localSheetId="3" hidden="1">{#N/A,#N/A,FALSE,"Tabl. FB300";#N/A,#N/A,FALSE,"Tabl. FB350";#N/A,#N/A,FALSE,"Tabl. FB400";#N/A,#N/A,FALSE,"Tabl. FB500";#N/A,#N/A,FALSE,"Tabl. FS090"}</definedName>
    <definedName name="_tab14" localSheetId="5" hidden="1">{#N/A,#N/A,FALSE,"Tabl. FB300";#N/A,#N/A,FALSE,"Tabl. FB350";#N/A,#N/A,FALSE,"Tabl. FB400";#N/A,#N/A,FALSE,"Tabl. FB500";#N/A,#N/A,FALSE,"Tabl. FS090"}</definedName>
    <definedName name="_tab14" localSheetId="6" hidden="1">{#N/A,#N/A,FALSE,"Tabl. FB300";#N/A,#N/A,FALSE,"Tabl. FB350";#N/A,#N/A,FALSE,"Tabl. FB400";#N/A,#N/A,FALSE,"Tabl. FB500";#N/A,#N/A,FALSE,"Tabl. FS090"}</definedName>
    <definedName name="_tab14" localSheetId="7" hidden="1">{#N/A,#N/A,FALSE,"Tabl. FB300";#N/A,#N/A,FALSE,"Tabl. FB350";#N/A,#N/A,FALSE,"Tabl. FB400";#N/A,#N/A,FALSE,"Tabl. FB500";#N/A,#N/A,FALSE,"Tabl. FS090"}</definedName>
    <definedName name="_tab14" localSheetId="9" hidden="1">{#N/A,#N/A,FALSE,"Tabl. FB300";#N/A,#N/A,FALSE,"Tabl. FB350";#N/A,#N/A,FALSE,"Tabl. FB400";#N/A,#N/A,FALSE,"Tabl. FB500";#N/A,#N/A,FALSE,"Tabl. FS090"}</definedName>
    <definedName name="_tab14" localSheetId="10" hidden="1">{#N/A,#N/A,FALSE,"Tabl. FB300";#N/A,#N/A,FALSE,"Tabl. FB350";#N/A,#N/A,FALSE,"Tabl. FB400";#N/A,#N/A,FALSE,"Tabl. FB500";#N/A,#N/A,FALSE,"Tabl. FS090"}</definedName>
    <definedName name="_tab14" localSheetId="11" hidden="1">{#N/A,#N/A,FALSE,"Tabl. FB300";#N/A,#N/A,FALSE,"Tabl. FB350";#N/A,#N/A,FALSE,"Tabl. FB400";#N/A,#N/A,FALSE,"Tabl. FB500";#N/A,#N/A,FALSE,"Tabl. FS090"}</definedName>
    <definedName name="_tab14" localSheetId="12" hidden="1">{#N/A,#N/A,FALSE,"Tabl. FB300";#N/A,#N/A,FALSE,"Tabl. FB350";#N/A,#N/A,FALSE,"Tabl. FB400";#N/A,#N/A,FALSE,"Tabl. FB500";#N/A,#N/A,FALSE,"Tabl. FS090"}</definedName>
    <definedName name="_tab14" localSheetId="13" hidden="1">{#N/A,#N/A,FALSE,"Tabl. FB300";#N/A,#N/A,FALSE,"Tabl. FB350";#N/A,#N/A,FALSE,"Tabl. FB400";#N/A,#N/A,FALSE,"Tabl. FB500";#N/A,#N/A,FALSE,"Tabl. FS090"}</definedName>
    <definedName name="_tab14" localSheetId="14" hidden="1">{#N/A,#N/A,FALSE,"Tabl. FB300";#N/A,#N/A,FALSE,"Tabl. FB350";#N/A,#N/A,FALSE,"Tabl. FB400";#N/A,#N/A,FALSE,"Tabl. FB500";#N/A,#N/A,FALSE,"Tabl. FS090"}</definedName>
    <definedName name="_tab14" localSheetId="15" hidden="1">{#N/A,#N/A,FALSE,"Tabl. FB300";#N/A,#N/A,FALSE,"Tabl. FB350";#N/A,#N/A,FALSE,"Tabl. FB400";#N/A,#N/A,FALSE,"Tabl. FB500";#N/A,#N/A,FALSE,"Tabl. FS090"}</definedName>
    <definedName name="_tab14" localSheetId="20" hidden="1">{#N/A,#N/A,FALSE,"Tabl. FB300";#N/A,#N/A,FALSE,"Tabl. FB350";#N/A,#N/A,FALSE,"Tabl. FB400";#N/A,#N/A,FALSE,"Tabl. FB500";#N/A,#N/A,FALSE,"Tabl. FS090"}</definedName>
    <definedName name="_tab14" localSheetId="21" hidden="1">{#N/A,#N/A,FALSE,"Tabl. FB300";#N/A,#N/A,FALSE,"Tabl. FB350";#N/A,#N/A,FALSE,"Tabl. FB400";#N/A,#N/A,FALSE,"Tabl. FB500";#N/A,#N/A,FALSE,"Tabl. FS090"}</definedName>
    <definedName name="_tab14" localSheetId="22" hidden="1">{#N/A,#N/A,FALSE,"Tabl. FB300";#N/A,#N/A,FALSE,"Tabl. FB350";#N/A,#N/A,FALSE,"Tabl. FB400";#N/A,#N/A,FALSE,"Tabl. FB500";#N/A,#N/A,FALSE,"Tabl. FS090"}</definedName>
    <definedName name="_tab14" localSheetId="23" hidden="1">{#N/A,#N/A,FALSE,"Tabl. FB300";#N/A,#N/A,FALSE,"Tabl. FB350";#N/A,#N/A,FALSE,"Tabl. FB400";#N/A,#N/A,FALSE,"Tabl. FB500";#N/A,#N/A,FALSE,"Tabl. FS090"}</definedName>
    <definedName name="_tab14" localSheetId="24" hidden="1">{#N/A,#N/A,FALSE,"Tabl. FB300";#N/A,#N/A,FALSE,"Tabl. FB350";#N/A,#N/A,FALSE,"Tabl. FB400";#N/A,#N/A,FALSE,"Tabl. FB500";#N/A,#N/A,FALSE,"Tabl. FS090"}</definedName>
    <definedName name="_tab14" localSheetId="25" hidden="1">{#N/A,#N/A,FALSE,"Tabl. FB300";#N/A,#N/A,FALSE,"Tabl. FB350";#N/A,#N/A,FALSE,"Tabl. FB400";#N/A,#N/A,FALSE,"Tabl. FB500";#N/A,#N/A,FALSE,"Tabl. FS090"}</definedName>
    <definedName name="_tab14" localSheetId="26" hidden="1">{#N/A,#N/A,FALSE,"Tabl. FB300";#N/A,#N/A,FALSE,"Tabl. FB350";#N/A,#N/A,FALSE,"Tabl. FB400";#N/A,#N/A,FALSE,"Tabl. FB500";#N/A,#N/A,FALSE,"Tabl. FS090"}</definedName>
    <definedName name="_tab14" localSheetId="27" hidden="1">{#N/A,#N/A,FALSE,"Tabl. FB300";#N/A,#N/A,FALSE,"Tabl. FB350";#N/A,#N/A,FALSE,"Tabl. FB400";#N/A,#N/A,FALSE,"Tabl. FB500";#N/A,#N/A,FALSE,"Tabl. FS090"}</definedName>
    <definedName name="_tab14" localSheetId="28" hidden="1">{#N/A,#N/A,FALSE,"Tabl. FB300";#N/A,#N/A,FALSE,"Tabl. FB350";#N/A,#N/A,FALSE,"Tabl. FB400";#N/A,#N/A,FALSE,"Tabl. FB500";#N/A,#N/A,FALSE,"Tabl. FS090"}</definedName>
    <definedName name="_tab14" localSheetId="29" hidden="1">{#N/A,#N/A,FALSE,"Tabl. FB300";#N/A,#N/A,FALSE,"Tabl. FB350";#N/A,#N/A,FALSE,"Tabl. FB400";#N/A,#N/A,FALSE,"Tabl. FB500";#N/A,#N/A,FALSE,"Tabl. FS090"}</definedName>
    <definedName name="_tab14" localSheetId="30" hidden="1">{#N/A,#N/A,FALSE,"Tabl. FB300";#N/A,#N/A,FALSE,"Tabl. FB350";#N/A,#N/A,FALSE,"Tabl. FB400";#N/A,#N/A,FALSE,"Tabl. FB500";#N/A,#N/A,FALSE,"Tabl. FS090"}</definedName>
    <definedName name="_tab14" localSheetId="31" hidden="1">{#N/A,#N/A,FALSE,"Tabl. FB300";#N/A,#N/A,FALSE,"Tabl. FB350";#N/A,#N/A,FALSE,"Tabl. FB400";#N/A,#N/A,FALSE,"Tabl. FB500";#N/A,#N/A,FALSE,"Tabl. FS090"}</definedName>
    <definedName name="_tab14" localSheetId="32" hidden="1">{#N/A,#N/A,FALSE,"Tabl. FB300";#N/A,#N/A,FALSE,"Tabl. FB350";#N/A,#N/A,FALSE,"Tabl. FB400";#N/A,#N/A,FALSE,"Tabl. FB500";#N/A,#N/A,FALSE,"Tabl. FS090"}</definedName>
    <definedName name="_tab14" hidden="1">{#N/A,#N/A,FALSE,"Tabl. FB300";#N/A,#N/A,FALSE,"Tabl. FB350";#N/A,#N/A,FALSE,"Tabl. FB400";#N/A,#N/A,FALSE,"Tabl. FB500";#N/A,#N/A,FALSE,"Tabl. FS090"}</definedName>
    <definedName name="_tab15" localSheetId="3" hidden="1">{#N/A,#N/A,FALSE,"Tabl. A1";#N/A,#N/A,FALSE,"Tabl. A1 b";#N/A,#N/A,FALSE,"Tabl. A2";#N/A,#N/A,FALSE,"Tabl. A2-1";#N/A,#N/A,FALSE,"Tabl. A2-2"}</definedName>
    <definedName name="_tab15" localSheetId="5" hidden="1">{#N/A,#N/A,FALSE,"Tabl. A1";#N/A,#N/A,FALSE,"Tabl. A1 b";#N/A,#N/A,FALSE,"Tabl. A2";#N/A,#N/A,FALSE,"Tabl. A2-1";#N/A,#N/A,FALSE,"Tabl. A2-2"}</definedName>
    <definedName name="_tab15" localSheetId="6" hidden="1">{#N/A,#N/A,FALSE,"Tabl. A1";#N/A,#N/A,FALSE,"Tabl. A1 b";#N/A,#N/A,FALSE,"Tabl. A2";#N/A,#N/A,FALSE,"Tabl. A2-1";#N/A,#N/A,FALSE,"Tabl. A2-2"}</definedName>
    <definedName name="_tab15" localSheetId="7" hidden="1">{#N/A,#N/A,FALSE,"Tabl. A1";#N/A,#N/A,FALSE,"Tabl. A1 b";#N/A,#N/A,FALSE,"Tabl. A2";#N/A,#N/A,FALSE,"Tabl. A2-1";#N/A,#N/A,FALSE,"Tabl. A2-2"}</definedName>
    <definedName name="_tab15" localSheetId="9" hidden="1">{#N/A,#N/A,FALSE,"Tabl. A1";#N/A,#N/A,FALSE,"Tabl. A1 b";#N/A,#N/A,FALSE,"Tabl. A2";#N/A,#N/A,FALSE,"Tabl. A2-1";#N/A,#N/A,FALSE,"Tabl. A2-2"}</definedName>
    <definedName name="_tab15" localSheetId="10" hidden="1">{#N/A,#N/A,FALSE,"Tabl. A1";#N/A,#N/A,FALSE,"Tabl. A1 b";#N/A,#N/A,FALSE,"Tabl. A2";#N/A,#N/A,FALSE,"Tabl. A2-1";#N/A,#N/A,FALSE,"Tabl. A2-2"}</definedName>
    <definedName name="_tab15" localSheetId="11" hidden="1">{#N/A,#N/A,FALSE,"Tabl. A1";#N/A,#N/A,FALSE,"Tabl. A1 b";#N/A,#N/A,FALSE,"Tabl. A2";#N/A,#N/A,FALSE,"Tabl. A2-1";#N/A,#N/A,FALSE,"Tabl. A2-2"}</definedName>
    <definedName name="_tab15" localSheetId="12" hidden="1">{#N/A,#N/A,FALSE,"Tabl. A1";#N/A,#N/A,FALSE,"Tabl. A1 b";#N/A,#N/A,FALSE,"Tabl. A2";#N/A,#N/A,FALSE,"Tabl. A2-1";#N/A,#N/A,FALSE,"Tabl. A2-2"}</definedName>
    <definedName name="_tab15" localSheetId="13" hidden="1">{#N/A,#N/A,FALSE,"Tabl. A1";#N/A,#N/A,FALSE,"Tabl. A1 b";#N/A,#N/A,FALSE,"Tabl. A2";#N/A,#N/A,FALSE,"Tabl. A2-1";#N/A,#N/A,FALSE,"Tabl. A2-2"}</definedName>
    <definedName name="_tab15" localSheetId="14" hidden="1">{#N/A,#N/A,FALSE,"Tabl. A1";#N/A,#N/A,FALSE,"Tabl. A1 b";#N/A,#N/A,FALSE,"Tabl. A2";#N/A,#N/A,FALSE,"Tabl. A2-1";#N/A,#N/A,FALSE,"Tabl. A2-2"}</definedName>
    <definedName name="_tab15" localSheetId="15" hidden="1">{#N/A,#N/A,FALSE,"Tabl. A1";#N/A,#N/A,FALSE,"Tabl. A1 b";#N/A,#N/A,FALSE,"Tabl. A2";#N/A,#N/A,FALSE,"Tabl. A2-1";#N/A,#N/A,FALSE,"Tabl. A2-2"}</definedName>
    <definedName name="_tab15" localSheetId="20" hidden="1">{#N/A,#N/A,FALSE,"Tabl. A1";#N/A,#N/A,FALSE,"Tabl. A1 b";#N/A,#N/A,FALSE,"Tabl. A2";#N/A,#N/A,FALSE,"Tabl. A2-1";#N/A,#N/A,FALSE,"Tabl. A2-2"}</definedName>
    <definedName name="_tab15" localSheetId="21" hidden="1">{#N/A,#N/A,FALSE,"Tabl. A1";#N/A,#N/A,FALSE,"Tabl. A1 b";#N/A,#N/A,FALSE,"Tabl. A2";#N/A,#N/A,FALSE,"Tabl. A2-1";#N/A,#N/A,FALSE,"Tabl. A2-2"}</definedName>
    <definedName name="_tab15" localSheetId="22" hidden="1">{#N/A,#N/A,FALSE,"Tabl. A1";#N/A,#N/A,FALSE,"Tabl. A1 b";#N/A,#N/A,FALSE,"Tabl. A2";#N/A,#N/A,FALSE,"Tabl. A2-1";#N/A,#N/A,FALSE,"Tabl. A2-2"}</definedName>
    <definedName name="_tab15" localSheetId="23" hidden="1">{#N/A,#N/A,FALSE,"Tabl. A1";#N/A,#N/A,FALSE,"Tabl. A1 b";#N/A,#N/A,FALSE,"Tabl. A2";#N/A,#N/A,FALSE,"Tabl. A2-1";#N/A,#N/A,FALSE,"Tabl. A2-2"}</definedName>
    <definedName name="_tab15" localSheetId="24" hidden="1">{#N/A,#N/A,FALSE,"Tabl. A1";#N/A,#N/A,FALSE,"Tabl. A1 b";#N/A,#N/A,FALSE,"Tabl. A2";#N/A,#N/A,FALSE,"Tabl. A2-1";#N/A,#N/A,FALSE,"Tabl. A2-2"}</definedName>
    <definedName name="_tab15" localSheetId="25" hidden="1">{#N/A,#N/A,FALSE,"Tabl. A1";#N/A,#N/A,FALSE,"Tabl. A1 b";#N/A,#N/A,FALSE,"Tabl. A2";#N/A,#N/A,FALSE,"Tabl. A2-1";#N/A,#N/A,FALSE,"Tabl. A2-2"}</definedName>
    <definedName name="_tab15" localSheetId="26" hidden="1">{#N/A,#N/A,FALSE,"Tabl. A1";#N/A,#N/A,FALSE,"Tabl. A1 b";#N/A,#N/A,FALSE,"Tabl. A2";#N/A,#N/A,FALSE,"Tabl. A2-1";#N/A,#N/A,FALSE,"Tabl. A2-2"}</definedName>
    <definedName name="_tab15" localSheetId="27" hidden="1">{#N/A,#N/A,FALSE,"Tabl. A1";#N/A,#N/A,FALSE,"Tabl. A1 b";#N/A,#N/A,FALSE,"Tabl. A2";#N/A,#N/A,FALSE,"Tabl. A2-1";#N/A,#N/A,FALSE,"Tabl. A2-2"}</definedName>
    <definedName name="_tab15" localSheetId="28" hidden="1">{#N/A,#N/A,FALSE,"Tabl. A1";#N/A,#N/A,FALSE,"Tabl. A1 b";#N/A,#N/A,FALSE,"Tabl. A2";#N/A,#N/A,FALSE,"Tabl. A2-1";#N/A,#N/A,FALSE,"Tabl. A2-2"}</definedName>
    <definedName name="_tab15" localSheetId="29" hidden="1">{#N/A,#N/A,FALSE,"Tabl. A1";#N/A,#N/A,FALSE,"Tabl. A1 b";#N/A,#N/A,FALSE,"Tabl. A2";#N/A,#N/A,FALSE,"Tabl. A2-1";#N/A,#N/A,FALSE,"Tabl. A2-2"}</definedName>
    <definedName name="_tab15" localSheetId="30" hidden="1">{#N/A,#N/A,FALSE,"Tabl. A1";#N/A,#N/A,FALSE,"Tabl. A1 b";#N/A,#N/A,FALSE,"Tabl. A2";#N/A,#N/A,FALSE,"Tabl. A2-1";#N/A,#N/A,FALSE,"Tabl. A2-2"}</definedName>
    <definedName name="_tab15" localSheetId="31" hidden="1">{#N/A,#N/A,FALSE,"Tabl. A1";#N/A,#N/A,FALSE,"Tabl. A1 b";#N/A,#N/A,FALSE,"Tabl. A2";#N/A,#N/A,FALSE,"Tabl. A2-1";#N/A,#N/A,FALSE,"Tabl. A2-2"}</definedName>
    <definedName name="_tab15" localSheetId="32" hidden="1">{#N/A,#N/A,FALSE,"Tabl. A1";#N/A,#N/A,FALSE,"Tabl. A1 b";#N/A,#N/A,FALSE,"Tabl. A2";#N/A,#N/A,FALSE,"Tabl. A2-1";#N/A,#N/A,FALSE,"Tabl. A2-2"}</definedName>
    <definedName name="_tab15" hidden="1">{#N/A,#N/A,FALSE,"Tabl. A1";#N/A,#N/A,FALSE,"Tabl. A1 b";#N/A,#N/A,FALSE,"Tabl. A2";#N/A,#N/A,FALSE,"Tabl. A2-1";#N/A,#N/A,FALSE,"Tabl. A2-2"}</definedName>
    <definedName name="_TAB20" localSheetId="3" hidden="1">{#N/A,#N/A,FALSE,"Tabl. D1";#N/A,#N/A,FALSE,"Tabl. D1 b";#N/A,#N/A,FALSE,"Tabl. D2";#N/A,#N/A,FALSE,"Tabl. D2 b";#N/A,#N/A,FALSE,"Tabl. D3";#N/A,#N/A,FALSE,"Tabl. D4";#N/A,#N/A,FALSE,"Tabl. D5"}</definedName>
    <definedName name="_TAB20" localSheetId="5" hidden="1">{#N/A,#N/A,FALSE,"Tabl. D1";#N/A,#N/A,FALSE,"Tabl. D1 b";#N/A,#N/A,FALSE,"Tabl. D2";#N/A,#N/A,FALSE,"Tabl. D2 b";#N/A,#N/A,FALSE,"Tabl. D3";#N/A,#N/A,FALSE,"Tabl. D4";#N/A,#N/A,FALSE,"Tabl. D5"}</definedName>
    <definedName name="_TAB20" localSheetId="6" hidden="1">{#N/A,#N/A,FALSE,"Tabl. D1";#N/A,#N/A,FALSE,"Tabl. D1 b";#N/A,#N/A,FALSE,"Tabl. D2";#N/A,#N/A,FALSE,"Tabl. D2 b";#N/A,#N/A,FALSE,"Tabl. D3";#N/A,#N/A,FALSE,"Tabl. D4";#N/A,#N/A,FALSE,"Tabl. D5"}</definedName>
    <definedName name="_TAB20" localSheetId="7" hidden="1">{#N/A,#N/A,FALSE,"Tabl. D1";#N/A,#N/A,FALSE,"Tabl. D1 b";#N/A,#N/A,FALSE,"Tabl. D2";#N/A,#N/A,FALSE,"Tabl. D2 b";#N/A,#N/A,FALSE,"Tabl. D3";#N/A,#N/A,FALSE,"Tabl. D4";#N/A,#N/A,FALSE,"Tabl. D5"}</definedName>
    <definedName name="_TAB20" localSheetId="9" hidden="1">{#N/A,#N/A,FALSE,"Tabl. D1";#N/A,#N/A,FALSE,"Tabl. D1 b";#N/A,#N/A,FALSE,"Tabl. D2";#N/A,#N/A,FALSE,"Tabl. D2 b";#N/A,#N/A,FALSE,"Tabl. D3";#N/A,#N/A,FALSE,"Tabl. D4";#N/A,#N/A,FALSE,"Tabl. D5"}</definedName>
    <definedName name="_TAB20" localSheetId="10" hidden="1">{#N/A,#N/A,FALSE,"Tabl. D1";#N/A,#N/A,FALSE,"Tabl. D1 b";#N/A,#N/A,FALSE,"Tabl. D2";#N/A,#N/A,FALSE,"Tabl. D2 b";#N/A,#N/A,FALSE,"Tabl. D3";#N/A,#N/A,FALSE,"Tabl. D4";#N/A,#N/A,FALSE,"Tabl. D5"}</definedName>
    <definedName name="_TAB20" localSheetId="11" hidden="1">{#N/A,#N/A,FALSE,"Tabl. D1";#N/A,#N/A,FALSE,"Tabl. D1 b";#N/A,#N/A,FALSE,"Tabl. D2";#N/A,#N/A,FALSE,"Tabl. D2 b";#N/A,#N/A,FALSE,"Tabl. D3";#N/A,#N/A,FALSE,"Tabl. D4";#N/A,#N/A,FALSE,"Tabl. D5"}</definedName>
    <definedName name="_TAB20" localSheetId="12" hidden="1">{#N/A,#N/A,FALSE,"Tabl. D1";#N/A,#N/A,FALSE,"Tabl. D1 b";#N/A,#N/A,FALSE,"Tabl. D2";#N/A,#N/A,FALSE,"Tabl. D2 b";#N/A,#N/A,FALSE,"Tabl. D3";#N/A,#N/A,FALSE,"Tabl. D4";#N/A,#N/A,FALSE,"Tabl. D5"}</definedName>
    <definedName name="_TAB20" localSheetId="13" hidden="1">{#N/A,#N/A,FALSE,"Tabl. D1";#N/A,#N/A,FALSE,"Tabl. D1 b";#N/A,#N/A,FALSE,"Tabl. D2";#N/A,#N/A,FALSE,"Tabl. D2 b";#N/A,#N/A,FALSE,"Tabl. D3";#N/A,#N/A,FALSE,"Tabl. D4";#N/A,#N/A,FALSE,"Tabl. D5"}</definedName>
    <definedName name="_TAB20" localSheetId="14" hidden="1">{#N/A,#N/A,FALSE,"Tabl. D1";#N/A,#N/A,FALSE,"Tabl. D1 b";#N/A,#N/A,FALSE,"Tabl. D2";#N/A,#N/A,FALSE,"Tabl. D2 b";#N/A,#N/A,FALSE,"Tabl. D3";#N/A,#N/A,FALSE,"Tabl. D4";#N/A,#N/A,FALSE,"Tabl. D5"}</definedName>
    <definedName name="_TAB20" localSheetId="15" hidden="1">{#N/A,#N/A,FALSE,"Tabl. D1";#N/A,#N/A,FALSE,"Tabl. D1 b";#N/A,#N/A,FALSE,"Tabl. D2";#N/A,#N/A,FALSE,"Tabl. D2 b";#N/A,#N/A,FALSE,"Tabl. D3";#N/A,#N/A,FALSE,"Tabl. D4";#N/A,#N/A,FALSE,"Tabl. D5"}</definedName>
    <definedName name="_TAB20" localSheetId="20" hidden="1">{#N/A,#N/A,FALSE,"Tabl. D1";#N/A,#N/A,FALSE,"Tabl. D1 b";#N/A,#N/A,FALSE,"Tabl. D2";#N/A,#N/A,FALSE,"Tabl. D2 b";#N/A,#N/A,FALSE,"Tabl. D3";#N/A,#N/A,FALSE,"Tabl. D4";#N/A,#N/A,FALSE,"Tabl. D5"}</definedName>
    <definedName name="_TAB20" localSheetId="21" hidden="1">{#N/A,#N/A,FALSE,"Tabl. D1";#N/A,#N/A,FALSE,"Tabl. D1 b";#N/A,#N/A,FALSE,"Tabl. D2";#N/A,#N/A,FALSE,"Tabl. D2 b";#N/A,#N/A,FALSE,"Tabl. D3";#N/A,#N/A,FALSE,"Tabl. D4";#N/A,#N/A,FALSE,"Tabl. D5"}</definedName>
    <definedName name="_TAB20" localSheetId="22" hidden="1">{#N/A,#N/A,FALSE,"Tabl. D1";#N/A,#N/A,FALSE,"Tabl. D1 b";#N/A,#N/A,FALSE,"Tabl. D2";#N/A,#N/A,FALSE,"Tabl. D2 b";#N/A,#N/A,FALSE,"Tabl. D3";#N/A,#N/A,FALSE,"Tabl. D4";#N/A,#N/A,FALSE,"Tabl. D5"}</definedName>
    <definedName name="_TAB20" localSheetId="23" hidden="1">{#N/A,#N/A,FALSE,"Tabl. D1";#N/A,#N/A,FALSE,"Tabl. D1 b";#N/A,#N/A,FALSE,"Tabl. D2";#N/A,#N/A,FALSE,"Tabl. D2 b";#N/A,#N/A,FALSE,"Tabl. D3";#N/A,#N/A,FALSE,"Tabl. D4";#N/A,#N/A,FALSE,"Tabl. D5"}</definedName>
    <definedName name="_TAB20" localSheetId="24" hidden="1">{#N/A,#N/A,FALSE,"Tabl. D1";#N/A,#N/A,FALSE,"Tabl. D1 b";#N/A,#N/A,FALSE,"Tabl. D2";#N/A,#N/A,FALSE,"Tabl. D2 b";#N/A,#N/A,FALSE,"Tabl. D3";#N/A,#N/A,FALSE,"Tabl. D4";#N/A,#N/A,FALSE,"Tabl. D5"}</definedName>
    <definedName name="_TAB20" localSheetId="25" hidden="1">{#N/A,#N/A,FALSE,"Tabl. D1";#N/A,#N/A,FALSE,"Tabl. D1 b";#N/A,#N/A,FALSE,"Tabl. D2";#N/A,#N/A,FALSE,"Tabl. D2 b";#N/A,#N/A,FALSE,"Tabl. D3";#N/A,#N/A,FALSE,"Tabl. D4";#N/A,#N/A,FALSE,"Tabl. D5"}</definedName>
    <definedName name="_TAB20" localSheetId="26" hidden="1">{#N/A,#N/A,FALSE,"Tabl. D1";#N/A,#N/A,FALSE,"Tabl. D1 b";#N/A,#N/A,FALSE,"Tabl. D2";#N/A,#N/A,FALSE,"Tabl. D2 b";#N/A,#N/A,FALSE,"Tabl. D3";#N/A,#N/A,FALSE,"Tabl. D4";#N/A,#N/A,FALSE,"Tabl. D5"}</definedName>
    <definedName name="_TAB20" localSheetId="27" hidden="1">{#N/A,#N/A,FALSE,"Tabl. D1";#N/A,#N/A,FALSE,"Tabl. D1 b";#N/A,#N/A,FALSE,"Tabl. D2";#N/A,#N/A,FALSE,"Tabl. D2 b";#N/A,#N/A,FALSE,"Tabl. D3";#N/A,#N/A,FALSE,"Tabl. D4";#N/A,#N/A,FALSE,"Tabl. D5"}</definedName>
    <definedName name="_TAB20" localSheetId="28" hidden="1">{#N/A,#N/A,FALSE,"Tabl. D1";#N/A,#N/A,FALSE,"Tabl. D1 b";#N/A,#N/A,FALSE,"Tabl. D2";#N/A,#N/A,FALSE,"Tabl. D2 b";#N/A,#N/A,FALSE,"Tabl. D3";#N/A,#N/A,FALSE,"Tabl. D4";#N/A,#N/A,FALSE,"Tabl. D5"}</definedName>
    <definedName name="_TAB20" localSheetId="29" hidden="1">{#N/A,#N/A,FALSE,"Tabl. D1";#N/A,#N/A,FALSE,"Tabl. D1 b";#N/A,#N/A,FALSE,"Tabl. D2";#N/A,#N/A,FALSE,"Tabl. D2 b";#N/A,#N/A,FALSE,"Tabl. D3";#N/A,#N/A,FALSE,"Tabl. D4";#N/A,#N/A,FALSE,"Tabl. D5"}</definedName>
    <definedName name="_TAB20" localSheetId="30" hidden="1">{#N/A,#N/A,FALSE,"Tabl. D1";#N/A,#N/A,FALSE,"Tabl. D1 b";#N/A,#N/A,FALSE,"Tabl. D2";#N/A,#N/A,FALSE,"Tabl. D2 b";#N/A,#N/A,FALSE,"Tabl. D3";#N/A,#N/A,FALSE,"Tabl. D4";#N/A,#N/A,FALSE,"Tabl. D5"}</definedName>
    <definedName name="_TAB20" localSheetId="31" hidden="1">{#N/A,#N/A,FALSE,"Tabl. D1";#N/A,#N/A,FALSE,"Tabl. D1 b";#N/A,#N/A,FALSE,"Tabl. D2";#N/A,#N/A,FALSE,"Tabl. D2 b";#N/A,#N/A,FALSE,"Tabl. D3";#N/A,#N/A,FALSE,"Tabl. D4";#N/A,#N/A,FALSE,"Tabl. D5"}</definedName>
    <definedName name="_TAB20" localSheetId="32" hidden="1">{#N/A,#N/A,FALSE,"Tabl. D1";#N/A,#N/A,FALSE,"Tabl. D1 b";#N/A,#N/A,FALSE,"Tabl. D2";#N/A,#N/A,FALSE,"Tabl. D2 b";#N/A,#N/A,FALSE,"Tabl. D3";#N/A,#N/A,FALSE,"Tabl. D4";#N/A,#N/A,FALSE,"Tabl. D5"}</definedName>
    <definedName name="_TAB20" hidden="1">{#N/A,#N/A,FALSE,"Tabl. D1";#N/A,#N/A,FALSE,"Tabl. D1 b";#N/A,#N/A,FALSE,"Tabl. D2";#N/A,#N/A,FALSE,"Tabl. D2 b";#N/A,#N/A,FALSE,"Tabl. D3";#N/A,#N/A,FALSE,"Tabl. D4";#N/A,#N/A,FALSE,"Tabl. D5"}</definedName>
    <definedName name="_tab2341" localSheetId="3" hidden="1">{#N/A,#N/A,FALSE,"Tabl. FB300";#N/A,#N/A,FALSE,"Tabl. FB350";#N/A,#N/A,FALSE,"Tabl. FB400";#N/A,#N/A,FALSE,"Tabl. FB500";#N/A,#N/A,FALSE,"Tabl. FS090"}</definedName>
    <definedName name="_tab2341" localSheetId="5" hidden="1">{#N/A,#N/A,FALSE,"Tabl. FB300";#N/A,#N/A,FALSE,"Tabl. FB350";#N/A,#N/A,FALSE,"Tabl. FB400";#N/A,#N/A,FALSE,"Tabl. FB500";#N/A,#N/A,FALSE,"Tabl. FS090"}</definedName>
    <definedName name="_tab2341" localSheetId="6" hidden="1">{#N/A,#N/A,FALSE,"Tabl. FB300";#N/A,#N/A,FALSE,"Tabl. FB350";#N/A,#N/A,FALSE,"Tabl. FB400";#N/A,#N/A,FALSE,"Tabl. FB500";#N/A,#N/A,FALSE,"Tabl. FS090"}</definedName>
    <definedName name="_tab2341" localSheetId="7" hidden="1">{#N/A,#N/A,FALSE,"Tabl. FB300";#N/A,#N/A,FALSE,"Tabl. FB350";#N/A,#N/A,FALSE,"Tabl. FB400";#N/A,#N/A,FALSE,"Tabl. FB500";#N/A,#N/A,FALSE,"Tabl. FS090"}</definedName>
    <definedName name="_tab2341" localSheetId="9" hidden="1">{#N/A,#N/A,FALSE,"Tabl. FB300";#N/A,#N/A,FALSE,"Tabl. FB350";#N/A,#N/A,FALSE,"Tabl. FB400";#N/A,#N/A,FALSE,"Tabl. FB500";#N/A,#N/A,FALSE,"Tabl. FS090"}</definedName>
    <definedName name="_tab2341" localSheetId="10" hidden="1">{#N/A,#N/A,FALSE,"Tabl. FB300";#N/A,#N/A,FALSE,"Tabl. FB350";#N/A,#N/A,FALSE,"Tabl. FB400";#N/A,#N/A,FALSE,"Tabl. FB500";#N/A,#N/A,FALSE,"Tabl. FS090"}</definedName>
    <definedName name="_tab2341" localSheetId="11" hidden="1">{#N/A,#N/A,FALSE,"Tabl. FB300";#N/A,#N/A,FALSE,"Tabl. FB350";#N/A,#N/A,FALSE,"Tabl. FB400";#N/A,#N/A,FALSE,"Tabl. FB500";#N/A,#N/A,FALSE,"Tabl. FS090"}</definedName>
    <definedName name="_tab2341" localSheetId="12" hidden="1">{#N/A,#N/A,FALSE,"Tabl. FB300";#N/A,#N/A,FALSE,"Tabl. FB350";#N/A,#N/A,FALSE,"Tabl. FB400";#N/A,#N/A,FALSE,"Tabl. FB500";#N/A,#N/A,FALSE,"Tabl. FS090"}</definedName>
    <definedName name="_tab2341" localSheetId="13" hidden="1">{#N/A,#N/A,FALSE,"Tabl. FB300";#N/A,#N/A,FALSE,"Tabl. FB350";#N/A,#N/A,FALSE,"Tabl. FB400";#N/A,#N/A,FALSE,"Tabl. FB500";#N/A,#N/A,FALSE,"Tabl. FS090"}</definedName>
    <definedName name="_tab2341" localSheetId="14" hidden="1">{#N/A,#N/A,FALSE,"Tabl. FB300";#N/A,#N/A,FALSE,"Tabl. FB350";#N/A,#N/A,FALSE,"Tabl. FB400";#N/A,#N/A,FALSE,"Tabl. FB500";#N/A,#N/A,FALSE,"Tabl. FS090"}</definedName>
    <definedName name="_tab2341" localSheetId="15" hidden="1">{#N/A,#N/A,FALSE,"Tabl. FB300";#N/A,#N/A,FALSE,"Tabl. FB350";#N/A,#N/A,FALSE,"Tabl. FB400";#N/A,#N/A,FALSE,"Tabl. FB500";#N/A,#N/A,FALSE,"Tabl. FS090"}</definedName>
    <definedName name="_tab2341" localSheetId="20" hidden="1">{#N/A,#N/A,FALSE,"Tabl. FB300";#N/A,#N/A,FALSE,"Tabl. FB350";#N/A,#N/A,FALSE,"Tabl. FB400";#N/A,#N/A,FALSE,"Tabl. FB500";#N/A,#N/A,FALSE,"Tabl. FS090"}</definedName>
    <definedName name="_tab2341" localSheetId="21" hidden="1">{#N/A,#N/A,FALSE,"Tabl. FB300";#N/A,#N/A,FALSE,"Tabl. FB350";#N/A,#N/A,FALSE,"Tabl. FB400";#N/A,#N/A,FALSE,"Tabl. FB500";#N/A,#N/A,FALSE,"Tabl. FS090"}</definedName>
    <definedName name="_tab2341" localSheetId="22" hidden="1">{#N/A,#N/A,FALSE,"Tabl. FB300";#N/A,#N/A,FALSE,"Tabl. FB350";#N/A,#N/A,FALSE,"Tabl. FB400";#N/A,#N/A,FALSE,"Tabl. FB500";#N/A,#N/A,FALSE,"Tabl. FS090"}</definedName>
    <definedName name="_tab2341" localSheetId="23" hidden="1">{#N/A,#N/A,FALSE,"Tabl. FB300";#N/A,#N/A,FALSE,"Tabl. FB350";#N/A,#N/A,FALSE,"Tabl. FB400";#N/A,#N/A,FALSE,"Tabl. FB500";#N/A,#N/A,FALSE,"Tabl. FS090"}</definedName>
    <definedName name="_tab2341" localSheetId="24" hidden="1">{#N/A,#N/A,FALSE,"Tabl. FB300";#N/A,#N/A,FALSE,"Tabl. FB350";#N/A,#N/A,FALSE,"Tabl. FB400";#N/A,#N/A,FALSE,"Tabl. FB500";#N/A,#N/A,FALSE,"Tabl. FS090"}</definedName>
    <definedName name="_tab2341" localSheetId="25" hidden="1">{#N/A,#N/A,FALSE,"Tabl. FB300";#N/A,#N/A,FALSE,"Tabl. FB350";#N/A,#N/A,FALSE,"Tabl. FB400";#N/A,#N/A,FALSE,"Tabl. FB500";#N/A,#N/A,FALSE,"Tabl. FS090"}</definedName>
    <definedName name="_tab2341" localSheetId="26" hidden="1">{#N/A,#N/A,FALSE,"Tabl. FB300";#N/A,#N/A,FALSE,"Tabl. FB350";#N/A,#N/A,FALSE,"Tabl. FB400";#N/A,#N/A,FALSE,"Tabl. FB500";#N/A,#N/A,FALSE,"Tabl. FS090"}</definedName>
    <definedName name="_tab2341" localSheetId="27" hidden="1">{#N/A,#N/A,FALSE,"Tabl. FB300";#N/A,#N/A,FALSE,"Tabl. FB350";#N/A,#N/A,FALSE,"Tabl. FB400";#N/A,#N/A,FALSE,"Tabl. FB500";#N/A,#N/A,FALSE,"Tabl. FS090"}</definedName>
    <definedName name="_tab2341" localSheetId="28" hidden="1">{#N/A,#N/A,FALSE,"Tabl. FB300";#N/A,#N/A,FALSE,"Tabl. FB350";#N/A,#N/A,FALSE,"Tabl. FB400";#N/A,#N/A,FALSE,"Tabl. FB500";#N/A,#N/A,FALSE,"Tabl. FS090"}</definedName>
    <definedName name="_tab2341" localSheetId="29" hidden="1">{#N/A,#N/A,FALSE,"Tabl. FB300";#N/A,#N/A,FALSE,"Tabl. FB350";#N/A,#N/A,FALSE,"Tabl. FB400";#N/A,#N/A,FALSE,"Tabl. FB500";#N/A,#N/A,FALSE,"Tabl. FS090"}</definedName>
    <definedName name="_tab2341" localSheetId="30" hidden="1">{#N/A,#N/A,FALSE,"Tabl. FB300";#N/A,#N/A,FALSE,"Tabl. FB350";#N/A,#N/A,FALSE,"Tabl. FB400";#N/A,#N/A,FALSE,"Tabl. FB500";#N/A,#N/A,FALSE,"Tabl. FS090"}</definedName>
    <definedName name="_tab2341" localSheetId="31" hidden="1">{#N/A,#N/A,FALSE,"Tabl. FB300";#N/A,#N/A,FALSE,"Tabl. FB350";#N/A,#N/A,FALSE,"Tabl. FB400";#N/A,#N/A,FALSE,"Tabl. FB500";#N/A,#N/A,FALSE,"Tabl. FS090"}</definedName>
    <definedName name="_tab2341" localSheetId="32" hidden="1">{#N/A,#N/A,FALSE,"Tabl. FB300";#N/A,#N/A,FALSE,"Tabl. FB350";#N/A,#N/A,FALSE,"Tabl. FB400";#N/A,#N/A,FALSE,"Tabl. FB500";#N/A,#N/A,FALSE,"Tabl. FS090"}</definedName>
    <definedName name="_tab2341" hidden="1">{#N/A,#N/A,FALSE,"Tabl. FB300";#N/A,#N/A,FALSE,"Tabl. FB350";#N/A,#N/A,FALSE,"Tabl. FB400";#N/A,#N/A,FALSE,"Tabl. FB500";#N/A,#N/A,FALSE,"Tabl. FS090"}</definedName>
    <definedName name="_tab26" localSheetId="3" hidden="1">{#N/A,#N/A,FALSE,"Tabl. H1";#N/A,#N/A,FALSE,"Tabl. H2"}</definedName>
    <definedName name="_tab26" localSheetId="5" hidden="1">{#N/A,#N/A,FALSE,"Tabl. H1";#N/A,#N/A,FALSE,"Tabl. H2"}</definedName>
    <definedName name="_tab26" localSheetId="6" hidden="1">{#N/A,#N/A,FALSE,"Tabl. H1";#N/A,#N/A,FALSE,"Tabl. H2"}</definedName>
    <definedName name="_tab26" localSheetId="7" hidden="1">{#N/A,#N/A,FALSE,"Tabl. H1";#N/A,#N/A,FALSE,"Tabl. H2"}</definedName>
    <definedName name="_tab26" localSheetId="9" hidden="1">{#N/A,#N/A,FALSE,"Tabl. H1";#N/A,#N/A,FALSE,"Tabl. H2"}</definedName>
    <definedName name="_tab26" localSheetId="10" hidden="1">{#N/A,#N/A,FALSE,"Tabl. H1";#N/A,#N/A,FALSE,"Tabl. H2"}</definedName>
    <definedName name="_tab26" localSheetId="11" hidden="1">{#N/A,#N/A,FALSE,"Tabl. H1";#N/A,#N/A,FALSE,"Tabl. H2"}</definedName>
    <definedName name="_tab26" localSheetId="12" hidden="1">{#N/A,#N/A,FALSE,"Tabl. H1";#N/A,#N/A,FALSE,"Tabl. H2"}</definedName>
    <definedName name="_tab26" localSheetId="13" hidden="1">{#N/A,#N/A,FALSE,"Tabl. H1";#N/A,#N/A,FALSE,"Tabl. H2"}</definedName>
    <definedName name="_tab26" localSheetId="14" hidden="1">{#N/A,#N/A,FALSE,"Tabl. H1";#N/A,#N/A,FALSE,"Tabl. H2"}</definedName>
    <definedName name="_tab26" localSheetId="15" hidden="1">{#N/A,#N/A,FALSE,"Tabl. H1";#N/A,#N/A,FALSE,"Tabl. H2"}</definedName>
    <definedName name="_tab26" localSheetId="20" hidden="1">{#N/A,#N/A,FALSE,"Tabl. H1";#N/A,#N/A,FALSE,"Tabl. H2"}</definedName>
    <definedName name="_tab26" localSheetId="21" hidden="1">{#N/A,#N/A,FALSE,"Tabl. H1";#N/A,#N/A,FALSE,"Tabl. H2"}</definedName>
    <definedName name="_tab26" localSheetId="22" hidden="1">{#N/A,#N/A,FALSE,"Tabl. H1";#N/A,#N/A,FALSE,"Tabl. H2"}</definedName>
    <definedName name="_tab26" localSheetId="23" hidden="1">{#N/A,#N/A,FALSE,"Tabl. H1";#N/A,#N/A,FALSE,"Tabl. H2"}</definedName>
    <definedName name="_tab26" localSheetId="24" hidden="1">{#N/A,#N/A,FALSE,"Tabl. H1";#N/A,#N/A,FALSE,"Tabl. H2"}</definedName>
    <definedName name="_tab26" localSheetId="25" hidden="1">{#N/A,#N/A,FALSE,"Tabl. H1";#N/A,#N/A,FALSE,"Tabl. H2"}</definedName>
    <definedName name="_tab26" localSheetId="26" hidden="1">{#N/A,#N/A,FALSE,"Tabl. H1";#N/A,#N/A,FALSE,"Tabl. H2"}</definedName>
    <definedName name="_tab26" localSheetId="27" hidden="1">{#N/A,#N/A,FALSE,"Tabl. H1";#N/A,#N/A,FALSE,"Tabl. H2"}</definedName>
    <definedName name="_tab26" localSheetId="28" hidden="1">{#N/A,#N/A,FALSE,"Tabl. H1";#N/A,#N/A,FALSE,"Tabl. H2"}</definedName>
    <definedName name="_tab26" localSheetId="29" hidden="1">{#N/A,#N/A,FALSE,"Tabl. H1";#N/A,#N/A,FALSE,"Tabl. H2"}</definedName>
    <definedName name="_tab26" localSheetId="30" hidden="1">{#N/A,#N/A,FALSE,"Tabl. H1";#N/A,#N/A,FALSE,"Tabl. H2"}</definedName>
    <definedName name="_tab26" localSheetId="31" hidden="1">{#N/A,#N/A,FALSE,"Tabl. H1";#N/A,#N/A,FALSE,"Tabl. H2"}</definedName>
    <definedName name="_tab26" localSheetId="32" hidden="1">{#N/A,#N/A,FALSE,"Tabl. H1";#N/A,#N/A,FALSE,"Tabl. H2"}</definedName>
    <definedName name="_tab26" hidden="1">{#N/A,#N/A,FALSE,"Tabl. H1";#N/A,#N/A,FALSE,"Tabl. H2"}</definedName>
    <definedName name="_tab27" localSheetId="3" hidden="1">{#N/A,#N/A,FALSE,"Tabl. D1";#N/A,#N/A,FALSE,"Tabl. D1 b";#N/A,#N/A,FALSE,"Tabl. D2";#N/A,#N/A,FALSE,"Tabl. D2 b";#N/A,#N/A,FALSE,"Tabl. D3";#N/A,#N/A,FALSE,"Tabl. D4";#N/A,#N/A,FALSE,"Tabl. D5"}</definedName>
    <definedName name="_tab27" localSheetId="5" hidden="1">{#N/A,#N/A,FALSE,"Tabl. D1";#N/A,#N/A,FALSE,"Tabl. D1 b";#N/A,#N/A,FALSE,"Tabl. D2";#N/A,#N/A,FALSE,"Tabl. D2 b";#N/A,#N/A,FALSE,"Tabl. D3";#N/A,#N/A,FALSE,"Tabl. D4";#N/A,#N/A,FALSE,"Tabl. D5"}</definedName>
    <definedName name="_tab27" localSheetId="6" hidden="1">{#N/A,#N/A,FALSE,"Tabl. D1";#N/A,#N/A,FALSE,"Tabl. D1 b";#N/A,#N/A,FALSE,"Tabl. D2";#N/A,#N/A,FALSE,"Tabl. D2 b";#N/A,#N/A,FALSE,"Tabl. D3";#N/A,#N/A,FALSE,"Tabl. D4";#N/A,#N/A,FALSE,"Tabl. D5"}</definedName>
    <definedName name="_tab27" localSheetId="7" hidden="1">{#N/A,#N/A,FALSE,"Tabl. D1";#N/A,#N/A,FALSE,"Tabl. D1 b";#N/A,#N/A,FALSE,"Tabl. D2";#N/A,#N/A,FALSE,"Tabl. D2 b";#N/A,#N/A,FALSE,"Tabl. D3";#N/A,#N/A,FALSE,"Tabl. D4";#N/A,#N/A,FALSE,"Tabl. D5"}</definedName>
    <definedName name="_tab27" localSheetId="9" hidden="1">{#N/A,#N/A,FALSE,"Tabl. D1";#N/A,#N/A,FALSE,"Tabl. D1 b";#N/A,#N/A,FALSE,"Tabl. D2";#N/A,#N/A,FALSE,"Tabl. D2 b";#N/A,#N/A,FALSE,"Tabl. D3";#N/A,#N/A,FALSE,"Tabl. D4";#N/A,#N/A,FALSE,"Tabl. D5"}</definedName>
    <definedName name="_tab27" localSheetId="10" hidden="1">{#N/A,#N/A,FALSE,"Tabl. D1";#N/A,#N/A,FALSE,"Tabl. D1 b";#N/A,#N/A,FALSE,"Tabl. D2";#N/A,#N/A,FALSE,"Tabl. D2 b";#N/A,#N/A,FALSE,"Tabl. D3";#N/A,#N/A,FALSE,"Tabl. D4";#N/A,#N/A,FALSE,"Tabl. D5"}</definedName>
    <definedName name="_tab27" localSheetId="11" hidden="1">{#N/A,#N/A,FALSE,"Tabl. D1";#N/A,#N/A,FALSE,"Tabl. D1 b";#N/A,#N/A,FALSE,"Tabl. D2";#N/A,#N/A,FALSE,"Tabl. D2 b";#N/A,#N/A,FALSE,"Tabl. D3";#N/A,#N/A,FALSE,"Tabl. D4";#N/A,#N/A,FALSE,"Tabl. D5"}</definedName>
    <definedName name="_tab27" localSheetId="12" hidden="1">{#N/A,#N/A,FALSE,"Tabl. D1";#N/A,#N/A,FALSE,"Tabl. D1 b";#N/A,#N/A,FALSE,"Tabl. D2";#N/A,#N/A,FALSE,"Tabl. D2 b";#N/A,#N/A,FALSE,"Tabl. D3";#N/A,#N/A,FALSE,"Tabl. D4";#N/A,#N/A,FALSE,"Tabl. D5"}</definedName>
    <definedName name="_tab27" localSheetId="13" hidden="1">{#N/A,#N/A,FALSE,"Tabl. D1";#N/A,#N/A,FALSE,"Tabl. D1 b";#N/A,#N/A,FALSE,"Tabl. D2";#N/A,#N/A,FALSE,"Tabl. D2 b";#N/A,#N/A,FALSE,"Tabl. D3";#N/A,#N/A,FALSE,"Tabl. D4";#N/A,#N/A,FALSE,"Tabl. D5"}</definedName>
    <definedName name="_tab27" localSheetId="14" hidden="1">{#N/A,#N/A,FALSE,"Tabl. D1";#N/A,#N/A,FALSE,"Tabl. D1 b";#N/A,#N/A,FALSE,"Tabl. D2";#N/A,#N/A,FALSE,"Tabl. D2 b";#N/A,#N/A,FALSE,"Tabl. D3";#N/A,#N/A,FALSE,"Tabl. D4";#N/A,#N/A,FALSE,"Tabl. D5"}</definedName>
    <definedName name="_tab27" localSheetId="15" hidden="1">{#N/A,#N/A,FALSE,"Tabl. D1";#N/A,#N/A,FALSE,"Tabl. D1 b";#N/A,#N/A,FALSE,"Tabl. D2";#N/A,#N/A,FALSE,"Tabl. D2 b";#N/A,#N/A,FALSE,"Tabl. D3";#N/A,#N/A,FALSE,"Tabl. D4";#N/A,#N/A,FALSE,"Tabl. D5"}</definedName>
    <definedName name="_tab27" localSheetId="20" hidden="1">{#N/A,#N/A,FALSE,"Tabl. D1";#N/A,#N/A,FALSE,"Tabl. D1 b";#N/A,#N/A,FALSE,"Tabl. D2";#N/A,#N/A,FALSE,"Tabl. D2 b";#N/A,#N/A,FALSE,"Tabl. D3";#N/A,#N/A,FALSE,"Tabl. D4";#N/A,#N/A,FALSE,"Tabl. D5"}</definedName>
    <definedName name="_tab27" localSheetId="21" hidden="1">{#N/A,#N/A,FALSE,"Tabl. D1";#N/A,#N/A,FALSE,"Tabl. D1 b";#N/A,#N/A,FALSE,"Tabl. D2";#N/A,#N/A,FALSE,"Tabl. D2 b";#N/A,#N/A,FALSE,"Tabl. D3";#N/A,#N/A,FALSE,"Tabl. D4";#N/A,#N/A,FALSE,"Tabl. D5"}</definedName>
    <definedName name="_tab27" localSheetId="22" hidden="1">{#N/A,#N/A,FALSE,"Tabl. D1";#N/A,#N/A,FALSE,"Tabl. D1 b";#N/A,#N/A,FALSE,"Tabl. D2";#N/A,#N/A,FALSE,"Tabl. D2 b";#N/A,#N/A,FALSE,"Tabl. D3";#N/A,#N/A,FALSE,"Tabl. D4";#N/A,#N/A,FALSE,"Tabl. D5"}</definedName>
    <definedName name="_tab27" localSheetId="23" hidden="1">{#N/A,#N/A,FALSE,"Tabl. D1";#N/A,#N/A,FALSE,"Tabl. D1 b";#N/A,#N/A,FALSE,"Tabl. D2";#N/A,#N/A,FALSE,"Tabl. D2 b";#N/A,#N/A,FALSE,"Tabl. D3";#N/A,#N/A,FALSE,"Tabl. D4";#N/A,#N/A,FALSE,"Tabl. D5"}</definedName>
    <definedName name="_tab27" localSheetId="24" hidden="1">{#N/A,#N/A,FALSE,"Tabl. D1";#N/A,#N/A,FALSE,"Tabl. D1 b";#N/A,#N/A,FALSE,"Tabl. D2";#N/A,#N/A,FALSE,"Tabl. D2 b";#N/A,#N/A,FALSE,"Tabl. D3";#N/A,#N/A,FALSE,"Tabl. D4";#N/A,#N/A,FALSE,"Tabl. D5"}</definedName>
    <definedName name="_tab27" localSheetId="25" hidden="1">{#N/A,#N/A,FALSE,"Tabl. D1";#N/A,#N/A,FALSE,"Tabl. D1 b";#N/A,#N/A,FALSE,"Tabl. D2";#N/A,#N/A,FALSE,"Tabl. D2 b";#N/A,#N/A,FALSE,"Tabl. D3";#N/A,#N/A,FALSE,"Tabl. D4";#N/A,#N/A,FALSE,"Tabl. D5"}</definedName>
    <definedName name="_tab27" localSheetId="26" hidden="1">{#N/A,#N/A,FALSE,"Tabl. D1";#N/A,#N/A,FALSE,"Tabl. D1 b";#N/A,#N/A,FALSE,"Tabl. D2";#N/A,#N/A,FALSE,"Tabl. D2 b";#N/A,#N/A,FALSE,"Tabl. D3";#N/A,#N/A,FALSE,"Tabl. D4";#N/A,#N/A,FALSE,"Tabl. D5"}</definedName>
    <definedName name="_tab27" localSheetId="27" hidden="1">{#N/A,#N/A,FALSE,"Tabl. D1";#N/A,#N/A,FALSE,"Tabl. D1 b";#N/A,#N/A,FALSE,"Tabl. D2";#N/A,#N/A,FALSE,"Tabl. D2 b";#N/A,#N/A,FALSE,"Tabl. D3";#N/A,#N/A,FALSE,"Tabl. D4";#N/A,#N/A,FALSE,"Tabl. D5"}</definedName>
    <definedName name="_tab27" localSheetId="28" hidden="1">{#N/A,#N/A,FALSE,"Tabl. D1";#N/A,#N/A,FALSE,"Tabl. D1 b";#N/A,#N/A,FALSE,"Tabl. D2";#N/A,#N/A,FALSE,"Tabl. D2 b";#N/A,#N/A,FALSE,"Tabl. D3";#N/A,#N/A,FALSE,"Tabl. D4";#N/A,#N/A,FALSE,"Tabl. D5"}</definedName>
    <definedName name="_tab27" localSheetId="29" hidden="1">{#N/A,#N/A,FALSE,"Tabl. D1";#N/A,#N/A,FALSE,"Tabl. D1 b";#N/A,#N/A,FALSE,"Tabl. D2";#N/A,#N/A,FALSE,"Tabl. D2 b";#N/A,#N/A,FALSE,"Tabl. D3";#N/A,#N/A,FALSE,"Tabl. D4";#N/A,#N/A,FALSE,"Tabl. D5"}</definedName>
    <definedName name="_tab27" localSheetId="30" hidden="1">{#N/A,#N/A,FALSE,"Tabl. D1";#N/A,#N/A,FALSE,"Tabl. D1 b";#N/A,#N/A,FALSE,"Tabl. D2";#N/A,#N/A,FALSE,"Tabl. D2 b";#N/A,#N/A,FALSE,"Tabl. D3";#N/A,#N/A,FALSE,"Tabl. D4";#N/A,#N/A,FALSE,"Tabl. D5"}</definedName>
    <definedName name="_tab27" localSheetId="31" hidden="1">{#N/A,#N/A,FALSE,"Tabl. D1";#N/A,#N/A,FALSE,"Tabl. D1 b";#N/A,#N/A,FALSE,"Tabl. D2";#N/A,#N/A,FALSE,"Tabl. D2 b";#N/A,#N/A,FALSE,"Tabl. D3";#N/A,#N/A,FALSE,"Tabl. D4";#N/A,#N/A,FALSE,"Tabl. D5"}</definedName>
    <definedName name="_tab27" localSheetId="32" hidden="1">{#N/A,#N/A,FALSE,"Tabl. D1";#N/A,#N/A,FALSE,"Tabl. D1 b";#N/A,#N/A,FALSE,"Tabl. D2";#N/A,#N/A,FALSE,"Tabl. D2 b";#N/A,#N/A,FALSE,"Tabl. D3";#N/A,#N/A,FALSE,"Tabl. D4";#N/A,#N/A,FALSE,"Tabl. D5"}</definedName>
    <definedName name="_tab27" hidden="1">{#N/A,#N/A,FALSE,"Tabl. D1";#N/A,#N/A,FALSE,"Tabl. D1 b";#N/A,#N/A,FALSE,"Tabl. D2";#N/A,#N/A,FALSE,"Tabl. D2 b";#N/A,#N/A,FALSE,"Tabl. D3";#N/A,#N/A,FALSE,"Tabl. D4";#N/A,#N/A,FALSE,"Tabl. D5"}</definedName>
    <definedName name="_TAB3" localSheetId="3" hidden="1">{#N/A,#N/A,FALSE,"Tabl. FB300";#N/A,#N/A,FALSE,"Tabl. FB350";#N/A,#N/A,FALSE,"Tabl. FB400";#N/A,#N/A,FALSE,"Tabl. FB500";#N/A,#N/A,FALSE,"Tabl. FS090"}</definedName>
    <definedName name="_TAB3" localSheetId="5" hidden="1">{#N/A,#N/A,FALSE,"Tabl. FB300";#N/A,#N/A,FALSE,"Tabl. FB350";#N/A,#N/A,FALSE,"Tabl. FB400";#N/A,#N/A,FALSE,"Tabl. FB500";#N/A,#N/A,FALSE,"Tabl. FS090"}</definedName>
    <definedName name="_TAB3" localSheetId="6" hidden="1">{#N/A,#N/A,FALSE,"Tabl. FB300";#N/A,#N/A,FALSE,"Tabl. FB350";#N/A,#N/A,FALSE,"Tabl. FB400";#N/A,#N/A,FALSE,"Tabl. FB500";#N/A,#N/A,FALSE,"Tabl. FS090"}</definedName>
    <definedName name="_TAB3" localSheetId="7" hidden="1">{#N/A,#N/A,FALSE,"Tabl. FB300";#N/A,#N/A,FALSE,"Tabl. FB350";#N/A,#N/A,FALSE,"Tabl. FB400";#N/A,#N/A,FALSE,"Tabl. FB500";#N/A,#N/A,FALSE,"Tabl. FS090"}</definedName>
    <definedName name="_TAB3" localSheetId="9" hidden="1">{#N/A,#N/A,FALSE,"Tabl. FB300";#N/A,#N/A,FALSE,"Tabl. FB350";#N/A,#N/A,FALSE,"Tabl. FB400";#N/A,#N/A,FALSE,"Tabl. FB500";#N/A,#N/A,FALSE,"Tabl. FS090"}</definedName>
    <definedName name="_TAB3" localSheetId="10" hidden="1">{#N/A,#N/A,FALSE,"Tabl. FB300";#N/A,#N/A,FALSE,"Tabl. FB350";#N/A,#N/A,FALSE,"Tabl. FB400";#N/A,#N/A,FALSE,"Tabl. FB500";#N/A,#N/A,FALSE,"Tabl. FS090"}</definedName>
    <definedName name="_TAB3" localSheetId="11" hidden="1">{#N/A,#N/A,FALSE,"Tabl. FB300";#N/A,#N/A,FALSE,"Tabl. FB350";#N/A,#N/A,FALSE,"Tabl. FB400";#N/A,#N/A,FALSE,"Tabl. FB500";#N/A,#N/A,FALSE,"Tabl. FS090"}</definedName>
    <definedName name="_TAB3" localSheetId="12" hidden="1">{#N/A,#N/A,FALSE,"Tabl. FB300";#N/A,#N/A,FALSE,"Tabl. FB350";#N/A,#N/A,FALSE,"Tabl. FB400";#N/A,#N/A,FALSE,"Tabl. FB500";#N/A,#N/A,FALSE,"Tabl. FS090"}</definedName>
    <definedName name="_TAB3" localSheetId="13" hidden="1">{#N/A,#N/A,FALSE,"Tabl. FB300";#N/A,#N/A,FALSE,"Tabl. FB350";#N/A,#N/A,FALSE,"Tabl. FB400";#N/A,#N/A,FALSE,"Tabl. FB500";#N/A,#N/A,FALSE,"Tabl. FS090"}</definedName>
    <definedName name="_TAB3" localSheetId="14" hidden="1">{#N/A,#N/A,FALSE,"Tabl. FB300";#N/A,#N/A,FALSE,"Tabl. FB350";#N/A,#N/A,FALSE,"Tabl. FB400";#N/A,#N/A,FALSE,"Tabl. FB500";#N/A,#N/A,FALSE,"Tabl. FS090"}</definedName>
    <definedName name="_TAB3" localSheetId="15" hidden="1">{#N/A,#N/A,FALSE,"Tabl. FB300";#N/A,#N/A,FALSE,"Tabl. FB350";#N/A,#N/A,FALSE,"Tabl. FB400";#N/A,#N/A,FALSE,"Tabl. FB500";#N/A,#N/A,FALSE,"Tabl. FS090"}</definedName>
    <definedName name="_TAB3" localSheetId="20" hidden="1">{#N/A,#N/A,FALSE,"Tabl. FB300";#N/A,#N/A,FALSE,"Tabl. FB350";#N/A,#N/A,FALSE,"Tabl. FB400";#N/A,#N/A,FALSE,"Tabl. FB500";#N/A,#N/A,FALSE,"Tabl. FS090"}</definedName>
    <definedName name="_TAB3" localSheetId="21" hidden="1">{#N/A,#N/A,FALSE,"Tabl. FB300";#N/A,#N/A,FALSE,"Tabl. FB350";#N/A,#N/A,FALSE,"Tabl. FB400";#N/A,#N/A,FALSE,"Tabl. FB500";#N/A,#N/A,FALSE,"Tabl. FS090"}</definedName>
    <definedName name="_TAB3" localSheetId="22" hidden="1">{#N/A,#N/A,FALSE,"Tabl. FB300";#N/A,#N/A,FALSE,"Tabl. FB350";#N/A,#N/A,FALSE,"Tabl. FB400";#N/A,#N/A,FALSE,"Tabl. FB500";#N/A,#N/A,FALSE,"Tabl. FS090"}</definedName>
    <definedName name="_TAB3" localSheetId="23" hidden="1">{#N/A,#N/A,FALSE,"Tabl. FB300";#N/A,#N/A,FALSE,"Tabl. FB350";#N/A,#N/A,FALSE,"Tabl. FB400";#N/A,#N/A,FALSE,"Tabl. FB500";#N/A,#N/A,FALSE,"Tabl. FS090"}</definedName>
    <definedName name="_TAB3" localSheetId="24" hidden="1">{#N/A,#N/A,FALSE,"Tabl. FB300";#N/A,#N/A,FALSE,"Tabl. FB350";#N/A,#N/A,FALSE,"Tabl. FB400";#N/A,#N/A,FALSE,"Tabl. FB500";#N/A,#N/A,FALSE,"Tabl. FS090"}</definedName>
    <definedName name="_TAB3" localSheetId="25" hidden="1">{#N/A,#N/A,FALSE,"Tabl. FB300";#N/A,#N/A,FALSE,"Tabl. FB350";#N/A,#N/A,FALSE,"Tabl. FB400";#N/A,#N/A,FALSE,"Tabl. FB500";#N/A,#N/A,FALSE,"Tabl. FS090"}</definedName>
    <definedName name="_TAB3" localSheetId="26" hidden="1">{#N/A,#N/A,FALSE,"Tabl. FB300";#N/A,#N/A,FALSE,"Tabl. FB350";#N/A,#N/A,FALSE,"Tabl. FB400";#N/A,#N/A,FALSE,"Tabl. FB500";#N/A,#N/A,FALSE,"Tabl. FS090"}</definedName>
    <definedName name="_TAB3" localSheetId="27" hidden="1">{#N/A,#N/A,FALSE,"Tabl. FB300";#N/A,#N/A,FALSE,"Tabl. FB350";#N/A,#N/A,FALSE,"Tabl. FB400";#N/A,#N/A,FALSE,"Tabl. FB500";#N/A,#N/A,FALSE,"Tabl. FS090"}</definedName>
    <definedName name="_TAB3" localSheetId="28" hidden="1">{#N/A,#N/A,FALSE,"Tabl. FB300";#N/A,#N/A,FALSE,"Tabl. FB350";#N/A,#N/A,FALSE,"Tabl. FB400";#N/A,#N/A,FALSE,"Tabl. FB500";#N/A,#N/A,FALSE,"Tabl. FS090"}</definedName>
    <definedName name="_TAB3" localSheetId="29" hidden="1">{#N/A,#N/A,FALSE,"Tabl. FB300";#N/A,#N/A,FALSE,"Tabl. FB350";#N/A,#N/A,FALSE,"Tabl. FB400";#N/A,#N/A,FALSE,"Tabl. FB500";#N/A,#N/A,FALSE,"Tabl. FS090"}</definedName>
    <definedName name="_TAB3" localSheetId="30" hidden="1">{#N/A,#N/A,FALSE,"Tabl. FB300";#N/A,#N/A,FALSE,"Tabl. FB350";#N/A,#N/A,FALSE,"Tabl. FB400";#N/A,#N/A,FALSE,"Tabl. FB500";#N/A,#N/A,FALSE,"Tabl. FS090"}</definedName>
    <definedName name="_TAB3" localSheetId="31" hidden="1">{#N/A,#N/A,FALSE,"Tabl. FB300";#N/A,#N/A,FALSE,"Tabl. FB350";#N/A,#N/A,FALSE,"Tabl. FB400";#N/A,#N/A,FALSE,"Tabl. FB500";#N/A,#N/A,FALSE,"Tabl. FS090"}</definedName>
    <definedName name="_TAB3" localSheetId="32" hidden="1">{#N/A,#N/A,FALSE,"Tabl. FB300";#N/A,#N/A,FALSE,"Tabl. FB350";#N/A,#N/A,FALSE,"Tabl. FB400";#N/A,#N/A,FALSE,"Tabl. FB500";#N/A,#N/A,FALSE,"Tabl. FS090"}</definedName>
    <definedName name="_TAB3" hidden="1">{#N/A,#N/A,FALSE,"Tabl. FB300";#N/A,#N/A,FALSE,"Tabl. FB350";#N/A,#N/A,FALSE,"Tabl. FB400";#N/A,#N/A,FALSE,"Tabl. FB500";#N/A,#N/A,FALSE,"Tabl. FS090"}</definedName>
    <definedName name="_tab32" localSheetId="3" hidden="1">{#N/A,#N/A,FALSE,"Tabl. H1";#N/A,#N/A,FALSE,"Tabl. H2"}</definedName>
    <definedName name="_tab32" localSheetId="5" hidden="1">{#N/A,#N/A,FALSE,"Tabl. H1";#N/A,#N/A,FALSE,"Tabl. H2"}</definedName>
    <definedName name="_tab32" localSheetId="6" hidden="1">{#N/A,#N/A,FALSE,"Tabl. H1";#N/A,#N/A,FALSE,"Tabl. H2"}</definedName>
    <definedName name="_tab32" localSheetId="7" hidden="1">{#N/A,#N/A,FALSE,"Tabl. H1";#N/A,#N/A,FALSE,"Tabl. H2"}</definedName>
    <definedName name="_tab32" localSheetId="9" hidden="1">{#N/A,#N/A,FALSE,"Tabl. H1";#N/A,#N/A,FALSE,"Tabl. H2"}</definedName>
    <definedName name="_tab32" localSheetId="10" hidden="1">{#N/A,#N/A,FALSE,"Tabl. H1";#N/A,#N/A,FALSE,"Tabl. H2"}</definedName>
    <definedName name="_tab32" localSheetId="11" hidden="1">{#N/A,#N/A,FALSE,"Tabl. H1";#N/A,#N/A,FALSE,"Tabl. H2"}</definedName>
    <definedName name="_tab32" localSheetId="12" hidden="1">{#N/A,#N/A,FALSE,"Tabl. H1";#N/A,#N/A,FALSE,"Tabl. H2"}</definedName>
    <definedName name="_tab32" localSheetId="13" hidden="1">{#N/A,#N/A,FALSE,"Tabl. H1";#N/A,#N/A,FALSE,"Tabl. H2"}</definedName>
    <definedName name="_tab32" localSheetId="14" hidden="1">{#N/A,#N/A,FALSE,"Tabl. H1";#N/A,#N/A,FALSE,"Tabl. H2"}</definedName>
    <definedName name="_tab32" localSheetId="15" hidden="1">{#N/A,#N/A,FALSE,"Tabl. H1";#N/A,#N/A,FALSE,"Tabl. H2"}</definedName>
    <definedName name="_tab32" localSheetId="20" hidden="1">{#N/A,#N/A,FALSE,"Tabl. H1";#N/A,#N/A,FALSE,"Tabl. H2"}</definedName>
    <definedName name="_tab32" localSheetId="21" hidden="1">{#N/A,#N/A,FALSE,"Tabl. H1";#N/A,#N/A,FALSE,"Tabl. H2"}</definedName>
    <definedName name="_tab32" localSheetId="22" hidden="1">{#N/A,#N/A,FALSE,"Tabl. H1";#N/A,#N/A,FALSE,"Tabl. H2"}</definedName>
    <definedName name="_tab32" localSheetId="23" hidden="1">{#N/A,#N/A,FALSE,"Tabl. H1";#N/A,#N/A,FALSE,"Tabl. H2"}</definedName>
    <definedName name="_tab32" localSheetId="24" hidden="1">{#N/A,#N/A,FALSE,"Tabl. H1";#N/A,#N/A,FALSE,"Tabl. H2"}</definedName>
    <definedName name="_tab32" localSheetId="25" hidden="1">{#N/A,#N/A,FALSE,"Tabl. H1";#N/A,#N/A,FALSE,"Tabl. H2"}</definedName>
    <definedName name="_tab32" localSheetId="26" hidden="1">{#N/A,#N/A,FALSE,"Tabl. H1";#N/A,#N/A,FALSE,"Tabl. H2"}</definedName>
    <definedName name="_tab32" localSheetId="27" hidden="1">{#N/A,#N/A,FALSE,"Tabl. H1";#N/A,#N/A,FALSE,"Tabl. H2"}</definedName>
    <definedName name="_tab32" localSheetId="28" hidden="1">{#N/A,#N/A,FALSE,"Tabl. H1";#N/A,#N/A,FALSE,"Tabl. H2"}</definedName>
    <definedName name="_tab32" localSheetId="29" hidden="1">{#N/A,#N/A,FALSE,"Tabl. H1";#N/A,#N/A,FALSE,"Tabl. H2"}</definedName>
    <definedName name="_tab32" localSheetId="30" hidden="1">{#N/A,#N/A,FALSE,"Tabl. H1";#N/A,#N/A,FALSE,"Tabl. H2"}</definedName>
    <definedName name="_tab32" localSheetId="31" hidden="1">{#N/A,#N/A,FALSE,"Tabl. H1";#N/A,#N/A,FALSE,"Tabl. H2"}</definedName>
    <definedName name="_tab32" localSheetId="32" hidden="1">{#N/A,#N/A,FALSE,"Tabl. H1";#N/A,#N/A,FALSE,"Tabl. H2"}</definedName>
    <definedName name="_tab32" hidden="1">{#N/A,#N/A,FALSE,"Tabl. H1";#N/A,#N/A,FALSE,"Tabl. H2"}</definedName>
    <definedName name="_tab36" localSheetId="3" hidden="1">{#N/A,#N/A,FALSE,"Tabl. A1";#N/A,#N/A,FALSE,"Tabl. A1 b";#N/A,#N/A,FALSE,"Tabl. A2";#N/A,#N/A,FALSE,"Tabl. A2-1";#N/A,#N/A,FALSE,"Tabl. A2-2"}</definedName>
    <definedName name="_tab36" localSheetId="5" hidden="1">{#N/A,#N/A,FALSE,"Tabl. A1";#N/A,#N/A,FALSE,"Tabl. A1 b";#N/A,#N/A,FALSE,"Tabl. A2";#N/A,#N/A,FALSE,"Tabl. A2-1";#N/A,#N/A,FALSE,"Tabl. A2-2"}</definedName>
    <definedName name="_tab36" localSheetId="6" hidden="1">{#N/A,#N/A,FALSE,"Tabl. A1";#N/A,#N/A,FALSE,"Tabl. A1 b";#N/A,#N/A,FALSE,"Tabl. A2";#N/A,#N/A,FALSE,"Tabl. A2-1";#N/A,#N/A,FALSE,"Tabl. A2-2"}</definedName>
    <definedName name="_tab36" localSheetId="7" hidden="1">{#N/A,#N/A,FALSE,"Tabl. A1";#N/A,#N/A,FALSE,"Tabl. A1 b";#N/A,#N/A,FALSE,"Tabl. A2";#N/A,#N/A,FALSE,"Tabl. A2-1";#N/A,#N/A,FALSE,"Tabl. A2-2"}</definedName>
    <definedName name="_tab36" localSheetId="9" hidden="1">{#N/A,#N/A,FALSE,"Tabl. A1";#N/A,#N/A,FALSE,"Tabl. A1 b";#N/A,#N/A,FALSE,"Tabl. A2";#N/A,#N/A,FALSE,"Tabl. A2-1";#N/A,#N/A,FALSE,"Tabl. A2-2"}</definedName>
    <definedName name="_tab36" localSheetId="10" hidden="1">{#N/A,#N/A,FALSE,"Tabl. A1";#N/A,#N/A,FALSE,"Tabl. A1 b";#N/A,#N/A,FALSE,"Tabl. A2";#N/A,#N/A,FALSE,"Tabl. A2-1";#N/A,#N/A,FALSE,"Tabl. A2-2"}</definedName>
    <definedName name="_tab36" localSheetId="11" hidden="1">{#N/A,#N/A,FALSE,"Tabl. A1";#N/A,#N/A,FALSE,"Tabl. A1 b";#N/A,#N/A,FALSE,"Tabl. A2";#N/A,#N/A,FALSE,"Tabl. A2-1";#N/A,#N/A,FALSE,"Tabl. A2-2"}</definedName>
    <definedName name="_tab36" localSheetId="12" hidden="1">{#N/A,#N/A,FALSE,"Tabl. A1";#N/A,#N/A,FALSE,"Tabl. A1 b";#N/A,#N/A,FALSE,"Tabl. A2";#N/A,#N/A,FALSE,"Tabl. A2-1";#N/A,#N/A,FALSE,"Tabl. A2-2"}</definedName>
    <definedName name="_tab36" localSheetId="13" hidden="1">{#N/A,#N/A,FALSE,"Tabl. A1";#N/A,#N/A,FALSE,"Tabl. A1 b";#N/A,#N/A,FALSE,"Tabl. A2";#N/A,#N/A,FALSE,"Tabl. A2-1";#N/A,#N/A,FALSE,"Tabl. A2-2"}</definedName>
    <definedName name="_tab36" localSheetId="14" hidden="1">{#N/A,#N/A,FALSE,"Tabl. A1";#N/A,#N/A,FALSE,"Tabl. A1 b";#N/A,#N/A,FALSE,"Tabl. A2";#N/A,#N/A,FALSE,"Tabl. A2-1";#N/A,#N/A,FALSE,"Tabl. A2-2"}</definedName>
    <definedName name="_tab36" localSheetId="15" hidden="1">{#N/A,#N/A,FALSE,"Tabl. A1";#N/A,#N/A,FALSE,"Tabl. A1 b";#N/A,#N/A,FALSE,"Tabl. A2";#N/A,#N/A,FALSE,"Tabl. A2-1";#N/A,#N/A,FALSE,"Tabl. A2-2"}</definedName>
    <definedName name="_tab36" localSheetId="20" hidden="1">{#N/A,#N/A,FALSE,"Tabl. A1";#N/A,#N/A,FALSE,"Tabl. A1 b";#N/A,#N/A,FALSE,"Tabl. A2";#N/A,#N/A,FALSE,"Tabl. A2-1";#N/A,#N/A,FALSE,"Tabl. A2-2"}</definedName>
    <definedName name="_tab36" localSheetId="21" hidden="1">{#N/A,#N/A,FALSE,"Tabl. A1";#N/A,#N/A,FALSE,"Tabl. A1 b";#N/A,#N/A,FALSE,"Tabl. A2";#N/A,#N/A,FALSE,"Tabl. A2-1";#N/A,#N/A,FALSE,"Tabl. A2-2"}</definedName>
    <definedName name="_tab36" localSheetId="22" hidden="1">{#N/A,#N/A,FALSE,"Tabl. A1";#N/A,#N/A,FALSE,"Tabl. A1 b";#N/A,#N/A,FALSE,"Tabl. A2";#N/A,#N/A,FALSE,"Tabl. A2-1";#N/A,#N/A,FALSE,"Tabl. A2-2"}</definedName>
    <definedName name="_tab36" localSheetId="23" hidden="1">{#N/A,#N/A,FALSE,"Tabl. A1";#N/A,#N/A,FALSE,"Tabl. A1 b";#N/A,#N/A,FALSE,"Tabl. A2";#N/A,#N/A,FALSE,"Tabl. A2-1";#N/A,#N/A,FALSE,"Tabl. A2-2"}</definedName>
    <definedName name="_tab36" localSheetId="24" hidden="1">{#N/A,#N/A,FALSE,"Tabl. A1";#N/A,#N/A,FALSE,"Tabl. A1 b";#N/A,#N/A,FALSE,"Tabl. A2";#N/A,#N/A,FALSE,"Tabl. A2-1";#N/A,#N/A,FALSE,"Tabl. A2-2"}</definedName>
    <definedName name="_tab36" localSheetId="25" hidden="1">{#N/A,#N/A,FALSE,"Tabl. A1";#N/A,#N/A,FALSE,"Tabl. A1 b";#N/A,#N/A,FALSE,"Tabl. A2";#N/A,#N/A,FALSE,"Tabl. A2-1";#N/A,#N/A,FALSE,"Tabl. A2-2"}</definedName>
    <definedName name="_tab36" localSheetId="26" hidden="1">{#N/A,#N/A,FALSE,"Tabl. A1";#N/A,#N/A,FALSE,"Tabl. A1 b";#N/A,#N/A,FALSE,"Tabl. A2";#N/A,#N/A,FALSE,"Tabl. A2-1";#N/A,#N/A,FALSE,"Tabl. A2-2"}</definedName>
    <definedName name="_tab36" localSheetId="27" hidden="1">{#N/A,#N/A,FALSE,"Tabl. A1";#N/A,#N/A,FALSE,"Tabl. A1 b";#N/A,#N/A,FALSE,"Tabl. A2";#N/A,#N/A,FALSE,"Tabl. A2-1";#N/A,#N/A,FALSE,"Tabl. A2-2"}</definedName>
    <definedName name="_tab36" localSheetId="28" hidden="1">{#N/A,#N/A,FALSE,"Tabl. A1";#N/A,#N/A,FALSE,"Tabl. A1 b";#N/A,#N/A,FALSE,"Tabl. A2";#N/A,#N/A,FALSE,"Tabl. A2-1";#N/A,#N/A,FALSE,"Tabl. A2-2"}</definedName>
    <definedName name="_tab36" localSheetId="29" hidden="1">{#N/A,#N/A,FALSE,"Tabl. A1";#N/A,#N/A,FALSE,"Tabl. A1 b";#N/A,#N/A,FALSE,"Tabl. A2";#N/A,#N/A,FALSE,"Tabl. A2-1";#N/A,#N/A,FALSE,"Tabl. A2-2"}</definedName>
    <definedName name="_tab36" localSheetId="30" hidden="1">{#N/A,#N/A,FALSE,"Tabl. A1";#N/A,#N/A,FALSE,"Tabl. A1 b";#N/A,#N/A,FALSE,"Tabl. A2";#N/A,#N/A,FALSE,"Tabl. A2-1";#N/A,#N/A,FALSE,"Tabl. A2-2"}</definedName>
    <definedName name="_tab36" localSheetId="31" hidden="1">{#N/A,#N/A,FALSE,"Tabl. A1";#N/A,#N/A,FALSE,"Tabl. A1 b";#N/A,#N/A,FALSE,"Tabl. A2";#N/A,#N/A,FALSE,"Tabl. A2-1";#N/A,#N/A,FALSE,"Tabl. A2-2"}</definedName>
    <definedName name="_tab36" localSheetId="32" hidden="1">{#N/A,#N/A,FALSE,"Tabl. A1";#N/A,#N/A,FALSE,"Tabl. A1 b";#N/A,#N/A,FALSE,"Tabl. A2";#N/A,#N/A,FALSE,"Tabl. A2-1";#N/A,#N/A,FALSE,"Tabl. A2-2"}</definedName>
    <definedName name="_tab36" hidden="1">{#N/A,#N/A,FALSE,"Tabl. A1";#N/A,#N/A,FALSE,"Tabl. A1 b";#N/A,#N/A,FALSE,"Tabl. A2";#N/A,#N/A,FALSE,"Tabl. A2-1";#N/A,#N/A,FALSE,"Tabl. A2-2"}</definedName>
    <definedName name="_tab37" localSheetId="3" hidden="1">{#N/A,#N/A,FALSE,"Tabl. G1";#N/A,#N/A,FALSE,"Tabl. G2"}</definedName>
    <definedName name="_tab37" localSheetId="5" hidden="1">{#N/A,#N/A,FALSE,"Tabl. G1";#N/A,#N/A,FALSE,"Tabl. G2"}</definedName>
    <definedName name="_tab37" localSheetId="6" hidden="1">{#N/A,#N/A,FALSE,"Tabl. G1";#N/A,#N/A,FALSE,"Tabl. G2"}</definedName>
    <definedName name="_tab37" localSheetId="7" hidden="1">{#N/A,#N/A,FALSE,"Tabl. G1";#N/A,#N/A,FALSE,"Tabl. G2"}</definedName>
    <definedName name="_tab37" localSheetId="9" hidden="1">{#N/A,#N/A,FALSE,"Tabl. G1";#N/A,#N/A,FALSE,"Tabl. G2"}</definedName>
    <definedName name="_tab37" localSheetId="10" hidden="1">{#N/A,#N/A,FALSE,"Tabl. G1";#N/A,#N/A,FALSE,"Tabl. G2"}</definedName>
    <definedName name="_tab37" localSheetId="11" hidden="1">{#N/A,#N/A,FALSE,"Tabl. G1";#N/A,#N/A,FALSE,"Tabl. G2"}</definedName>
    <definedName name="_tab37" localSheetId="12" hidden="1">{#N/A,#N/A,FALSE,"Tabl. G1";#N/A,#N/A,FALSE,"Tabl. G2"}</definedName>
    <definedName name="_tab37" localSheetId="13" hidden="1">{#N/A,#N/A,FALSE,"Tabl. G1";#N/A,#N/A,FALSE,"Tabl. G2"}</definedName>
    <definedName name="_tab37" localSheetId="14" hidden="1">{#N/A,#N/A,FALSE,"Tabl. G1";#N/A,#N/A,FALSE,"Tabl. G2"}</definedName>
    <definedName name="_tab37" localSheetId="15" hidden="1">{#N/A,#N/A,FALSE,"Tabl. G1";#N/A,#N/A,FALSE,"Tabl. G2"}</definedName>
    <definedName name="_tab37" localSheetId="20" hidden="1">{#N/A,#N/A,FALSE,"Tabl. G1";#N/A,#N/A,FALSE,"Tabl. G2"}</definedName>
    <definedName name="_tab37" localSheetId="21" hidden="1">{#N/A,#N/A,FALSE,"Tabl. G1";#N/A,#N/A,FALSE,"Tabl. G2"}</definedName>
    <definedName name="_tab37" localSheetId="22" hidden="1">{#N/A,#N/A,FALSE,"Tabl. G1";#N/A,#N/A,FALSE,"Tabl. G2"}</definedName>
    <definedName name="_tab37" localSheetId="23" hidden="1">{#N/A,#N/A,FALSE,"Tabl. G1";#N/A,#N/A,FALSE,"Tabl. G2"}</definedName>
    <definedName name="_tab37" localSheetId="24" hidden="1">{#N/A,#N/A,FALSE,"Tabl. G1";#N/A,#N/A,FALSE,"Tabl. G2"}</definedName>
    <definedName name="_tab37" localSheetId="25" hidden="1">{#N/A,#N/A,FALSE,"Tabl. G1";#N/A,#N/A,FALSE,"Tabl. G2"}</definedName>
    <definedName name="_tab37" localSheetId="26" hidden="1">{#N/A,#N/A,FALSE,"Tabl. G1";#N/A,#N/A,FALSE,"Tabl. G2"}</definedName>
    <definedName name="_tab37" localSheetId="27" hidden="1">{#N/A,#N/A,FALSE,"Tabl. G1";#N/A,#N/A,FALSE,"Tabl. G2"}</definedName>
    <definedName name="_tab37" localSheetId="28" hidden="1">{#N/A,#N/A,FALSE,"Tabl. G1";#N/A,#N/A,FALSE,"Tabl. G2"}</definedName>
    <definedName name="_tab37" localSheetId="29" hidden="1">{#N/A,#N/A,FALSE,"Tabl. G1";#N/A,#N/A,FALSE,"Tabl. G2"}</definedName>
    <definedName name="_tab37" localSheetId="30" hidden="1">{#N/A,#N/A,FALSE,"Tabl. G1";#N/A,#N/A,FALSE,"Tabl. G2"}</definedName>
    <definedName name="_tab37" localSheetId="31" hidden="1">{#N/A,#N/A,FALSE,"Tabl. G1";#N/A,#N/A,FALSE,"Tabl. G2"}</definedName>
    <definedName name="_tab37" localSheetId="32" hidden="1">{#N/A,#N/A,FALSE,"Tabl. G1";#N/A,#N/A,FALSE,"Tabl. G2"}</definedName>
    <definedName name="_tab37" hidden="1">{#N/A,#N/A,FALSE,"Tabl. G1";#N/A,#N/A,FALSE,"Tabl. G2"}</definedName>
    <definedName name="_tab4" localSheetId="3" hidden="1">{#N/A,#N/A,FALSE,"Tabl. FB300";#N/A,#N/A,FALSE,"Tabl. FB350";#N/A,#N/A,FALSE,"Tabl. FB400";#N/A,#N/A,FALSE,"Tabl. FB500";#N/A,#N/A,FALSE,"Tabl. FS090"}</definedName>
    <definedName name="_tab4" localSheetId="5" hidden="1">{#N/A,#N/A,FALSE,"Tabl. FB300";#N/A,#N/A,FALSE,"Tabl. FB350";#N/A,#N/A,FALSE,"Tabl. FB400";#N/A,#N/A,FALSE,"Tabl. FB500";#N/A,#N/A,FALSE,"Tabl. FS090"}</definedName>
    <definedName name="_tab4" localSheetId="6" hidden="1">{#N/A,#N/A,FALSE,"Tabl. FB300";#N/A,#N/A,FALSE,"Tabl. FB350";#N/A,#N/A,FALSE,"Tabl. FB400";#N/A,#N/A,FALSE,"Tabl. FB500";#N/A,#N/A,FALSE,"Tabl. FS090"}</definedName>
    <definedName name="_tab4" localSheetId="7" hidden="1">{#N/A,#N/A,FALSE,"Tabl. FB300";#N/A,#N/A,FALSE,"Tabl. FB350";#N/A,#N/A,FALSE,"Tabl. FB400";#N/A,#N/A,FALSE,"Tabl. FB500";#N/A,#N/A,FALSE,"Tabl. FS090"}</definedName>
    <definedName name="_tab4" localSheetId="9" hidden="1">{#N/A,#N/A,FALSE,"Tabl. FB300";#N/A,#N/A,FALSE,"Tabl. FB350";#N/A,#N/A,FALSE,"Tabl. FB400";#N/A,#N/A,FALSE,"Tabl. FB500";#N/A,#N/A,FALSE,"Tabl. FS090"}</definedName>
    <definedName name="_tab4" localSheetId="10" hidden="1">{#N/A,#N/A,FALSE,"Tabl. FB300";#N/A,#N/A,FALSE,"Tabl. FB350";#N/A,#N/A,FALSE,"Tabl. FB400";#N/A,#N/A,FALSE,"Tabl. FB500";#N/A,#N/A,FALSE,"Tabl. FS090"}</definedName>
    <definedName name="_tab4" localSheetId="11" hidden="1">{#N/A,#N/A,FALSE,"Tabl. FB300";#N/A,#N/A,FALSE,"Tabl. FB350";#N/A,#N/A,FALSE,"Tabl. FB400";#N/A,#N/A,FALSE,"Tabl. FB500";#N/A,#N/A,FALSE,"Tabl. FS090"}</definedName>
    <definedName name="_tab4" localSheetId="12" hidden="1">{#N/A,#N/A,FALSE,"Tabl. FB300";#N/A,#N/A,FALSE,"Tabl. FB350";#N/A,#N/A,FALSE,"Tabl. FB400";#N/A,#N/A,FALSE,"Tabl. FB500";#N/A,#N/A,FALSE,"Tabl. FS090"}</definedName>
    <definedName name="_tab4" localSheetId="13" hidden="1">{#N/A,#N/A,FALSE,"Tabl. FB300";#N/A,#N/A,FALSE,"Tabl. FB350";#N/A,#N/A,FALSE,"Tabl. FB400";#N/A,#N/A,FALSE,"Tabl. FB500";#N/A,#N/A,FALSE,"Tabl. FS090"}</definedName>
    <definedName name="_tab4" localSheetId="14" hidden="1">{#N/A,#N/A,FALSE,"Tabl. FB300";#N/A,#N/A,FALSE,"Tabl. FB350";#N/A,#N/A,FALSE,"Tabl. FB400";#N/A,#N/A,FALSE,"Tabl. FB500";#N/A,#N/A,FALSE,"Tabl. FS090"}</definedName>
    <definedName name="_tab4" localSheetId="15" hidden="1">{#N/A,#N/A,FALSE,"Tabl. FB300";#N/A,#N/A,FALSE,"Tabl. FB350";#N/A,#N/A,FALSE,"Tabl. FB400";#N/A,#N/A,FALSE,"Tabl. FB500";#N/A,#N/A,FALSE,"Tabl. FS090"}</definedName>
    <definedName name="_tab4" localSheetId="20" hidden="1">{#N/A,#N/A,FALSE,"Tabl. FB300";#N/A,#N/A,FALSE,"Tabl. FB350";#N/A,#N/A,FALSE,"Tabl. FB400";#N/A,#N/A,FALSE,"Tabl. FB500";#N/A,#N/A,FALSE,"Tabl. FS090"}</definedName>
    <definedName name="_tab4" localSheetId="21" hidden="1">{#N/A,#N/A,FALSE,"Tabl. FB300";#N/A,#N/A,FALSE,"Tabl. FB350";#N/A,#N/A,FALSE,"Tabl. FB400";#N/A,#N/A,FALSE,"Tabl. FB500";#N/A,#N/A,FALSE,"Tabl. FS090"}</definedName>
    <definedName name="_tab4" localSheetId="22" hidden="1">{#N/A,#N/A,FALSE,"Tabl. FB300";#N/A,#N/A,FALSE,"Tabl. FB350";#N/A,#N/A,FALSE,"Tabl. FB400";#N/A,#N/A,FALSE,"Tabl. FB500";#N/A,#N/A,FALSE,"Tabl. FS090"}</definedName>
    <definedName name="_tab4" localSheetId="23" hidden="1">{#N/A,#N/A,FALSE,"Tabl. FB300";#N/A,#N/A,FALSE,"Tabl. FB350";#N/A,#N/A,FALSE,"Tabl. FB400";#N/A,#N/A,FALSE,"Tabl. FB500";#N/A,#N/A,FALSE,"Tabl. FS090"}</definedName>
    <definedName name="_tab4" localSheetId="24" hidden="1">{#N/A,#N/A,FALSE,"Tabl. FB300";#N/A,#N/A,FALSE,"Tabl. FB350";#N/A,#N/A,FALSE,"Tabl. FB400";#N/A,#N/A,FALSE,"Tabl. FB500";#N/A,#N/A,FALSE,"Tabl. FS090"}</definedName>
    <definedName name="_tab4" localSheetId="25" hidden="1">{#N/A,#N/A,FALSE,"Tabl. FB300";#N/A,#N/A,FALSE,"Tabl. FB350";#N/A,#N/A,FALSE,"Tabl. FB400";#N/A,#N/A,FALSE,"Tabl. FB500";#N/A,#N/A,FALSE,"Tabl. FS090"}</definedName>
    <definedName name="_tab4" localSheetId="26" hidden="1">{#N/A,#N/A,FALSE,"Tabl. FB300";#N/A,#N/A,FALSE,"Tabl. FB350";#N/A,#N/A,FALSE,"Tabl. FB400";#N/A,#N/A,FALSE,"Tabl. FB500";#N/A,#N/A,FALSE,"Tabl. FS090"}</definedName>
    <definedName name="_tab4" localSheetId="27" hidden="1">{#N/A,#N/A,FALSE,"Tabl. FB300";#N/A,#N/A,FALSE,"Tabl. FB350";#N/A,#N/A,FALSE,"Tabl. FB400";#N/A,#N/A,FALSE,"Tabl. FB500";#N/A,#N/A,FALSE,"Tabl. FS090"}</definedName>
    <definedName name="_tab4" localSheetId="28" hidden="1">{#N/A,#N/A,FALSE,"Tabl. FB300";#N/A,#N/A,FALSE,"Tabl. FB350";#N/A,#N/A,FALSE,"Tabl. FB400";#N/A,#N/A,FALSE,"Tabl. FB500";#N/A,#N/A,FALSE,"Tabl. FS090"}</definedName>
    <definedName name="_tab4" localSheetId="29" hidden="1">{#N/A,#N/A,FALSE,"Tabl. FB300";#N/A,#N/A,FALSE,"Tabl. FB350";#N/A,#N/A,FALSE,"Tabl. FB400";#N/A,#N/A,FALSE,"Tabl. FB500";#N/A,#N/A,FALSE,"Tabl. FS090"}</definedName>
    <definedName name="_tab4" localSheetId="30" hidden="1">{#N/A,#N/A,FALSE,"Tabl. FB300";#N/A,#N/A,FALSE,"Tabl. FB350";#N/A,#N/A,FALSE,"Tabl. FB400";#N/A,#N/A,FALSE,"Tabl. FB500";#N/A,#N/A,FALSE,"Tabl. FS090"}</definedName>
    <definedName name="_tab4" localSheetId="31" hidden="1">{#N/A,#N/A,FALSE,"Tabl. FB300";#N/A,#N/A,FALSE,"Tabl. FB350";#N/A,#N/A,FALSE,"Tabl. FB400";#N/A,#N/A,FALSE,"Tabl. FB500";#N/A,#N/A,FALSE,"Tabl. FS090"}</definedName>
    <definedName name="_tab4" localSheetId="32" hidden="1">{#N/A,#N/A,FALSE,"Tabl. FB300";#N/A,#N/A,FALSE,"Tabl. FB350";#N/A,#N/A,FALSE,"Tabl. FB400";#N/A,#N/A,FALSE,"Tabl. FB500";#N/A,#N/A,FALSE,"Tabl. FS090"}</definedName>
    <definedName name="_tab4" hidden="1">{#N/A,#N/A,FALSE,"Tabl. FB300";#N/A,#N/A,FALSE,"Tabl. FB350";#N/A,#N/A,FALSE,"Tabl. FB400";#N/A,#N/A,FALSE,"Tabl. FB500";#N/A,#N/A,FALSE,"Tabl. FS090"}</definedName>
    <definedName name="_tab40" localSheetId="3" hidden="1">{#N/A,#N/A,FALSE,"Tabl. FB300";#N/A,#N/A,FALSE,"Tabl. FB350";#N/A,#N/A,FALSE,"Tabl. FB400";#N/A,#N/A,FALSE,"Tabl. FB500";#N/A,#N/A,FALSE,"Tabl. FS090"}</definedName>
    <definedName name="_tab40" localSheetId="5" hidden="1">{#N/A,#N/A,FALSE,"Tabl. FB300";#N/A,#N/A,FALSE,"Tabl. FB350";#N/A,#N/A,FALSE,"Tabl. FB400";#N/A,#N/A,FALSE,"Tabl. FB500";#N/A,#N/A,FALSE,"Tabl. FS090"}</definedName>
    <definedName name="_tab40" localSheetId="6" hidden="1">{#N/A,#N/A,FALSE,"Tabl. FB300";#N/A,#N/A,FALSE,"Tabl. FB350";#N/A,#N/A,FALSE,"Tabl. FB400";#N/A,#N/A,FALSE,"Tabl. FB500";#N/A,#N/A,FALSE,"Tabl. FS090"}</definedName>
    <definedName name="_tab40" localSheetId="7" hidden="1">{#N/A,#N/A,FALSE,"Tabl. FB300";#N/A,#N/A,FALSE,"Tabl. FB350";#N/A,#N/A,FALSE,"Tabl. FB400";#N/A,#N/A,FALSE,"Tabl. FB500";#N/A,#N/A,FALSE,"Tabl. FS090"}</definedName>
    <definedName name="_tab40" localSheetId="9" hidden="1">{#N/A,#N/A,FALSE,"Tabl. FB300";#N/A,#N/A,FALSE,"Tabl. FB350";#N/A,#N/A,FALSE,"Tabl. FB400";#N/A,#N/A,FALSE,"Tabl. FB500";#N/A,#N/A,FALSE,"Tabl. FS090"}</definedName>
    <definedName name="_tab40" localSheetId="10" hidden="1">{#N/A,#N/A,FALSE,"Tabl. FB300";#N/A,#N/A,FALSE,"Tabl. FB350";#N/A,#N/A,FALSE,"Tabl. FB400";#N/A,#N/A,FALSE,"Tabl. FB500";#N/A,#N/A,FALSE,"Tabl. FS090"}</definedName>
    <definedName name="_tab40" localSheetId="11" hidden="1">{#N/A,#N/A,FALSE,"Tabl. FB300";#N/A,#N/A,FALSE,"Tabl. FB350";#N/A,#N/A,FALSE,"Tabl. FB400";#N/A,#N/A,FALSE,"Tabl. FB500";#N/A,#N/A,FALSE,"Tabl. FS090"}</definedName>
    <definedName name="_tab40" localSheetId="12" hidden="1">{#N/A,#N/A,FALSE,"Tabl. FB300";#N/A,#N/A,FALSE,"Tabl. FB350";#N/A,#N/A,FALSE,"Tabl. FB400";#N/A,#N/A,FALSE,"Tabl. FB500";#N/A,#N/A,FALSE,"Tabl. FS090"}</definedName>
    <definedName name="_tab40" localSheetId="13" hidden="1">{#N/A,#N/A,FALSE,"Tabl. FB300";#N/A,#N/A,FALSE,"Tabl. FB350";#N/A,#N/A,FALSE,"Tabl. FB400";#N/A,#N/A,FALSE,"Tabl. FB500";#N/A,#N/A,FALSE,"Tabl. FS090"}</definedName>
    <definedName name="_tab40" localSheetId="14" hidden="1">{#N/A,#N/A,FALSE,"Tabl. FB300";#N/A,#N/A,FALSE,"Tabl. FB350";#N/A,#N/A,FALSE,"Tabl. FB400";#N/A,#N/A,FALSE,"Tabl. FB500";#N/A,#N/A,FALSE,"Tabl. FS090"}</definedName>
    <definedName name="_tab40" localSheetId="15" hidden="1">{#N/A,#N/A,FALSE,"Tabl. FB300";#N/A,#N/A,FALSE,"Tabl. FB350";#N/A,#N/A,FALSE,"Tabl. FB400";#N/A,#N/A,FALSE,"Tabl. FB500";#N/A,#N/A,FALSE,"Tabl. FS090"}</definedName>
    <definedName name="_tab40" localSheetId="20" hidden="1">{#N/A,#N/A,FALSE,"Tabl. FB300";#N/A,#N/A,FALSE,"Tabl. FB350";#N/A,#N/A,FALSE,"Tabl. FB400";#N/A,#N/A,FALSE,"Tabl. FB500";#N/A,#N/A,FALSE,"Tabl. FS090"}</definedName>
    <definedName name="_tab40" localSheetId="21" hidden="1">{#N/A,#N/A,FALSE,"Tabl. FB300";#N/A,#N/A,FALSE,"Tabl. FB350";#N/A,#N/A,FALSE,"Tabl. FB400";#N/A,#N/A,FALSE,"Tabl. FB500";#N/A,#N/A,FALSE,"Tabl. FS090"}</definedName>
    <definedName name="_tab40" localSheetId="22" hidden="1">{#N/A,#N/A,FALSE,"Tabl. FB300";#N/A,#N/A,FALSE,"Tabl. FB350";#N/A,#N/A,FALSE,"Tabl. FB400";#N/A,#N/A,FALSE,"Tabl. FB500";#N/A,#N/A,FALSE,"Tabl. FS090"}</definedName>
    <definedName name="_tab40" localSheetId="23" hidden="1">{#N/A,#N/A,FALSE,"Tabl. FB300";#N/A,#N/A,FALSE,"Tabl. FB350";#N/A,#N/A,FALSE,"Tabl. FB400";#N/A,#N/A,FALSE,"Tabl. FB500";#N/A,#N/A,FALSE,"Tabl. FS090"}</definedName>
    <definedName name="_tab40" localSheetId="24" hidden="1">{#N/A,#N/A,FALSE,"Tabl. FB300";#N/A,#N/A,FALSE,"Tabl. FB350";#N/A,#N/A,FALSE,"Tabl. FB400";#N/A,#N/A,FALSE,"Tabl. FB500";#N/A,#N/A,FALSE,"Tabl. FS090"}</definedName>
    <definedName name="_tab40" localSheetId="25" hidden="1">{#N/A,#N/A,FALSE,"Tabl. FB300";#N/A,#N/A,FALSE,"Tabl. FB350";#N/A,#N/A,FALSE,"Tabl. FB400";#N/A,#N/A,FALSE,"Tabl. FB500";#N/A,#N/A,FALSE,"Tabl. FS090"}</definedName>
    <definedName name="_tab40" localSheetId="26" hidden="1">{#N/A,#N/A,FALSE,"Tabl. FB300";#N/A,#N/A,FALSE,"Tabl. FB350";#N/A,#N/A,FALSE,"Tabl. FB400";#N/A,#N/A,FALSE,"Tabl. FB500";#N/A,#N/A,FALSE,"Tabl. FS090"}</definedName>
    <definedName name="_tab40" localSheetId="27" hidden="1">{#N/A,#N/A,FALSE,"Tabl. FB300";#N/A,#N/A,FALSE,"Tabl. FB350";#N/A,#N/A,FALSE,"Tabl. FB400";#N/A,#N/A,FALSE,"Tabl. FB500";#N/A,#N/A,FALSE,"Tabl. FS090"}</definedName>
    <definedName name="_tab40" localSheetId="28" hidden="1">{#N/A,#N/A,FALSE,"Tabl. FB300";#N/A,#N/A,FALSE,"Tabl. FB350";#N/A,#N/A,FALSE,"Tabl. FB400";#N/A,#N/A,FALSE,"Tabl. FB500";#N/A,#N/A,FALSE,"Tabl. FS090"}</definedName>
    <definedName name="_tab40" localSheetId="29" hidden="1">{#N/A,#N/A,FALSE,"Tabl. FB300";#N/A,#N/A,FALSE,"Tabl. FB350";#N/A,#N/A,FALSE,"Tabl. FB400";#N/A,#N/A,FALSE,"Tabl. FB500";#N/A,#N/A,FALSE,"Tabl. FS090"}</definedName>
    <definedName name="_tab40" localSheetId="30" hidden="1">{#N/A,#N/A,FALSE,"Tabl. FB300";#N/A,#N/A,FALSE,"Tabl. FB350";#N/A,#N/A,FALSE,"Tabl. FB400";#N/A,#N/A,FALSE,"Tabl. FB500";#N/A,#N/A,FALSE,"Tabl. FS090"}</definedName>
    <definedName name="_tab40" localSheetId="31" hidden="1">{#N/A,#N/A,FALSE,"Tabl. FB300";#N/A,#N/A,FALSE,"Tabl. FB350";#N/A,#N/A,FALSE,"Tabl. FB400";#N/A,#N/A,FALSE,"Tabl. FB500";#N/A,#N/A,FALSE,"Tabl. FS090"}</definedName>
    <definedName name="_tab40" localSheetId="32" hidden="1">{#N/A,#N/A,FALSE,"Tabl. FB300";#N/A,#N/A,FALSE,"Tabl. FB350";#N/A,#N/A,FALSE,"Tabl. FB400";#N/A,#N/A,FALSE,"Tabl. FB500";#N/A,#N/A,FALSE,"Tabl. FS090"}</definedName>
    <definedName name="_tab40" hidden="1">{#N/A,#N/A,FALSE,"Tabl. FB300";#N/A,#N/A,FALSE,"Tabl. FB350";#N/A,#N/A,FALSE,"Tabl. FB400";#N/A,#N/A,FALSE,"Tabl. FB500";#N/A,#N/A,FALSE,"Tabl. FS090"}</definedName>
    <definedName name="_tab43" localSheetId="3" hidden="1">{#N/A,#N/A,FALSE,"Tabl. D1";#N/A,#N/A,FALSE,"Tabl. D1 b";#N/A,#N/A,FALSE,"Tabl. D2";#N/A,#N/A,FALSE,"Tabl. D2 b";#N/A,#N/A,FALSE,"Tabl. D3";#N/A,#N/A,FALSE,"Tabl. D4";#N/A,#N/A,FALSE,"Tabl. D5"}</definedName>
    <definedName name="_tab43" localSheetId="5" hidden="1">{#N/A,#N/A,FALSE,"Tabl. D1";#N/A,#N/A,FALSE,"Tabl. D1 b";#N/A,#N/A,FALSE,"Tabl. D2";#N/A,#N/A,FALSE,"Tabl. D2 b";#N/A,#N/A,FALSE,"Tabl. D3";#N/A,#N/A,FALSE,"Tabl. D4";#N/A,#N/A,FALSE,"Tabl. D5"}</definedName>
    <definedName name="_tab43" localSheetId="6" hidden="1">{#N/A,#N/A,FALSE,"Tabl. D1";#N/A,#N/A,FALSE,"Tabl. D1 b";#N/A,#N/A,FALSE,"Tabl. D2";#N/A,#N/A,FALSE,"Tabl. D2 b";#N/A,#N/A,FALSE,"Tabl. D3";#N/A,#N/A,FALSE,"Tabl. D4";#N/A,#N/A,FALSE,"Tabl. D5"}</definedName>
    <definedName name="_tab43" localSheetId="7" hidden="1">{#N/A,#N/A,FALSE,"Tabl. D1";#N/A,#N/A,FALSE,"Tabl. D1 b";#N/A,#N/A,FALSE,"Tabl. D2";#N/A,#N/A,FALSE,"Tabl. D2 b";#N/A,#N/A,FALSE,"Tabl. D3";#N/A,#N/A,FALSE,"Tabl. D4";#N/A,#N/A,FALSE,"Tabl. D5"}</definedName>
    <definedName name="_tab43" localSheetId="9" hidden="1">{#N/A,#N/A,FALSE,"Tabl. D1";#N/A,#N/A,FALSE,"Tabl. D1 b";#N/A,#N/A,FALSE,"Tabl. D2";#N/A,#N/A,FALSE,"Tabl. D2 b";#N/A,#N/A,FALSE,"Tabl. D3";#N/A,#N/A,FALSE,"Tabl. D4";#N/A,#N/A,FALSE,"Tabl. D5"}</definedName>
    <definedName name="_tab43" localSheetId="10" hidden="1">{#N/A,#N/A,FALSE,"Tabl. D1";#N/A,#N/A,FALSE,"Tabl. D1 b";#N/A,#N/A,FALSE,"Tabl. D2";#N/A,#N/A,FALSE,"Tabl. D2 b";#N/A,#N/A,FALSE,"Tabl. D3";#N/A,#N/A,FALSE,"Tabl. D4";#N/A,#N/A,FALSE,"Tabl. D5"}</definedName>
    <definedName name="_tab43" localSheetId="11" hidden="1">{#N/A,#N/A,FALSE,"Tabl. D1";#N/A,#N/A,FALSE,"Tabl. D1 b";#N/A,#N/A,FALSE,"Tabl. D2";#N/A,#N/A,FALSE,"Tabl. D2 b";#N/A,#N/A,FALSE,"Tabl. D3";#N/A,#N/A,FALSE,"Tabl. D4";#N/A,#N/A,FALSE,"Tabl. D5"}</definedName>
    <definedName name="_tab43" localSheetId="12" hidden="1">{#N/A,#N/A,FALSE,"Tabl. D1";#N/A,#N/A,FALSE,"Tabl. D1 b";#N/A,#N/A,FALSE,"Tabl. D2";#N/A,#N/A,FALSE,"Tabl. D2 b";#N/A,#N/A,FALSE,"Tabl. D3";#N/A,#N/A,FALSE,"Tabl. D4";#N/A,#N/A,FALSE,"Tabl. D5"}</definedName>
    <definedName name="_tab43" localSheetId="13" hidden="1">{#N/A,#N/A,FALSE,"Tabl. D1";#N/A,#N/A,FALSE,"Tabl. D1 b";#N/A,#N/A,FALSE,"Tabl. D2";#N/A,#N/A,FALSE,"Tabl. D2 b";#N/A,#N/A,FALSE,"Tabl. D3";#N/A,#N/A,FALSE,"Tabl. D4";#N/A,#N/A,FALSE,"Tabl. D5"}</definedName>
    <definedName name="_tab43" localSheetId="14" hidden="1">{#N/A,#N/A,FALSE,"Tabl. D1";#N/A,#N/A,FALSE,"Tabl. D1 b";#N/A,#N/A,FALSE,"Tabl. D2";#N/A,#N/A,FALSE,"Tabl. D2 b";#N/A,#N/A,FALSE,"Tabl. D3";#N/A,#N/A,FALSE,"Tabl. D4";#N/A,#N/A,FALSE,"Tabl. D5"}</definedName>
    <definedName name="_tab43" localSheetId="15" hidden="1">{#N/A,#N/A,FALSE,"Tabl. D1";#N/A,#N/A,FALSE,"Tabl. D1 b";#N/A,#N/A,FALSE,"Tabl. D2";#N/A,#N/A,FALSE,"Tabl. D2 b";#N/A,#N/A,FALSE,"Tabl. D3";#N/A,#N/A,FALSE,"Tabl. D4";#N/A,#N/A,FALSE,"Tabl. D5"}</definedName>
    <definedName name="_tab43" localSheetId="20" hidden="1">{#N/A,#N/A,FALSE,"Tabl. D1";#N/A,#N/A,FALSE,"Tabl. D1 b";#N/A,#N/A,FALSE,"Tabl. D2";#N/A,#N/A,FALSE,"Tabl. D2 b";#N/A,#N/A,FALSE,"Tabl. D3";#N/A,#N/A,FALSE,"Tabl. D4";#N/A,#N/A,FALSE,"Tabl. D5"}</definedName>
    <definedName name="_tab43" localSheetId="21" hidden="1">{#N/A,#N/A,FALSE,"Tabl. D1";#N/A,#N/A,FALSE,"Tabl. D1 b";#N/A,#N/A,FALSE,"Tabl. D2";#N/A,#N/A,FALSE,"Tabl. D2 b";#N/A,#N/A,FALSE,"Tabl. D3";#N/A,#N/A,FALSE,"Tabl. D4";#N/A,#N/A,FALSE,"Tabl. D5"}</definedName>
    <definedName name="_tab43" localSheetId="22" hidden="1">{#N/A,#N/A,FALSE,"Tabl. D1";#N/A,#N/A,FALSE,"Tabl. D1 b";#N/A,#N/A,FALSE,"Tabl. D2";#N/A,#N/A,FALSE,"Tabl. D2 b";#N/A,#N/A,FALSE,"Tabl. D3";#N/A,#N/A,FALSE,"Tabl. D4";#N/A,#N/A,FALSE,"Tabl. D5"}</definedName>
    <definedName name="_tab43" localSheetId="23" hidden="1">{#N/A,#N/A,FALSE,"Tabl. D1";#N/A,#N/A,FALSE,"Tabl. D1 b";#N/A,#N/A,FALSE,"Tabl. D2";#N/A,#N/A,FALSE,"Tabl. D2 b";#N/A,#N/A,FALSE,"Tabl. D3";#N/A,#N/A,FALSE,"Tabl. D4";#N/A,#N/A,FALSE,"Tabl. D5"}</definedName>
    <definedName name="_tab43" localSheetId="24" hidden="1">{#N/A,#N/A,FALSE,"Tabl. D1";#N/A,#N/A,FALSE,"Tabl. D1 b";#N/A,#N/A,FALSE,"Tabl. D2";#N/A,#N/A,FALSE,"Tabl. D2 b";#N/A,#N/A,FALSE,"Tabl. D3";#N/A,#N/A,FALSE,"Tabl. D4";#N/A,#N/A,FALSE,"Tabl. D5"}</definedName>
    <definedName name="_tab43" localSheetId="25" hidden="1">{#N/A,#N/A,FALSE,"Tabl. D1";#N/A,#N/A,FALSE,"Tabl. D1 b";#N/A,#N/A,FALSE,"Tabl. D2";#N/A,#N/A,FALSE,"Tabl. D2 b";#N/A,#N/A,FALSE,"Tabl. D3";#N/A,#N/A,FALSE,"Tabl. D4";#N/A,#N/A,FALSE,"Tabl. D5"}</definedName>
    <definedName name="_tab43" localSheetId="26" hidden="1">{#N/A,#N/A,FALSE,"Tabl. D1";#N/A,#N/A,FALSE,"Tabl. D1 b";#N/A,#N/A,FALSE,"Tabl. D2";#N/A,#N/A,FALSE,"Tabl. D2 b";#N/A,#N/A,FALSE,"Tabl. D3";#N/A,#N/A,FALSE,"Tabl. D4";#N/A,#N/A,FALSE,"Tabl. D5"}</definedName>
    <definedName name="_tab43" localSheetId="27" hidden="1">{#N/A,#N/A,FALSE,"Tabl. D1";#N/A,#N/A,FALSE,"Tabl. D1 b";#N/A,#N/A,FALSE,"Tabl. D2";#N/A,#N/A,FALSE,"Tabl. D2 b";#N/A,#N/A,FALSE,"Tabl. D3";#N/A,#N/A,FALSE,"Tabl. D4";#N/A,#N/A,FALSE,"Tabl. D5"}</definedName>
    <definedName name="_tab43" localSheetId="28" hidden="1">{#N/A,#N/A,FALSE,"Tabl. D1";#N/A,#N/A,FALSE,"Tabl. D1 b";#N/A,#N/A,FALSE,"Tabl. D2";#N/A,#N/A,FALSE,"Tabl. D2 b";#N/A,#N/A,FALSE,"Tabl. D3";#N/A,#N/A,FALSE,"Tabl. D4";#N/A,#N/A,FALSE,"Tabl. D5"}</definedName>
    <definedName name="_tab43" localSheetId="29" hidden="1">{#N/A,#N/A,FALSE,"Tabl. D1";#N/A,#N/A,FALSE,"Tabl. D1 b";#N/A,#N/A,FALSE,"Tabl. D2";#N/A,#N/A,FALSE,"Tabl. D2 b";#N/A,#N/A,FALSE,"Tabl. D3";#N/A,#N/A,FALSE,"Tabl. D4";#N/A,#N/A,FALSE,"Tabl. D5"}</definedName>
    <definedName name="_tab43" localSheetId="30" hidden="1">{#N/A,#N/A,FALSE,"Tabl. D1";#N/A,#N/A,FALSE,"Tabl. D1 b";#N/A,#N/A,FALSE,"Tabl. D2";#N/A,#N/A,FALSE,"Tabl. D2 b";#N/A,#N/A,FALSE,"Tabl. D3";#N/A,#N/A,FALSE,"Tabl. D4";#N/A,#N/A,FALSE,"Tabl. D5"}</definedName>
    <definedName name="_tab43" localSheetId="31" hidden="1">{#N/A,#N/A,FALSE,"Tabl. D1";#N/A,#N/A,FALSE,"Tabl. D1 b";#N/A,#N/A,FALSE,"Tabl. D2";#N/A,#N/A,FALSE,"Tabl. D2 b";#N/A,#N/A,FALSE,"Tabl. D3";#N/A,#N/A,FALSE,"Tabl. D4";#N/A,#N/A,FALSE,"Tabl. D5"}</definedName>
    <definedName name="_tab43" localSheetId="32" hidden="1">{#N/A,#N/A,FALSE,"Tabl. D1";#N/A,#N/A,FALSE,"Tabl. D1 b";#N/A,#N/A,FALSE,"Tabl. D2";#N/A,#N/A,FALSE,"Tabl. D2 b";#N/A,#N/A,FALSE,"Tabl. D3";#N/A,#N/A,FALSE,"Tabl. D4";#N/A,#N/A,FALSE,"Tabl. D5"}</definedName>
    <definedName name="_tab43" hidden="1">{#N/A,#N/A,FALSE,"Tabl. D1";#N/A,#N/A,FALSE,"Tabl. D1 b";#N/A,#N/A,FALSE,"Tabl. D2";#N/A,#N/A,FALSE,"Tabl. D2 b";#N/A,#N/A,FALSE,"Tabl. D3";#N/A,#N/A,FALSE,"Tabl. D4";#N/A,#N/A,FALSE,"Tabl. D5"}</definedName>
    <definedName name="_tab45" localSheetId="3" hidden="1">{#N/A,#N/A,FALSE,"Tabl. A1";#N/A,#N/A,FALSE,"Tabl. A1 b";#N/A,#N/A,FALSE,"Tabl. A2";#N/A,#N/A,FALSE,"Tabl. A2-1";#N/A,#N/A,FALSE,"Tabl. A2-2"}</definedName>
    <definedName name="_tab45" localSheetId="5" hidden="1">{#N/A,#N/A,FALSE,"Tabl. A1";#N/A,#N/A,FALSE,"Tabl. A1 b";#N/A,#N/A,FALSE,"Tabl. A2";#N/A,#N/A,FALSE,"Tabl. A2-1";#N/A,#N/A,FALSE,"Tabl. A2-2"}</definedName>
    <definedName name="_tab45" localSheetId="6" hidden="1">{#N/A,#N/A,FALSE,"Tabl. A1";#N/A,#N/A,FALSE,"Tabl. A1 b";#N/A,#N/A,FALSE,"Tabl. A2";#N/A,#N/A,FALSE,"Tabl. A2-1";#N/A,#N/A,FALSE,"Tabl. A2-2"}</definedName>
    <definedName name="_tab45" localSheetId="7" hidden="1">{#N/A,#N/A,FALSE,"Tabl. A1";#N/A,#N/A,FALSE,"Tabl. A1 b";#N/A,#N/A,FALSE,"Tabl. A2";#N/A,#N/A,FALSE,"Tabl. A2-1";#N/A,#N/A,FALSE,"Tabl. A2-2"}</definedName>
    <definedName name="_tab45" localSheetId="9" hidden="1">{#N/A,#N/A,FALSE,"Tabl. A1";#N/A,#N/A,FALSE,"Tabl. A1 b";#N/A,#N/A,FALSE,"Tabl. A2";#N/A,#N/A,FALSE,"Tabl. A2-1";#N/A,#N/A,FALSE,"Tabl. A2-2"}</definedName>
    <definedName name="_tab45" localSheetId="10" hidden="1">{#N/A,#N/A,FALSE,"Tabl. A1";#N/A,#N/A,FALSE,"Tabl. A1 b";#N/A,#N/A,FALSE,"Tabl. A2";#N/A,#N/A,FALSE,"Tabl. A2-1";#N/A,#N/A,FALSE,"Tabl. A2-2"}</definedName>
    <definedName name="_tab45" localSheetId="11" hidden="1">{#N/A,#N/A,FALSE,"Tabl. A1";#N/A,#N/A,FALSE,"Tabl. A1 b";#N/A,#N/A,FALSE,"Tabl. A2";#N/A,#N/A,FALSE,"Tabl. A2-1";#N/A,#N/A,FALSE,"Tabl. A2-2"}</definedName>
    <definedName name="_tab45" localSheetId="12" hidden="1">{#N/A,#N/A,FALSE,"Tabl. A1";#N/A,#N/A,FALSE,"Tabl. A1 b";#N/A,#N/A,FALSE,"Tabl. A2";#N/A,#N/A,FALSE,"Tabl. A2-1";#N/A,#N/A,FALSE,"Tabl. A2-2"}</definedName>
    <definedName name="_tab45" localSheetId="13" hidden="1">{#N/A,#N/A,FALSE,"Tabl. A1";#N/A,#N/A,FALSE,"Tabl. A1 b";#N/A,#N/A,FALSE,"Tabl. A2";#N/A,#N/A,FALSE,"Tabl. A2-1";#N/A,#N/A,FALSE,"Tabl. A2-2"}</definedName>
    <definedName name="_tab45" localSheetId="14" hidden="1">{#N/A,#N/A,FALSE,"Tabl. A1";#N/A,#N/A,FALSE,"Tabl. A1 b";#N/A,#N/A,FALSE,"Tabl. A2";#N/A,#N/A,FALSE,"Tabl. A2-1";#N/A,#N/A,FALSE,"Tabl. A2-2"}</definedName>
    <definedName name="_tab45" localSheetId="15" hidden="1">{#N/A,#N/A,FALSE,"Tabl. A1";#N/A,#N/A,FALSE,"Tabl. A1 b";#N/A,#N/A,FALSE,"Tabl. A2";#N/A,#N/A,FALSE,"Tabl. A2-1";#N/A,#N/A,FALSE,"Tabl. A2-2"}</definedName>
    <definedName name="_tab45" localSheetId="20" hidden="1">{#N/A,#N/A,FALSE,"Tabl. A1";#N/A,#N/A,FALSE,"Tabl. A1 b";#N/A,#N/A,FALSE,"Tabl. A2";#N/A,#N/A,FALSE,"Tabl. A2-1";#N/A,#N/A,FALSE,"Tabl. A2-2"}</definedName>
    <definedName name="_tab45" localSheetId="21" hidden="1">{#N/A,#N/A,FALSE,"Tabl. A1";#N/A,#N/A,FALSE,"Tabl. A1 b";#N/A,#N/A,FALSE,"Tabl. A2";#N/A,#N/A,FALSE,"Tabl. A2-1";#N/A,#N/A,FALSE,"Tabl. A2-2"}</definedName>
    <definedName name="_tab45" localSheetId="22" hidden="1">{#N/A,#N/A,FALSE,"Tabl. A1";#N/A,#N/A,FALSE,"Tabl. A1 b";#N/A,#N/A,FALSE,"Tabl. A2";#N/A,#N/A,FALSE,"Tabl. A2-1";#N/A,#N/A,FALSE,"Tabl. A2-2"}</definedName>
    <definedName name="_tab45" localSheetId="23" hidden="1">{#N/A,#N/A,FALSE,"Tabl. A1";#N/A,#N/A,FALSE,"Tabl. A1 b";#N/A,#N/A,FALSE,"Tabl. A2";#N/A,#N/A,FALSE,"Tabl. A2-1";#N/A,#N/A,FALSE,"Tabl. A2-2"}</definedName>
    <definedName name="_tab45" localSheetId="24" hidden="1">{#N/A,#N/A,FALSE,"Tabl. A1";#N/A,#N/A,FALSE,"Tabl. A1 b";#N/A,#N/A,FALSE,"Tabl. A2";#N/A,#N/A,FALSE,"Tabl. A2-1";#N/A,#N/A,FALSE,"Tabl. A2-2"}</definedName>
    <definedName name="_tab45" localSheetId="25" hidden="1">{#N/A,#N/A,FALSE,"Tabl. A1";#N/A,#N/A,FALSE,"Tabl. A1 b";#N/A,#N/A,FALSE,"Tabl. A2";#N/A,#N/A,FALSE,"Tabl. A2-1";#N/A,#N/A,FALSE,"Tabl. A2-2"}</definedName>
    <definedName name="_tab45" localSheetId="26" hidden="1">{#N/A,#N/A,FALSE,"Tabl. A1";#N/A,#N/A,FALSE,"Tabl. A1 b";#N/A,#N/A,FALSE,"Tabl. A2";#N/A,#N/A,FALSE,"Tabl. A2-1";#N/A,#N/A,FALSE,"Tabl. A2-2"}</definedName>
    <definedName name="_tab45" localSheetId="27" hidden="1">{#N/A,#N/A,FALSE,"Tabl. A1";#N/A,#N/A,FALSE,"Tabl. A1 b";#N/A,#N/A,FALSE,"Tabl. A2";#N/A,#N/A,FALSE,"Tabl. A2-1";#N/A,#N/A,FALSE,"Tabl. A2-2"}</definedName>
    <definedName name="_tab45" localSheetId="28" hidden="1">{#N/A,#N/A,FALSE,"Tabl. A1";#N/A,#N/A,FALSE,"Tabl. A1 b";#N/A,#N/A,FALSE,"Tabl. A2";#N/A,#N/A,FALSE,"Tabl. A2-1";#N/A,#N/A,FALSE,"Tabl. A2-2"}</definedName>
    <definedName name="_tab45" localSheetId="29" hidden="1">{#N/A,#N/A,FALSE,"Tabl. A1";#N/A,#N/A,FALSE,"Tabl. A1 b";#N/A,#N/A,FALSE,"Tabl. A2";#N/A,#N/A,FALSE,"Tabl. A2-1";#N/A,#N/A,FALSE,"Tabl. A2-2"}</definedName>
    <definedName name="_tab45" localSheetId="30" hidden="1">{#N/A,#N/A,FALSE,"Tabl. A1";#N/A,#N/A,FALSE,"Tabl. A1 b";#N/A,#N/A,FALSE,"Tabl. A2";#N/A,#N/A,FALSE,"Tabl. A2-1";#N/A,#N/A,FALSE,"Tabl. A2-2"}</definedName>
    <definedName name="_tab45" localSheetId="31" hidden="1">{#N/A,#N/A,FALSE,"Tabl. A1";#N/A,#N/A,FALSE,"Tabl. A1 b";#N/A,#N/A,FALSE,"Tabl. A2";#N/A,#N/A,FALSE,"Tabl. A2-1";#N/A,#N/A,FALSE,"Tabl. A2-2"}</definedName>
    <definedName name="_tab45" localSheetId="32" hidden="1">{#N/A,#N/A,FALSE,"Tabl. A1";#N/A,#N/A,FALSE,"Tabl. A1 b";#N/A,#N/A,FALSE,"Tabl. A2";#N/A,#N/A,FALSE,"Tabl. A2-1";#N/A,#N/A,FALSE,"Tabl. A2-2"}</definedName>
    <definedName name="_tab45" hidden="1">{#N/A,#N/A,FALSE,"Tabl. A1";#N/A,#N/A,FALSE,"Tabl. A1 b";#N/A,#N/A,FALSE,"Tabl. A2";#N/A,#N/A,FALSE,"Tabl. A2-1";#N/A,#N/A,FALSE,"Tabl. A2-2"}</definedName>
    <definedName name="_tab5" localSheetId="3" hidden="1">{#N/A,#N/A,FALSE,"Tabl. FB300";#N/A,#N/A,FALSE,"Tabl. FB350";#N/A,#N/A,FALSE,"Tabl. FB400";#N/A,#N/A,FALSE,"Tabl. FB500";#N/A,#N/A,FALSE,"Tabl. FS090"}</definedName>
    <definedName name="_tab5" localSheetId="5" hidden="1">{#N/A,#N/A,FALSE,"Tabl. FB300";#N/A,#N/A,FALSE,"Tabl. FB350";#N/A,#N/A,FALSE,"Tabl. FB400";#N/A,#N/A,FALSE,"Tabl. FB500";#N/A,#N/A,FALSE,"Tabl. FS090"}</definedName>
    <definedName name="_tab5" localSheetId="6" hidden="1">{#N/A,#N/A,FALSE,"Tabl. FB300";#N/A,#N/A,FALSE,"Tabl. FB350";#N/A,#N/A,FALSE,"Tabl. FB400";#N/A,#N/A,FALSE,"Tabl. FB500";#N/A,#N/A,FALSE,"Tabl. FS090"}</definedName>
    <definedName name="_tab5" localSheetId="7" hidden="1">{#N/A,#N/A,FALSE,"Tabl. FB300";#N/A,#N/A,FALSE,"Tabl. FB350";#N/A,#N/A,FALSE,"Tabl. FB400";#N/A,#N/A,FALSE,"Tabl. FB500";#N/A,#N/A,FALSE,"Tabl. FS090"}</definedName>
    <definedName name="_tab5" localSheetId="9" hidden="1">{#N/A,#N/A,FALSE,"Tabl. FB300";#N/A,#N/A,FALSE,"Tabl. FB350";#N/A,#N/A,FALSE,"Tabl. FB400";#N/A,#N/A,FALSE,"Tabl. FB500";#N/A,#N/A,FALSE,"Tabl. FS090"}</definedName>
    <definedName name="_tab5" localSheetId="10" hidden="1">{#N/A,#N/A,FALSE,"Tabl. FB300";#N/A,#N/A,FALSE,"Tabl. FB350";#N/A,#N/A,FALSE,"Tabl. FB400";#N/A,#N/A,FALSE,"Tabl. FB500";#N/A,#N/A,FALSE,"Tabl. FS090"}</definedName>
    <definedName name="_tab5" localSheetId="11" hidden="1">{#N/A,#N/A,FALSE,"Tabl. FB300";#N/A,#N/A,FALSE,"Tabl. FB350";#N/A,#N/A,FALSE,"Tabl. FB400";#N/A,#N/A,FALSE,"Tabl. FB500";#N/A,#N/A,FALSE,"Tabl. FS090"}</definedName>
    <definedName name="_tab5" localSheetId="12" hidden="1">{#N/A,#N/A,FALSE,"Tabl. FB300";#N/A,#N/A,FALSE,"Tabl. FB350";#N/A,#N/A,FALSE,"Tabl. FB400";#N/A,#N/A,FALSE,"Tabl. FB500";#N/A,#N/A,FALSE,"Tabl. FS090"}</definedName>
    <definedName name="_tab5" localSheetId="13" hidden="1">{#N/A,#N/A,FALSE,"Tabl. FB300";#N/A,#N/A,FALSE,"Tabl. FB350";#N/A,#N/A,FALSE,"Tabl. FB400";#N/A,#N/A,FALSE,"Tabl. FB500";#N/A,#N/A,FALSE,"Tabl. FS090"}</definedName>
    <definedName name="_tab5" localSheetId="14" hidden="1">{#N/A,#N/A,FALSE,"Tabl. FB300";#N/A,#N/A,FALSE,"Tabl. FB350";#N/A,#N/A,FALSE,"Tabl. FB400";#N/A,#N/A,FALSE,"Tabl. FB500";#N/A,#N/A,FALSE,"Tabl. FS090"}</definedName>
    <definedName name="_tab5" localSheetId="15" hidden="1">{#N/A,#N/A,FALSE,"Tabl. FB300";#N/A,#N/A,FALSE,"Tabl. FB350";#N/A,#N/A,FALSE,"Tabl. FB400";#N/A,#N/A,FALSE,"Tabl. FB500";#N/A,#N/A,FALSE,"Tabl. FS090"}</definedName>
    <definedName name="_tab5" localSheetId="20" hidden="1">{#N/A,#N/A,FALSE,"Tabl. FB300";#N/A,#N/A,FALSE,"Tabl. FB350";#N/A,#N/A,FALSE,"Tabl. FB400";#N/A,#N/A,FALSE,"Tabl. FB500";#N/A,#N/A,FALSE,"Tabl. FS090"}</definedName>
    <definedName name="_tab5" localSheetId="21" hidden="1">{#N/A,#N/A,FALSE,"Tabl. FB300";#N/A,#N/A,FALSE,"Tabl. FB350";#N/A,#N/A,FALSE,"Tabl. FB400";#N/A,#N/A,FALSE,"Tabl. FB500";#N/A,#N/A,FALSE,"Tabl. FS090"}</definedName>
    <definedName name="_tab5" localSheetId="22" hidden="1">{#N/A,#N/A,FALSE,"Tabl. FB300";#N/A,#N/A,FALSE,"Tabl. FB350";#N/A,#N/A,FALSE,"Tabl. FB400";#N/A,#N/A,FALSE,"Tabl. FB500";#N/A,#N/A,FALSE,"Tabl. FS090"}</definedName>
    <definedName name="_tab5" localSheetId="23" hidden="1">{#N/A,#N/A,FALSE,"Tabl. FB300";#N/A,#N/A,FALSE,"Tabl. FB350";#N/A,#N/A,FALSE,"Tabl. FB400";#N/A,#N/A,FALSE,"Tabl. FB500";#N/A,#N/A,FALSE,"Tabl. FS090"}</definedName>
    <definedName name="_tab5" localSheetId="24" hidden="1">{#N/A,#N/A,FALSE,"Tabl. FB300";#N/A,#N/A,FALSE,"Tabl. FB350";#N/A,#N/A,FALSE,"Tabl. FB400";#N/A,#N/A,FALSE,"Tabl. FB500";#N/A,#N/A,FALSE,"Tabl. FS090"}</definedName>
    <definedName name="_tab5" localSheetId="25" hidden="1">{#N/A,#N/A,FALSE,"Tabl. FB300";#N/A,#N/A,FALSE,"Tabl. FB350";#N/A,#N/A,FALSE,"Tabl. FB400";#N/A,#N/A,FALSE,"Tabl. FB500";#N/A,#N/A,FALSE,"Tabl. FS090"}</definedName>
    <definedName name="_tab5" localSheetId="26" hidden="1">{#N/A,#N/A,FALSE,"Tabl. FB300";#N/A,#N/A,FALSE,"Tabl. FB350";#N/A,#N/A,FALSE,"Tabl. FB400";#N/A,#N/A,FALSE,"Tabl. FB500";#N/A,#N/A,FALSE,"Tabl. FS090"}</definedName>
    <definedName name="_tab5" localSheetId="27" hidden="1">{#N/A,#N/A,FALSE,"Tabl. FB300";#N/A,#N/A,FALSE,"Tabl. FB350";#N/A,#N/A,FALSE,"Tabl. FB400";#N/A,#N/A,FALSE,"Tabl. FB500";#N/A,#N/A,FALSE,"Tabl. FS090"}</definedName>
    <definedName name="_tab5" localSheetId="28" hidden="1">{#N/A,#N/A,FALSE,"Tabl. FB300";#N/A,#N/A,FALSE,"Tabl. FB350";#N/A,#N/A,FALSE,"Tabl. FB400";#N/A,#N/A,FALSE,"Tabl. FB500";#N/A,#N/A,FALSE,"Tabl. FS090"}</definedName>
    <definedName name="_tab5" localSheetId="29" hidden="1">{#N/A,#N/A,FALSE,"Tabl. FB300";#N/A,#N/A,FALSE,"Tabl. FB350";#N/A,#N/A,FALSE,"Tabl. FB400";#N/A,#N/A,FALSE,"Tabl. FB500";#N/A,#N/A,FALSE,"Tabl. FS090"}</definedName>
    <definedName name="_tab5" localSheetId="30" hidden="1">{#N/A,#N/A,FALSE,"Tabl. FB300";#N/A,#N/A,FALSE,"Tabl. FB350";#N/A,#N/A,FALSE,"Tabl. FB400";#N/A,#N/A,FALSE,"Tabl. FB500";#N/A,#N/A,FALSE,"Tabl. FS090"}</definedName>
    <definedName name="_tab5" localSheetId="31" hidden="1">{#N/A,#N/A,FALSE,"Tabl. FB300";#N/A,#N/A,FALSE,"Tabl. FB350";#N/A,#N/A,FALSE,"Tabl. FB400";#N/A,#N/A,FALSE,"Tabl. FB500";#N/A,#N/A,FALSE,"Tabl. FS090"}</definedName>
    <definedName name="_tab5" localSheetId="32" hidden="1">{#N/A,#N/A,FALSE,"Tabl. FB300";#N/A,#N/A,FALSE,"Tabl. FB350";#N/A,#N/A,FALSE,"Tabl. FB400";#N/A,#N/A,FALSE,"Tabl. FB500";#N/A,#N/A,FALSE,"Tabl. FS090"}</definedName>
    <definedName name="_tab5" hidden="1">{#N/A,#N/A,FALSE,"Tabl. FB300";#N/A,#N/A,FALSE,"Tabl. FB350";#N/A,#N/A,FALSE,"Tabl. FB400";#N/A,#N/A,FALSE,"Tabl. FB500";#N/A,#N/A,FALSE,"Tabl. FS090"}</definedName>
    <definedName name="_tab6" localSheetId="3" hidden="1">{#N/A,#N/A,FALSE,"Tabl. FB300";#N/A,#N/A,FALSE,"Tabl. FB350";#N/A,#N/A,FALSE,"Tabl. FB400";#N/A,#N/A,FALSE,"Tabl. FB500";#N/A,#N/A,FALSE,"Tabl. FS090"}</definedName>
    <definedName name="_tab6" localSheetId="5" hidden="1">{#N/A,#N/A,FALSE,"Tabl. FB300";#N/A,#N/A,FALSE,"Tabl. FB350";#N/A,#N/A,FALSE,"Tabl. FB400";#N/A,#N/A,FALSE,"Tabl. FB500";#N/A,#N/A,FALSE,"Tabl. FS090"}</definedName>
    <definedName name="_tab6" localSheetId="6" hidden="1">{#N/A,#N/A,FALSE,"Tabl. FB300";#N/A,#N/A,FALSE,"Tabl. FB350";#N/A,#N/A,FALSE,"Tabl. FB400";#N/A,#N/A,FALSE,"Tabl. FB500";#N/A,#N/A,FALSE,"Tabl. FS090"}</definedName>
    <definedName name="_tab6" localSheetId="7" hidden="1">{#N/A,#N/A,FALSE,"Tabl. FB300";#N/A,#N/A,FALSE,"Tabl. FB350";#N/A,#N/A,FALSE,"Tabl. FB400";#N/A,#N/A,FALSE,"Tabl. FB500";#N/A,#N/A,FALSE,"Tabl. FS090"}</definedName>
    <definedName name="_tab6" localSheetId="9" hidden="1">{#N/A,#N/A,FALSE,"Tabl. FB300";#N/A,#N/A,FALSE,"Tabl. FB350";#N/A,#N/A,FALSE,"Tabl. FB400";#N/A,#N/A,FALSE,"Tabl. FB500";#N/A,#N/A,FALSE,"Tabl. FS090"}</definedName>
    <definedName name="_tab6" localSheetId="10" hidden="1">{#N/A,#N/A,FALSE,"Tabl. FB300";#N/A,#N/A,FALSE,"Tabl. FB350";#N/A,#N/A,FALSE,"Tabl. FB400";#N/A,#N/A,FALSE,"Tabl. FB500";#N/A,#N/A,FALSE,"Tabl. FS090"}</definedName>
    <definedName name="_tab6" localSheetId="11" hidden="1">{#N/A,#N/A,FALSE,"Tabl. FB300";#N/A,#N/A,FALSE,"Tabl. FB350";#N/A,#N/A,FALSE,"Tabl. FB400";#N/A,#N/A,FALSE,"Tabl. FB500";#N/A,#N/A,FALSE,"Tabl. FS090"}</definedName>
    <definedName name="_tab6" localSheetId="12" hidden="1">{#N/A,#N/A,FALSE,"Tabl. FB300";#N/A,#N/A,FALSE,"Tabl. FB350";#N/A,#N/A,FALSE,"Tabl. FB400";#N/A,#N/A,FALSE,"Tabl. FB500";#N/A,#N/A,FALSE,"Tabl. FS090"}</definedName>
    <definedName name="_tab6" localSheetId="13" hidden="1">{#N/A,#N/A,FALSE,"Tabl. FB300";#N/A,#N/A,FALSE,"Tabl. FB350";#N/A,#N/A,FALSE,"Tabl. FB400";#N/A,#N/A,FALSE,"Tabl. FB500";#N/A,#N/A,FALSE,"Tabl. FS090"}</definedName>
    <definedName name="_tab6" localSheetId="14" hidden="1">{#N/A,#N/A,FALSE,"Tabl. FB300";#N/A,#N/A,FALSE,"Tabl. FB350";#N/A,#N/A,FALSE,"Tabl. FB400";#N/A,#N/A,FALSE,"Tabl. FB500";#N/A,#N/A,FALSE,"Tabl. FS090"}</definedName>
    <definedName name="_tab6" localSheetId="15" hidden="1">{#N/A,#N/A,FALSE,"Tabl. FB300";#N/A,#N/A,FALSE,"Tabl. FB350";#N/A,#N/A,FALSE,"Tabl. FB400";#N/A,#N/A,FALSE,"Tabl. FB500";#N/A,#N/A,FALSE,"Tabl. FS090"}</definedName>
    <definedName name="_tab6" localSheetId="20" hidden="1">{#N/A,#N/A,FALSE,"Tabl. FB300";#N/A,#N/A,FALSE,"Tabl. FB350";#N/A,#N/A,FALSE,"Tabl. FB400";#N/A,#N/A,FALSE,"Tabl. FB500";#N/A,#N/A,FALSE,"Tabl. FS090"}</definedName>
    <definedName name="_tab6" localSheetId="21" hidden="1">{#N/A,#N/A,FALSE,"Tabl. FB300";#N/A,#N/A,FALSE,"Tabl. FB350";#N/A,#N/A,FALSE,"Tabl. FB400";#N/A,#N/A,FALSE,"Tabl. FB500";#N/A,#N/A,FALSE,"Tabl. FS090"}</definedName>
    <definedName name="_tab6" localSheetId="22" hidden="1">{#N/A,#N/A,FALSE,"Tabl. FB300";#N/A,#N/A,FALSE,"Tabl. FB350";#N/A,#N/A,FALSE,"Tabl. FB400";#N/A,#N/A,FALSE,"Tabl. FB500";#N/A,#N/A,FALSE,"Tabl. FS090"}</definedName>
    <definedName name="_tab6" localSheetId="23" hidden="1">{#N/A,#N/A,FALSE,"Tabl. FB300";#N/A,#N/A,FALSE,"Tabl. FB350";#N/A,#N/A,FALSE,"Tabl. FB400";#N/A,#N/A,FALSE,"Tabl. FB500";#N/A,#N/A,FALSE,"Tabl. FS090"}</definedName>
    <definedName name="_tab6" localSheetId="24" hidden="1">{#N/A,#N/A,FALSE,"Tabl. FB300";#N/A,#N/A,FALSE,"Tabl. FB350";#N/A,#N/A,FALSE,"Tabl. FB400";#N/A,#N/A,FALSE,"Tabl. FB500";#N/A,#N/A,FALSE,"Tabl. FS090"}</definedName>
    <definedName name="_tab6" localSheetId="25" hidden="1">{#N/A,#N/A,FALSE,"Tabl. FB300";#N/A,#N/A,FALSE,"Tabl. FB350";#N/A,#N/A,FALSE,"Tabl. FB400";#N/A,#N/A,FALSE,"Tabl. FB500";#N/A,#N/A,FALSE,"Tabl. FS090"}</definedName>
    <definedName name="_tab6" localSheetId="26" hidden="1">{#N/A,#N/A,FALSE,"Tabl. FB300";#N/A,#N/A,FALSE,"Tabl. FB350";#N/A,#N/A,FALSE,"Tabl. FB400";#N/A,#N/A,FALSE,"Tabl. FB500";#N/A,#N/A,FALSE,"Tabl. FS090"}</definedName>
    <definedName name="_tab6" localSheetId="27" hidden="1">{#N/A,#N/A,FALSE,"Tabl. FB300";#N/A,#N/A,FALSE,"Tabl. FB350";#N/A,#N/A,FALSE,"Tabl. FB400";#N/A,#N/A,FALSE,"Tabl. FB500";#N/A,#N/A,FALSE,"Tabl. FS090"}</definedName>
    <definedName name="_tab6" localSheetId="28" hidden="1">{#N/A,#N/A,FALSE,"Tabl. FB300";#N/A,#N/A,FALSE,"Tabl. FB350";#N/A,#N/A,FALSE,"Tabl. FB400";#N/A,#N/A,FALSE,"Tabl. FB500";#N/A,#N/A,FALSE,"Tabl. FS090"}</definedName>
    <definedName name="_tab6" localSheetId="29" hidden="1">{#N/A,#N/A,FALSE,"Tabl. FB300";#N/A,#N/A,FALSE,"Tabl. FB350";#N/A,#N/A,FALSE,"Tabl. FB400";#N/A,#N/A,FALSE,"Tabl. FB500";#N/A,#N/A,FALSE,"Tabl. FS090"}</definedName>
    <definedName name="_tab6" localSheetId="30" hidden="1">{#N/A,#N/A,FALSE,"Tabl. FB300";#N/A,#N/A,FALSE,"Tabl. FB350";#N/A,#N/A,FALSE,"Tabl. FB400";#N/A,#N/A,FALSE,"Tabl. FB500";#N/A,#N/A,FALSE,"Tabl. FS090"}</definedName>
    <definedName name="_tab6" localSheetId="31" hidden="1">{#N/A,#N/A,FALSE,"Tabl. FB300";#N/A,#N/A,FALSE,"Tabl. FB350";#N/A,#N/A,FALSE,"Tabl. FB400";#N/A,#N/A,FALSE,"Tabl. FB500";#N/A,#N/A,FALSE,"Tabl. FS090"}</definedName>
    <definedName name="_tab6" localSheetId="32" hidden="1">{#N/A,#N/A,FALSE,"Tabl. FB300";#N/A,#N/A,FALSE,"Tabl. FB350";#N/A,#N/A,FALSE,"Tabl. FB400";#N/A,#N/A,FALSE,"Tabl. FB500";#N/A,#N/A,FALSE,"Tabl. FS090"}</definedName>
    <definedName name="_tab6" hidden="1">{#N/A,#N/A,FALSE,"Tabl. FB300";#N/A,#N/A,FALSE,"Tabl. FB350";#N/A,#N/A,FALSE,"Tabl. FB400";#N/A,#N/A,FALSE,"Tabl. FB500";#N/A,#N/A,FALSE,"Tabl. FS090"}</definedName>
    <definedName name="_tab653" localSheetId="3" hidden="1">{#N/A,#N/A,FALSE,"Tabl. G1";#N/A,#N/A,FALSE,"Tabl. G2"}</definedName>
    <definedName name="_tab653" localSheetId="5" hidden="1">{#N/A,#N/A,FALSE,"Tabl. G1";#N/A,#N/A,FALSE,"Tabl. G2"}</definedName>
    <definedName name="_tab653" localSheetId="6" hidden="1">{#N/A,#N/A,FALSE,"Tabl. G1";#N/A,#N/A,FALSE,"Tabl. G2"}</definedName>
    <definedName name="_tab653" localSheetId="7" hidden="1">{#N/A,#N/A,FALSE,"Tabl. G1";#N/A,#N/A,FALSE,"Tabl. G2"}</definedName>
    <definedName name="_tab653" localSheetId="9" hidden="1">{#N/A,#N/A,FALSE,"Tabl. G1";#N/A,#N/A,FALSE,"Tabl. G2"}</definedName>
    <definedName name="_tab653" localSheetId="10" hidden="1">{#N/A,#N/A,FALSE,"Tabl. G1";#N/A,#N/A,FALSE,"Tabl. G2"}</definedName>
    <definedName name="_tab653" localSheetId="11" hidden="1">{#N/A,#N/A,FALSE,"Tabl. G1";#N/A,#N/A,FALSE,"Tabl. G2"}</definedName>
    <definedName name="_tab653" localSheetId="12" hidden="1">{#N/A,#N/A,FALSE,"Tabl. G1";#N/A,#N/A,FALSE,"Tabl. G2"}</definedName>
    <definedName name="_tab653" localSheetId="13" hidden="1">{#N/A,#N/A,FALSE,"Tabl. G1";#N/A,#N/A,FALSE,"Tabl. G2"}</definedName>
    <definedName name="_tab653" localSheetId="14" hidden="1">{#N/A,#N/A,FALSE,"Tabl. G1";#N/A,#N/A,FALSE,"Tabl. G2"}</definedName>
    <definedName name="_tab653" localSheetId="15" hidden="1">{#N/A,#N/A,FALSE,"Tabl. G1";#N/A,#N/A,FALSE,"Tabl. G2"}</definedName>
    <definedName name="_tab653" localSheetId="20" hidden="1">{#N/A,#N/A,FALSE,"Tabl. G1";#N/A,#N/A,FALSE,"Tabl. G2"}</definedName>
    <definedName name="_tab653" localSheetId="21" hidden="1">{#N/A,#N/A,FALSE,"Tabl. G1";#N/A,#N/A,FALSE,"Tabl. G2"}</definedName>
    <definedName name="_tab653" localSheetId="22" hidden="1">{#N/A,#N/A,FALSE,"Tabl. G1";#N/A,#N/A,FALSE,"Tabl. G2"}</definedName>
    <definedName name="_tab653" localSheetId="23" hidden="1">{#N/A,#N/A,FALSE,"Tabl. G1";#N/A,#N/A,FALSE,"Tabl. G2"}</definedName>
    <definedName name="_tab653" localSheetId="24" hidden="1">{#N/A,#N/A,FALSE,"Tabl. G1";#N/A,#N/A,FALSE,"Tabl. G2"}</definedName>
    <definedName name="_tab653" localSheetId="25" hidden="1">{#N/A,#N/A,FALSE,"Tabl. G1";#N/A,#N/A,FALSE,"Tabl. G2"}</definedName>
    <definedName name="_tab653" localSheetId="26" hidden="1">{#N/A,#N/A,FALSE,"Tabl. G1";#N/A,#N/A,FALSE,"Tabl. G2"}</definedName>
    <definedName name="_tab653" localSheetId="27" hidden="1">{#N/A,#N/A,FALSE,"Tabl. G1";#N/A,#N/A,FALSE,"Tabl. G2"}</definedName>
    <definedName name="_tab653" localSheetId="28" hidden="1">{#N/A,#N/A,FALSE,"Tabl. G1";#N/A,#N/A,FALSE,"Tabl. G2"}</definedName>
    <definedName name="_tab653" localSheetId="29" hidden="1">{#N/A,#N/A,FALSE,"Tabl. G1";#N/A,#N/A,FALSE,"Tabl. G2"}</definedName>
    <definedName name="_tab653" localSheetId="30" hidden="1">{#N/A,#N/A,FALSE,"Tabl. G1";#N/A,#N/A,FALSE,"Tabl. G2"}</definedName>
    <definedName name="_tab653" localSheetId="31" hidden="1">{#N/A,#N/A,FALSE,"Tabl. G1";#N/A,#N/A,FALSE,"Tabl. G2"}</definedName>
    <definedName name="_tab653" localSheetId="32" hidden="1">{#N/A,#N/A,FALSE,"Tabl. G1";#N/A,#N/A,FALSE,"Tabl. G2"}</definedName>
    <definedName name="_tab653" hidden="1">{#N/A,#N/A,FALSE,"Tabl. G1";#N/A,#N/A,FALSE,"Tabl. G2"}</definedName>
    <definedName name="_TAB67" localSheetId="3" hidden="1">{#N/A,#N/A,FALSE,"Tabl. A1";#N/A,#N/A,FALSE,"Tabl. A1 b";#N/A,#N/A,FALSE,"Tabl. A2";#N/A,#N/A,FALSE,"Tabl. A2-1";#N/A,#N/A,FALSE,"Tabl. A2-2"}</definedName>
    <definedName name="_TAB67" localSheetId="5" hidden="1">{#N/A,#N/A,FALSE,"Tabl. A1";#N/A,#N/A,FALSE,"Tabl. A1 b";#N/A,#N/A,FALSE,"Tabl. A2";#N/A,#N/A,FALSE,"Tabl. A2-1";#N/A,#N/A,FALSE,"Tabl. A2-2"}</definedName>
    <definedName name="_TAB67" localSheetId="6" hidden="1">{#N/A,#N/A,FALSE,"Tabl. A1";#N/A,#N/A,FALSE,"Tabl. A1 b";#N/A,#N/A,FALSE,"Tabl. A2";#N/A,#N/A,FALSE,"Tabl. A2-1";#N/A,#N/A,FALSE,"Tabl. A2-2"}</definedName>
    <definedName name="_TAB67" localSheetId="7" hidden="1">{#N/A,#N/A,FALSE,"Tabl. A1";#N/A,#N/A,FALSE,"Tabl. A1 b";#N/A,#N/A,FALSE,"Tabl. A2";#N/A,#N/A,FALSE,"Tabl. A2-1";#N/A,#N/A,FALSE,"Tabl. A2-2"}</definedName>
    <definedName name="_TAB67" localSheetId="9" hidden="1">{#N/A,#N/A,FALSE,"Tabl. A1";#N/A,#N/A,FALSE,"Tabl. A1 b";#N/A,#N/A,FALSE,"Tabl. A2";#N/A,#N/A,FALSE,"Tabl. A2-1";#N/A,#N/A,FALSE,"Tabl. A2-2"}</definedName>
    <definedName name="_TAB67" localSheetId="10" hidden="1">{#N/A,#N/A,FALSE,"Tabl. A1";#N/A,#N/A,FALSE,"Tabl. A1 b";#N/A,#N/A,FALSE,"Tabl. A2";#N/A,#N/A,FALSE,"Tabl. A2-1";#N/A,#N/A,FALSE,"Tabl. A2-2"}</definedName>
    <definedName name="_TAB67" localSheetId="11" hidden="1">{#N/A,#N/A,FALSE,"Tabl. A1";#N/A,#N/A,FALSE,"Tabl. A1 b";#N/A,#N/A,FALSE,"Tabl. A2";#N/A,#N/A,FALSE,"Tabl. A2-1";#N/A,#N/A,FALSE,"Tabl. A2-2"}</definedName>
    <definedName name="_TAB67" localSheetId="12" hidden="1">{#N/A,#N/A,FALSE,"Tabl. A1";#N/A,#N/A,FALSE,"Tabl. A1 b";#N/A,#N/A,FALSE,"Tabl. A2";#N/A,#N/A,FALSE,"Tabl. A2-1";#N/A,#N/A,FALSE,"Tabl. A2-2"}</definedName>
    <definedName name="_TAB67" localSheetId="13" hidden="1">{#N/A,#N/A,FALSE,"Tabl. A1";#N/A,#N/A,FALSE,"Tabl. A1 b";#N/A,#N/A,FALSE,"Tabl. A2";#N/A,#N/A,FALSE,"Tabl. A2-1";#N/A,#N/A,FALSE,"Tabl. A2-2"}</definedName>
    <definedName name="_TAB67" localSheetId="14" hidden="1">{#N/A,#N/A,FALSE,"Tabl. A1";#N/A,#N/A,FALSE,"Tabl. A1 b";#N/A,#N/A,FALSE,"Tabl. A2";#N/A,#N/A,FALSE,"Tabl. A2-1";#N/A,#N/A,FALSE,"Tabl. A2-2"}</definedName>
    <definedName name="_TAB67" localSheetId="15" hidden="1">{#N/A,#N/A,FALSE,"Tabl. A1";#N/A,#N/A,FALSE,"Tabl. A1 b";#N/A,#N/A,FALSE,"Tabl. A2";#N/A,#N/A,FALSE,"Tabl. A2-1";#N/A,#N/A,FALSE,"Tabl. A2-2"}</definedName>
    <definedName name="_TAB67" localSheetId="20" hidden="1">{#N/A,#N/A,FALSE,"Tabl. A1";#N/A,#N/A,FALSE,"Tabl. A1 b";#N/A,#N/A,FALSE,"Tabl. A2";#N/A,#N/A,FALSE,"Tabl. A2-1";#N/A,#N/A,FALSE,"Tabl. A2-2"}</definedName>
    <definedName name="_TAB67" localSheetId="21" hidden="1">{#N/A,#N/A,FALSE,"Tabl. A1";#N/A,#N/A,FALSE,"Tabl. A1 b";#N/A,#N/A,FALSE,"Tabl. A2";#N/A,#N/A,FALSE,"Tabl. A2-1";#N/A,#N/A,FALSE,"Tabl. A2-2"}</definedName>
    <definedName name="_TAB67" localSheetId="22" hidden="1">{#N/A,#N/A,FALSE,"Tabl. A1";#N/A,#N/A,FALSE,"Tabl. A1 b";#N/A,#N/A,FALSE,"Tabl. A2";#N/A,#N/A,FALSE,"Tabl. A2-1";#N/A,#N/A,FALSE,"Tabl. A2-2"}</definedName>
    <definedName name="_TAB67" localSheetId="23" hidden="1">{#N/A,#N/A,FALSE,"Tabl. A1";#N/A,#N/A,FALSE,"Tabl. A1 b";#N/A,#N/A,FALSE,"Tabl. A2";#N/A,#N/A,FALSE,"Tabl. A2-1";#N/A,#N/A,FALSE,"Tabl. A2-2"}</definedName>
    <definedName name="_TAB67" localSheetId="24" hidden="1">{#N/A,#N/A,FALSE,"Tabl. A1";#N/A,#N/A,FALSE,"Tabl. A1 b";#N/A,#N/A,FALSE,"Tabl. A2";#N/A,#N/A,FALSE,"Tabl. A2-1";#N/A,#N/A,FALSE,"Tabl. A2-2"}</definedName>
    <definedName name="_TAB67" localSheetId="25" hidden="1">{#N/A,#N/A,FALSE,"Tabl. A1";#N/A,#N/A,FALSE,"Tabl. A1 b";#N/A,#N/A,FALSE,"Tabl. A2";#N/A,#N/A,FALSE,"Tabl. A2-1";#N/A,#N/A,FALSE,"Tabl. A2-2"}</definedName>
    <definedName name="_TAB67" localSheetId="26" hidden="1">{#N/A,#N/A,FALSE,"Tabl. A1";#N/A,#N/A,FALSE,"Tabl. A1 b";#N/A,#N/A,FALSE,"Tabl. A2";#N/A,#N/A,FALSE,"Tabl. A2-1";#N/A,#N/A,FALSE,"Tabl. A2-2"}</definedName>
    <definedName name="_TAB67" localSheetId="27" hidden="1">{#N/A,#N/A,FALSE,"Tabl. A1";#N/A,#N/A,FALSE,"Tabl. A1 b";#N/A,#N/A,FALSE,"Tabl. A2";#N/A,#N/A,FALSE,"Tabl. A2-1";#N/A,#N/A,FALSE,"Tabl. A2-2"}</definedName>
    <definedName name="_TAB67" localSheetId="28" hidden="1">{#N/A,#N/A,FALSE,"Tabl. A1";#N/A,#N/A,FALSE,"Tabl. A1 b";#N/A,#N/A,FALSE,"Tabl. A2";#N/A,#N/A,FALSE,"Tabl. A2-1";#N/A,#N/A,FALSE,"Tabl. A2-2"}</definedName>
    <definedName name="_TAB67" localSheetId="29" hidden="1">{#N/A,#N/A,FALSE,"Tabl. A1";#N/A,#N/A,FALSE,"Tabl. A1 b";#N/A,#N/A,FALSE,"Tabl. A2";#N/A,#N/A,FALSE,"Tabl. A2-1";#N/A,#N/A,FALSE,"Tabl. A2-2"}</definedName>
    <definedName name="_TAB67" localSheetId="30" hidden="1">{#N/A,#N/A,FALSE,"Tabl. A1";#N/A,#N/A,FALSE,"Tabl. A1 b";#N/A,#N/A,FALSE,"Tabl. A2";#N/A,#N/A,FALSE,"Tabl. A2-1";#N/A,#N/A,FALSE,"Tabl. A2-2"}</definedName>
    <definedName name="_TAB67" localSheetId="31" hidden="1">{#N/A,#N/A,FALSE,"Tabl. A1";#N/A,#N/A,FALSE,"Tabl. A1 b";#N/A,#N/A,FALSE,"Tabl. A2";#N/A,#N/A,FALSE,"Tabl. A2-1";#N/A,#N/A,FALSE,"Tabl. A2-2"}</definedName>
    <definedName name="_TAB67" localSheetId="32" hidden="1">{#N/A,#N/A,FALSE,"Tabl. A1";#N/A,#N/A,FALSE,"Tabl. A1 b";#N/A,#N/A,FALSE,"Tabl. A2";#N/A,#N/A,FALSE,"Tabl. A2-1";#N/A,#N/A,FALSE,"Tabl. A2-2"}</definedName>
    <definedName name="_TAB67" hidden="1">{#N/A,#N/A,FALSE,"Tabl. A1";#N/A,#N/A,FALSE,"Tabl. A1 b";#N/A,#N/A,FALSE,"Tabl. A2";#N/A,#N/A,FALSE,"Tabl. A2-1";#N/A,#N/A,FALSE,"Tabl. A2-2"}</definedName>
    <definedName name="_tab678" localSheetId="3" hidden="1">{#N/A,#N/A,FALSE,"Tabl. FB300";#N/A,#N/A,FALSE,"Tabl. FB350";#N/A,#N/A,FALSE,"Tabl. FB400";#N/A,#N/A,FALSE,"Tabl. FB500";#N/A,#N/A,FALSE,"Tabl. FS090"}</definedName>
    <definedName name="_tab678" localSheetId="5" hidden="1">{#N/A,#N/A,FALSE,"Tabl. FB300";#N/A,#N/A,FALSE,"Tabl. FB350";#N/A,#N/A,FALSE,"Tabl. FB400";#N/A,#N/A,FALSE,"Tabl. FB500";#N/A,#N/A,FALSE,"Tabl. FS090"}</definedName>
    <definedName name="_tab678" localSheetId="6" hidden="1">{#N/A,#N/A,FALSE,"Tabl. FB300";#N/A,#N/A,FALSE,"Tabl. FB350";#N/A,#N/A,FALSE,"Tabl. FB400";#N/A,#N/A,FALSE,"Tabl. FB500";#N/A,#N/A,FALSE,"Tabl. FS090"}</definedName>
    <definedName name="_tab678" localSheetId="7" hidden="1">{#N/A,#N/A,FALSE,"Tabl. FB300";#N/A,#N/A,FALSE,"Tabl. FB350";#N/A,#N/A,FALSE,"Tabl. FB400";#N/A,#N/A,FALSE,"Tabl. FB500";#N/A,#N/A,FALSE,"Tabl. FS090"}</definedName>
    <definedName name="_tab678" localSheetId="9" hidden="1">{#N/A,#N/A,FALSE,"Tabl. FB300";#N/A,#N/A,FALSE,"Tabl. FB350";#N/A,#N/A,FALSE,"Tabl. FB400";#N/A,#N/A,FALSE,"Tabl. FB500";#N/A,#N/A,FALSE,"Tabl. FS090"}</definedName>
    <definedName name="_tab678" localSheetId="10" hidden="1">{#N/A,#N/A,FALSE,"Tabl. FB300";#N/A,#N/A,FALSE,"Tabl. FB350";#N/A,#N/A,FALSE,"Tabl. FB400";#N/A,#N/A,FALSE,"Tabl. FB500";#N/A,#N/A,FALSE,"Tabl. FS090"}</definedName>
    <definedName name="_tab678" localSheetId="11" hidden="1">{#N/A,#N/A,FALSE,"Tabl. FB300";#N/A,#N/A,FALSE,"Tabl. FB350";#N/A,#N/A,FALSE,"Tabl. FB400";#N/A,#N/A,FALSE,"Tabl. FB500";#N/A,#N/A,FALSE,"Tabl. FS090"}</definedName>
    <definedName name="_tab678" localSheetId="12" hidden="1">{#N/A,#N/A,FALSE,"Tabl. FB300";#N/A,#N/A,FALSE,"Tabl. FB350";#N/A,#N/A,FALSE,"Tabl. FB400";#N/A,#N/A,FALSE,"Tabl. FB500";#N/A,#N/A,FALSE,"Tabl. FS090"}</definedName>
    <definedName name="_tab678" localSheetId="13" hidden="1">{#N/A,#N/A,FALSE,"Tabl. FB300";#N/A,#N/A,FALSE,"Tabl. FB350";#N/A,#N/A,FALSE,"Tabl. FB400";#N/A,#N/A,FALSE,"Tabl. FB500";#N/A,#N/A,FALSE,"Tabl. FS090"}</definedName>
    <definedName name="_tab678" localSheetId="14" hidden="1">{#N/A,#N/A,FALSE,"Tabl. FB300";#N/A,#N/A,FALSE,"Tabl. FB350";#N/A,#N/A,FALSE,"Tabl. FB400";#N/A,#N/A,FALSE,"Tabl. FB500";#N/A,#N/A,FALSE,"Tabl. FS090"}</definedName>
    <definedName name="_tab678" localSheetId="15" hidden="1">{#N/A,#N/A,FALSE,"Tabl. FB300";#N/A,#N/A,FALSE,"Tabl. FB350";#N/A,#N/A,FALSE,"Tabl. FB400";#N/A,#N/A,FALSE,"Tabl. FB500";#N/A,#N/A,FALSE,"Tabl. FS090"}</definedName>
    <definedName name="_tab678" localSheetId="20" hidden="1">{#N/A,#N/A,FALSE,"Tabl. FB300";#N/A,#N/A,FALSE,"Tabl. FB350";#N/A,#N/A,FALSE,"Tabl. FB400";#N/A,#N/A,FALSE,"Tabl. FB500";#N/A,#N/A,FALSE,"Tabl. FS090"}</definedName>
    <definedName name="_tab678" localSheetId="21" hidden="1">{#N/A,#N/A,FALSE,"Tabl. FB300";#N/A,#N/A,FALSE,"Tabl. FB350";#N/A,#N/A,FALSE,"Tabl. FB400";#N/A,#N/A,FALSE,"Tabl. FB500";#N/A,#N/A,FALSE,"Tabl. FS090"}</definedName>
    <definedName name="_tab678" localSheetId="22" hidden="1">{#N/A,#N/A,FALSE,"Tabl. FB300";#N/A,#N/A,FALSE,"Tabl. FB350";#N/A,#N/A,FALSE,"Tabl. FB400";#N/A,#N/A,FALSE,"Tabl. FB500";#N/A,#N/A,FALSE,"Tabl. FS090"}</definedName>
    <definedName name="_tab678" localSheetId="23" hidden="1">{#N/A,#N/A,FALSE,"Tabl. FB300";#N/A,#N/A,FALSE,"Tabl. FB350";#N/A,#N/A,FALSE,"Tabl. FB400";#N/A,#N/A,FALSE,"Tabl. FB500";#N/A,#N/A,FALSE,"Tabl. FS090"}</definedName>
    <definedName name="_tab678" localSheetId="24" hidden="1">{#N/A,#N/A,FALSE,"Tabl. FB300";#N/A,#N/A,FALSE,"Tabl. FB350";#N/A,#N/A,FALSE,"Tabl. FB400";#N/A,#N/A,FALSE,"Tabl. FB500";#N/A,#N/A,FALSE,"Tabl. FS090"}</definedName>
    <definedName name="_tab678" localSheetId="25" hidden="1">{#N/A,#N/A,FALSE,"Tabl. FB300";#N/A,#N/A,FALSE,"Tabl. FB350";#N/A,#N/A,FALSE,"Tabl. FB400";#N/A,#N/A,FALSE,"Tabl. FB500";#N/A,#N/A,FALSE,"Tabl. FS090"}</definedName>
    <definedName name="_tab678" localSheetId="26" hidden="1">{#N/A,#N/A,FALSE,"Tabl. FB300";#N/A,#N/A,FALSE,"Tabl. FB350";#N/A,#N/A,FALSE,"Tabl. FB400";#N/A,#N/A,FALSE,"Tabl. FB500";#N/A,#N/A,FALSE,"Tabl. FS090"}</definedName>
    <definedName name="_tab678" localSheetId="27" hidden="1">{#N/A,#N/A,FALSE,"Tabl. FB300";#N/A,#N/A,FALSE,"Tabl. FB350";#N/A,#N/A,FALSE,"Tabl. FB400";#N/A,#N/A,FALSE,"Tabl. FB500";#N/A,#N/A,FALSE,"Tabl. FS090"}</definedName>
    <definedName name="_tab678" localSheetId="28" hidden="1">{#N/A,#N/A,FALSE,"Tabl. FB300";#N/A,#N/A,FALSE,"Tabl. FB350";#N/A,#N/A,FALSE,"Tabl. FB400";#N/A,#N/A,FALSE,"Tabl. FB500";#N/A,#N/A,FALSE,"Tabl. FS090"}</definedName>
    <definedName name="_tab678" localSheetId="29" hidden="1">{#N/A,#N/A,FALSE,"Tabl. FB300";#N/A,#N/A,FALSE,"Tabl. FB350";#N/A,#N/A,FALSE,"Tabl. FB400";#N/A,#N/A,FALSE,"Tabl. FB500";#N/A,#N/A,FALSE,"Tabl. FS090"}</definedName>
    <definedName name="_tab678" localSheetId="30" hidden="1">{#N/A,#N/A,FALSE,"Tabl. FB300";#N/A,#N/A,FALSE,"Tabl. FB350";#N/A,#N/A,FALSE,"Tabl. FB400";#N/A,#N/A,FALSE,"Tabl. FB500";#N/A,#N/A,FALSE,"Tabl. FS090"}</definedName>
    <definedName name="_tab678" localSheetId="31" hidden="1">{#N/A,#N/A,FALSE,"Tabl. FB300";#N/A,#N/A,FALSE,"Tabl. FB350";#N/A,#N/A,FALSE,"Tabl. FB400";#N/A,#N/A,FALSE,"Tabl. FB500";#N/A,#N/A,FALSE,"Tabl. FS090"}</definedName>
    <definedName name="_tab678" localSheetId="32" hidden="1">{#N/A,#N/A,FALSE,"Tabl. FB300";#N/A,#N/A,FALSE,"Tabl. FB350";#N/A,#N/A,FALSE,"Tabl. FB400";#N/A,#N/A,FALSE,"Tabl. FB500";#N/A,#N/A,FALSE,"Tabl. FS090"}</definedName>
    <definedName name="_tab678" hidden="1">{#N/A,#N/A,FALSE,"Tabl. FB300";#N/A,#N/A,FALSE,"Tabl. FB350";#N/A,#N/A,FALSE,"Tabl. FB400";#N/A,#N/A,FALSE,"Tabl. FB500";#N/A,#N/A,FALSE,"Tabl. FS090"}</definedName>
    <definedName name="_tab7" localSheetId="3" hidden="1">{#N/A,#N/A,FALSE,"Tabl. FB300";#N/A,#N/A,FALSE,"Tabl. FB350";#N/A,#N/A,FALSE,"Tabl. FB400";#N/A,#N/A,FALSE,"Tabl. FB500";#N/A,#N/A,FALSE,"Tabl. FS090"}</definedName>
    <definedName name="_tab7" localSheetId="5" hidden="1">{#N/A,#N/A,FALSE,"Tabl. FB300";#N/A,#N/A,FALSE,"Tabl. FB350";#N/A,#N/A,FALSE,"Tabl. FB400";#N/A,#N/A,FALSE,"Tabl. FB500";#N/A,#N/A,FALSE,"Tabl. FS090"}</definedName>
    <definedName name="_tab7" localSheetId="6" hidden="1">{#N/A,#N/A,FALSE,"Tabl. FB300";#N/A,#N/A,FALSE,"Tabl. FB350";#N/A,#N/A,FALSE,"Tabl. FB400";#N/A,#N/A,FALSE,"Tabl. FB500";#N/A,#N/A,FALSE,"Tabl. FS090"}</definedName>
    <definedName name="_tab7" localSheetId="7" hidden="1">{#N/A,#N/A,FALSE,"Tabl. FB300";#N/A,#N/A,FALSE,"Tabl. FB350";#N/A,#N/A,FALSE,"Tabl. FB400";#N/A,#N/A,FALSE,"Tabl. FB500";#N/A,#N/A,FALSE,"Tabl. FS090"}</definedName>
    <definedName name="_tab7" localSheetId="9" hidden="1">{#N/A,#N/A,FALSE,"Tabl. FB300";#N/A,#N/A,FALSE,"Tabl. FB350";#N/A,#N/A,FALSE,"Tabl. FB400";#N/A,#N/A,FALSE,"Tabl. FB500";#N/A,#N/A,FALSE,"Tabl. FS090"}</definedName>
    <definedName name="_tab7" localSheetId="10" hidden="1">{#N/A,#N/A,FALSE,"Tabl. FB300";#N/A,#N/A,FALSE,"Tabl. FB350";#N/A,#N/A,FALSE,"Tabl. FB400";#N/A,#N/A,FALSE,"Tabl. FB500";#N/A,#N/A,FALSE,"Tabl. FS090"}</definedName>
    <definedName name="_tab7" localSheetId="11" hidden="1">{#N/A,#N/A,FALSE,"Tabl. FB300";#N/A,#N/A,FALSE,"Tabl. FB350";#N/A,#N/A,FALSE,"Tabl. FB400";#N/A,#N/A,FALSE,"Tabl. FB500";#N/A,#N/A,FALSE,"Tabl. FS090"}</definedName>
    <definedName name="_tab7" localSheetId="12" hidden="1">{#N/A,#N/A,FALSE,"Tabl. FB300";#N/A,#N/A,FALSE,"Tabl. FB350";#N/A,#N/A,FALSE,"Tabl. FB400";#N/A,#N/A,FALSE,"Tabl. FB500";#N/A,#N/A,FALSE,"Tabl. FS090"}</definedName>
    <definedName name="_tab7" localSheetId="13" hidden="1">{#N/A,#N/A,FALSE,"Tabl. FB300";#N/A,#N/A,FALSE,"Tabl. FB350";#N/A,#N/A,FALSE,"Tabl. FB400";#N/A,#N/A,FALSE,"Tabl. FB500";#N/A,#N/A,FALSE,"Tabl. FS090"}</definedName>
    <definedName name="_tab7" localSheetId="14" hidden="1">{#N/A,#N/A,FALSE,"Tabl. FB300";#N/A,#N/A,FALSE,"Tabl. FB350";#N/A,#N/A,FALSE,"Tabl. FB400";#N/A,#N/A,FALSE,"Tabl. FB500";#N/A,#N/A,FALSE,"Tabl. FS090"}</definedName>
    <definedName name="_tab7" localSheetId="15" hidden="1">{#N/A,#N/A,FALSE,"Tabl. FB300";#N/A,#N/A,FALSE,"Tabl. FB350";#N/A,#N/A,FALSE,"Tabl. FB400";#N/A,#N/A,FALSE,"Tabl. FB500";#N/A,#N/A,FALSE,"Tabl. FS090"}</definedName>
    <definedName name="_tab7" localSheetId="20" hidden="1">{#N/A,#N/A,FALSE,"Tabl. FB300";#N/A,#N/A,FALSE,"Tabl. FB350";#N/A,#N/A,FALSE,"Tabl. FB400";#N/A,#N/A,FALSE,"Tabl. FB500";#N/A,#N/A,FALSE,"Tabl. FS090"}</definedName>
    <definedName name="_tab7" localSheetId="21" hidden="1">{#N/A,#N/A,FALSE,"Tabl. FB300";#N/A,#N/A,FALSE,"Tabl. FB350";#N/A,#N/A,FALSE,"Tabl. FB400";#N/A,#N/A,FALSE,"Tabl. FB500";#N/A,#N/A,FALSE,"Tabl. FS090"}</definedName>
    <definedName name="_tab7" localSheetId="22" hidden="1">{#N/A,#N/A,FALSE,"Tabl. FB300";#N/A,#N/A,FALSE,"Tabl. FB350";#N/A,#N/A,FALSE,"Tabl. FB400";#N/A,#N/A,FALSE,"Tabl. FB500";#N/A,#N/A,FALSE,"Tabl. FS090"}</definedName>
    <definedName name="_tab7" localSheetId="23" hidden="1">{#N/A,#N/A,FALSE,"Tabl. FB300";#N/A,#N/A,FALSE,"Tabl. FB350";#N/A,#N/A,FALSE,"Tabl. FB400";#N/A,#N/A,FALSE,"Tabl. FB500";#N/A,#N/A,FALSE,"Tabl. FS090"}</definedName>
    <definedName name="_tab7" localSheetId="24" hidden="1">{#N/A,#N/A,FALSE,"Tabl. FB300";#N/A,#N/A,FALSE,"Tabl. FB350";#N/A,#N/A,FALSE,"Tabl. FB400";#N/A,#N/A,FALSE,"Tabl. FB500";#N/A,#N/A,FALSE,"Tabl. FS090"}</definedName>
    <definedName name="_tab7" localSheetId="25" hidden="1">{#N/A,#N/A,FALSE,"Tabl. FB300";#N/A,#N/A,FALSE,"Tabl. FB350";#N/A,#N/A,FALSE,"Tabl. FB400";#N/A,#N/A,FALSE,"Tabl. FB500";#N/A,#N/A,FALSE,"Tabl. FS090"}</definedName>
    <definedName name="_tab7" localSheetId="26" hidden="1">{#N/A,#N/A,FALSE,"Tabl. FB300";#N/A,#N/A,FALSE,"Tabl. FB350";#N/A,#N/A,FALSE,"Tabl. FB400";#N/A,#N/A,FALSE,"Tabl. FB500";#N/A,#N/A,FALSE,"Tabl. FS090"}</definedName>
    <definedName name="_tab7" localSheetId="27" hidden="1">{#N/A,#N/A,FALSE,"Tabl. FB300";#N/A,#N/A,FALSE,"Tabl. FB350";#N/A,#N/A,FALSE,"Tabl. FB400";#N/A,#N/A,FALSE,"Tabl. FB500";#N/A,#N/A,FALSE,"Tabl. FS090"}</definedName>
    <definedName name="_tab7" localSheetId="28" hidden="1">{#N/A,#N/A,FALSE,"Tabl. FB300";#N/A,#N/A,FALSE,"Tabl. FB350";#N/A,#N/A,FALSE,"Tabl. FB400";#N/A,#N/A,FALSE,"Tabl. FB500";#N/A,#N/A,FALSE,"Tabl. FS090"}</definedName>
    <definedName name="_tab7" localSheetId="29" hidden="1">{#N/A,#N/A,FALSE,"Tabl. FB300";#N/A,#N/A,FALSE,"Tabl. FB350";#N/A,#N/A,FALSE,"Tabl. FB400";#N/A,#N/A,FALSE,"Tabl. FB500";#N/A,#N/A,FALSE,"Tabl. FS090"}</definedName>
    <definedName name="_tab7" localSheetId="30" hidden="1">{#N/A,#N/A,FALSE,"Tabl. FB300";#N/A,#N/A,FALSE,"Tabl. FB350";#N/A,#N/A,FALSE,"Tabl. FB400";#N/A,#N/A,FALSE,"Tabl. FB500";#N/A,#N/A,FALSE,"Tabl. FS090"}</definedName>
    <definedName name="_tab7" localSheetId="31" hidden="1">{#N/A,#N/A,FALSE,"Tabl. FB300";#N/A,#N/A,FALSE,"Tabl. FB350";#N/A,#N/A,FALSE,"Tabl. FB400";#N/A,#N/A,FALSE,"Tabl. FB500";#N/A,#N/A,FALSE,"Tabl. FS090"}</definedName>
    <definedName name="_tab7" localSheetId="32" hidden="1">{#N/A,#N/A,FALSE,"Tabl. FB300";#N/A,#N/A,FALSE,"Tabl. FB350";#N/A,#N/A,FALSE,"Tabl. FB400";#N/A,#N/A,FALSE,"Tabl. FB500";#N/A,#N/A,FALSE,"Tabl. FS090"}</definedName>
    <definedName name="_tab7" hidden="1">{#N/A,#N/A,FALSE,"Tabl. FB300";#N/A,#N/A,FALSE,"Tabl. FB350";#N/A,#N/A,FALSE,"Tabl. FB400";#N/A,#N/A,FALSE,"Tabl. FB500";#N/A,#N/A,FALSE,"Tabl. FS090"}</definedName>
    <definedName name="_tab78" localSheetId="3" hidden="1">{#N/A,#N/A,FALSE,"Tabl. D1";#N/A,#N/A,FALSE,"Tabl. D1 b";#N/A,#N/A,FALSE,"Tabl. D2";#N/A,#N/A,FALSE,"Tabl. D2 b";#N/A,#N/A,FALSE,"Tabl. D3";#N/A,#N/A,FALSE,"Tabl. D4";#N/A,#N/A,FALSE,"Tabl. D5"}</definedName>
    <definedName name="_tab78" localSheetId="5" hidden="1">{#N/A,#N/A,FALSE,"Tabl. D1";#N/A,#N/A,FALSE,"Tabl. D1 b";#N/A,#N/A,FALSE,"Tabl. D2";#N/A,#N/A,FALSE,"Tabl. D2 b";#N/A,#N/A,FALSE,"Tabl. D3";#N/A,#N/A,FALSE,"Tabl. D4";#N/A,#N/A,FALSE,"Tabl. D5"}</definedName>
    <definedName name="_tab78" localSheetId="6" hidden="1">{#N/A,#N/A,FALSE,"Tabl. D1";#N/A,#N/A,FALSE,"Tabl. D1 b";#N/A,#N/A,FALSE,"Tabl. D2";#N/A,#N/A,FALSE,"Tabl. D2 b";#N/A,#N/A,FALSE,"Tabl. D3";#N/A,#N/A,FALSE,"Tabl. D4";#N/A,#N/A,FALSE,"Tabl. D5"}</definedName>
    <definedName name="_tab78" localSheetId="7" hidden="1">{#N/A,#N/A,FALSE,"Tabl. D1";#N/A,#N/A,FALSE,"Tabl. D1 b";#N/A,#N/A,FALSE,"Tabl. D2";#N/A,#N/A,FALSE,"Tabl. D2 b";#N/A,#N/A,FALSE,"Tabl. D3";#N/A,#N/A,FALSE,"Tabl. D4";#N/A,#N/A,FALSE,"Tabl. D5"}</definedName>
    <definedName name="_tab78" localSheetId="9" hidden="1">{#N/A,#N/A,FALSE,"Tabl. D1";#N/A,#N/A,FALSE,"Tabl. D1 b";#N/A,#N/A,FALSE,"Tabl. D2";#N/A,#N/A,FALSE,"Tabl. D2 b";#N/A,#N/A,FALSE,"Tabl. D3";#N/A,#N/A,FALSE,"Tabl. D4";#N/A,#N/A,FALSE,"Tabl. D5"}</definedName>
    <definedName name="_tab78" localSheetId="10" hidden="1">{#N/A,#N/A,FALSE,"Tabl. D1";#N/A,#N/A,FALSE,"Tabl. D1 b";#N/A,#N/A,FALSE,"Tabl. D2";#N/A,#N/A,FALSE,"Tabl. D2 b";#N/A,#N/A,FALSE,"Tabl. D3";#N/A,#N/A,FALSE,"Tabl. D4";#N/A,#N/A,FALSE,"Tabl. D5"}</definedName>
    <definedName name="_tab78" localSheetId="11" hidden="1">{#N/A,#N/A,FALSE,"Tabl. D1";#N/A,#N/A,FALSE,"Tabl. D1 b";#N/A,#N/A,FALSE,"Tabl. D2";#N/A,#N/A,FALSE,"Tabl. D2 b";#N/A,#N/A,FALSE,"Tabl. D3";#N/A,#N/A,FALSE,"Tabl. D4";#N/A,#N/A,FALSE,"Tabl. D5"}</definedName>
    <definedName name="_tab78" localSheetId="12" hidden="1">{#N/A,#N/A,FALSE,"Tabl. D1";#N/A,#N/A,FALSE,"Tabl. D1 b";#N/A,#N/A,FALSE,"Tabl. D2";#N/A,#N/A,FALSE,"Tabl. D2 b";#N/A,#N/A,FALSE,"Tabl. D3";#N/A,#N/A,FALSE,"Tabl. D4";#N/A,#N/A,FALSE,"Tabl. D5"}</definedName>
    <definedName name="_tab78" localSheetId="13" hidden="1">{#N/A,#N/A,FALSE,"Tabl. D1";#N/A,#N/A,FALSE,"Tabl. D1 b";#N/A,#N/A,FALSE,"Tabl. D2";#N/A,#N/A,FALSE,"Tabl. D2 b";#N/A,#N/A,FALSE,"Tabl. D3";#N/A,#N/A,FALSE,"Tabl. D4";#N/A,#N/A,FALSE,"Tabl. D5"}</definedName>
    <definedName name="_tab78" localSheetId="14" hidden="1">{#N/A,#N/A,FALSE,"Tabl. D1";#N/A,#N/A,FALSE,"Tabl. D1 b";#N/A,#N/A,FALSE,"Tabl. D2";#N/A,#N/A,FALSE,"Tabl. D2 b";#N/A,#N/A,FALSE,"Tabl. D3";#N/A,#N/A,FALSE,"Tabl. D4";#N/A,#N/A,FALSE,"Tabl. D5"}</definedName>
    <definedName name="_tab78" localSheetId="15" hidden="1">{#N/A,#N/A,FALSE,"Tabl. D1";#N/A,#N/A,FALSE,"Tabl. D1 b";#N/A,#N/A,FALSE,"Tabl. D2";#N/A,#N/A,FALSE,"Tabl. D2 b";#N/A,#N/A,FALSE,"Tabl. D3";#N/A,#N/A,FALSE,"Tabl. D4";#N/A,#N/A,FALSE,"Tabl. D5"}</definedName>
    <definedName name="_tab78" localSheetId="20" hidden="1">{#N/A,#N/A,FALSE,"Tabl. D1";#N/A,#N/A,FALSE,"Tabl. D1 b";#N/A,#N/A,FALSE,"Tabl. D2";#N/A,#N/A,FALSE,"Tabl. D2 b";#N/A,#N/A,FALSE,"Tabl. D3";#N/A,#N/A,FALSE,"Tabl. D4";#N/A,#N/A,FALSE,"Tabl. D5"}</definedName>
    <definedName name="_tab78" localSheetId="21" hidden="1">{#N/A,#N/A,FALSE,"Tabl. D1";#N/A,#N/A,FALSE,"Tabl. D1 b";#N/A,#N/A,FALSE,"Tabl. D2";#N/A,#N/A,FALSE,"Tabl. D2 b";#N/A,#N/A,FALSE,"Tabl. D3";#N/A,#N/A,FALSE,"Tabl. D4";#N/A,#N/A,FALSE,"Tabl. D5"}</definedName>
    <definedName name="_tab78" localSheetId="22" hidden="1">{#N/A,#N/A,FALSE,"Tabl. D1";#N/A,#N/A,FALSE,"Tabl. D1 b";#N/A,#N/A,FALSE,"Tabl. D2";#N/A,#N/A,FALSE,"Tabl. D2 b";#N/A,#N/A,FALSE,"Tabl. D3";#N/A,#N/A,FALSE,"Tabl. D4";#N/A,#N/A,FALSE,"Tabl. D5"}</definedName>
    <definedName name="_tab78" localSheetId="23" hidden="1">{#N/A,#N/A,FALSE,"Tabl. D1";#N/A,#N/A,FALSE,"Tabl. D1 b";#N/A,#N/A,FALSE,"Tabl. D2";#N/A,#N/A,FALSE,"Tabl. D2 b";#N/A,#N/A,FALSE,"Tabl. D3";#N/A,#N/A,FALSE,"Tabl. D4";#N/A,#N/A,FALSE,"Tabl. D5"}</definedName>
    <definedName name="_tab78" localSheetId="24" hidden="1">{#N/A,#N/A,FALSE,"Tabl. D1";#N/A,#N/A,FALSE,"Tabl. D1 b";#N/A,#N/A,FALSE,"Tabl. D2";#N/A,#N/A,FALSE,"Tabl. D2 b";#N/A,#N/A,FALSE,"Tabl. D3";#N/A,#N/A,FALSE,"Tabl. D4";#N/A,#N/A,FALSE,"Tabl. D5"}</definedName>
    <definedName name="_tab78" localSheetId="25" hidden="1">{#N/A,#N/A,FALSE,"Tabl. D1";#N/A,#N/A,FALSE,"Tabl. D1 b";#N/A,#N/A,FALSE,"Tabl. D2";#N/A,#N/A,FALSE,"Tabl. D2 b";#N/A,#N/A,FALSE,"Tabl. D3";#N/A,#N/A,FALSE,"Tabl. D4";#N/A,#N/A,FALSE,"Tabl. D5"}</definedName>
    <definedName name="_tab78" localSheetId="26" hidden="1">{#N/A,#N/A,FALSE,"Tabl. D1";#N/A,#N/A,FALSE,"Tabl. D1 b";#N/A,#N/A,FALSE,"Tabl. D2";#N/A,#N/A,FALSE,"Tabl. D2 b";#N/A,#N/A,FALSE,"Tabl. D3";#N/A,#N/A,FALSE,"Tabl. D4";#N/A,#N/A,FALSE,"Tabl. D5"}</definedName>
    <definedName name="_tab78" localSheetId="27" hidden="1">{#N/A,#N/A,FALSE,"Tabl. D1";#N/A,#N/A,FALSE,"Tabl. D1 b";#N/A,#N/A,FALSE,"Tabl. D2";#N/A,#N/A,FALSE,"Tabl. D2 b";#N/A,#N/A,FALSE,"Tabl. D3";#N/A,#N/A,FALSE,"Tabl. D4";#N/A,#N/A,FALSE,"Tabl. D5"}</definedName>
    <definedName name="_tab78" localSheetId="28" hidden="1">{#N/A,#N/A,FALSE,"Tabl. D1";#N/A,#N/A,FALSE,"Tabl. D1 b";#N/A,#N/A,FALSE,"Tabl. D2";#N/A,#N/A,FALSE,"Tabl. D2 b";#N/A,#N/A,FALSE,"Tabl. D3";#N/A,#N/A,FALSE,"Tabl. D4";#N/A,#N/A,FALSE,"Tabl. D5"}</definedName>
    <definedName name="_tab78" localSheetId="29" hidden="1">{#N/A,#N/A,FALSE,"Tabl. D1";#N/A,#N/A,FALSE,"Tabl. D1 b";#N/A,#N/A,FALSE,"Tabl. D2";#N/A,#N/A,FALSE,"Tabl. D2 b";#N/A,#N/A,FALSE,"Tabl. D3";#N/A,#N/A,FALSE,"Tabl. D4";#N/A,#N/A,FALSE,"Tabl. D5"}</definedName>
    <definedName name="_tab78" localSheetId="30" hidden="1">{#N/A,#N/A,FALSE,"Tabl. D1";#N/A,#N/A,FALSE,"Tabl. D1 b";#N/A,#N/A,FALSE,"Tabl. D2";#N/A,#N/A,FALSE,"Tabl. D2 b";#N/A,#N/A,FALSE,"Tabl. D3";#N/A,#N/A,FALSE,"Tabl. D4";#N/A,#N/A,FALSE,"Tabl. D5"}</definedName>
    <definedName name="_tab78" localSheetId="31" hidden="1">{#N/A,#N/A,FALSE,"Tabl. D1";#N/A,#N/A,FALSE,"Tabl. D1 b";#N/A,#N/A,FALSE,"Tabl. D2";#N/A,#N/A,FALSE,"Tabl. D2 b";#N/A,#N/A,FALSE,"Tabl. D3";#N/A,#N/A,FALSE,"Tabl. D4";#N/A,#N/A,FALSE,"Tabl. D5"}</definedName>
    <definedName name="_tab78" localSheetId="32" hidden="1">{#N/A,#N/A,FALSE,"Tabl. D1";#N/A,#N/A,FALSE,"Tabl. D1 b";#N/A,#N/A,FALSE,"Tabl. D2";#N/A,#N/A,FALSE,"Tabl. D2 b";#N/A,#N/A,FALSE,"Tabl. D3";#N/A,#N/A,FALSE,"Tabl. D4";#N/A,#N/A,FALSE,"Tabl. D5"}</definedName>
    <definedName name="_tab78" hidden="1">{#N/A,#N/A,FALSE,"Tabl. D1";#N/A,#N/A,FALSE,"Tabl. D1 b";#N/A,#N/A,FALSE,"Tabl. D2";#N/A,#N/A,FALSE,"Tabl. D2 b";#N/A,#N/A,FALSE,"Tabl. D3";#N/A,#N/A,FALSE,"Tabl. D4";#N/A,#N/A,FALSE,"Tabl. D5"}</definedName>
    <definedName name="_TAB8" localSheetId="3" hidden="1">{#N/A,#N/A,FALSE,"Tabl. FB300";#N/A,#N/A,FALSE,"Tabl. FB350";#N/A,#N/A,FALSE,"Tabl. FB400";#N/A,#N/A,FALSE,"Tabl. FB500";#N/A,#N/A,FALSE,"Tabl. FS090"}</definedName>
    <definedName name="_TAB8" localSheetId="5" hidden="1">{#N/A,#N/A,FALSE,"Tabl. FB300";#N/A,#N/A,FALSE,"Tabl. FB350";#N/A,#N/A,FALSE,"Tabl. FB400";#N/A,#N/A,FALSE,"Tabl. FB500";#N/A,#N/A,FALSE,"Tabl. FS090"}</definedName>
    <definedName name="_TAB8" localSheetId="6" hidden="1">{#N/A,#N/A,FALSE,"Tabl. FB300";#N/A,#N/A,FALSE,"Tabl. FB350";#N/A,#N/A,FALSE,"Tabl. FB400";#N/A,#N/A,FALSE,"Tabl. FB500";#N/A,#N/A,FALSE,"Tabl. FS090"}</definedName>
    <definedName name="_TAB8" localSheetId="7" hidden="1">{#N/A,#N/A,FALSE,"Tabl. FB300";#N/A,#N/A,FALSE,"Tabl. FB350";#N/A,#N/A,FALSE,"Tabl. FB400";#N/A,#N/A,FALSE,"Tabl. FB500";#N/A,#N/A,FALSE,"Tabl. FS090"}</definedName>
    <definedName name="_TAB8" localSheetId="9" hidden="1">{#N/A,#N/A,FALSE,"Tabl. FB300";#N/A,#N/A,FALSE,"Tabl. FB350";#N/A,#N/A,FALSE,"Tabl. FB400";#N/A,#N/A,FALSE,"Tabl. FB500";#N/A,#N/A,FALSE,"Tabl. FS090"}</definedName>
    <definedName name="_TAB8" localSheetId="10" hidden="1">{#N/A,#N/A,FALSE,"Tabl. FB300";#N/A,#N/A,FALSE,"Tabl. FB350";#N/A,#N/A,FALSE,"Tabl. FB400";#N/A,#N/A,FALSE,"Tabl. FB500";#N/A,#N/A,FALSE,"Tabl. FS090"}</definedName>
    <definedName name="_TAB8" localSheetId="11" hidden="1">{#N/A,#N/A,FALSE,"Tabl. FB300";#N/A,#N/A,FALSE,"Tabl. FB350";#N/A,#N/A,FALSE,"Tabl. FB400";#N/A,#N/A,FALSE,"Tabl. FB500";#N/A,#N/A,FALSE,"Tabl. FS090"}</definedName>
    <definedName name="_TAB8" localSheetId="12" hidden="1">{#N/A,#N/A,FALSE,"Tabl. FB300";#N/A,#N/A,FALSE,"Tabl. FB350";#N/A,#N/A,FALSE,"Tabl. FB400";#N/A,#N/A,FALSE,"Tabl. FB500";#N/A,#N/A,FALSE,"Tabl. FS090"}</definedName>
    <definedName name="_TAB8" localSheetId="13" hidden="1">{#N/A,#N/A,FALSE,"Tabl. FB300";#N/A,#N/A,FALSE,"Tabl. FB350";#N/A,#N/A,FALSE,"Tabl. FB400";#N/A,#N/A,FALSE,"Tabl. FB500";#N/A,#N/A,FALSE,"Tabl. FS090"}</definedName>
    <definedName name="_TAB8" localSheetId="14" hidden="1">{#N/A,#N/A,FALSE,"Tabl. FB300";#N/A,#N/A,FALSE,"Tabl. FB350";#N/A,#N/A,FALSE,"Tabl. FB400";#N/A,#N/A,FALSE,"Tabl. FB500";#N/A,#N/A,FALSE,"Tabl. FS090"}</definedName>
    <definedName name="_TAB8" localSheetId="15" hidden="1">{#N/A,#N/A,FALSE,"Tabl. FB300";#N/A,#N/A,FALSE,"Tabl. FB350";#N/A,#N/A,FALSE,"Tabl. FB400";#N/A,#N/A,FALSE,"Tabl. FB500";#N/A,#N/A,FALSE,"Tabl. FS090"}</definedName>
    <definedName name="_TAB8" localSheetId="20" hidden="1">{#N/A,#N/A,FALSE,"Tabl. FB300";#N/A,#N/A,FALSE,"Tabl. FB350";#N/A,#N/A,FALSE,"Tabl. FB400";#N/A,#N/A,FALSE,"Tabl. FB500";#N/A,#N/A,FALSE,"Tabl. FS090"}</definedName>
    <definedName name="_TAB8" localSheetId="21" hidden="1">{#N/A,#N/A,FALSE,"Tabl. FB300";#N/A,#N/A,FALSE,"Tabl. FB350";#N/A,#N/A,FALSE,"Tabl. FB400";#N/A,#N/A,FALSE,"Tabl. FB500";#N/A,#N/A,FALSE,"Tabl. FS090"}</definedName>
    <definedName name="_TAB8" localSheetId="22" hidden="1">{#N/A,#N/A,FALSE,"Tabl. FB300";#N/A,#N/A,FALSE,"Tabl. FB350";#N/A,#N/A,FALSE,"Tabl. FB400";#N/A,#N/A,FALSE,"Tabl. FB500";#N/A,#N/A,FALSE,"Tabl. FS090"}</definedName>
    <definedName name="_TAB8" localSheetId="23" hidden="1">{#N/A,#N/A,FALSE,"Tabl. FB300";#N/A,#N/A,FALSE,"Tabl. FB350";#N/A,#N/A,FALSE,"Tabl. FB400";#N/A,#N/A,FALSE,"Tabl. FB500";#N/A,#N/A,FALSE,"Tabl. FS090"}</definedName>
    <definedName name="_TAB8" localSheetId="24" hidden="1">{#N/A,#N/A,FALSE,"Tabl. FB300";#N/A,#N/A,FALSE,"Tabl. FB350";#N/A,#N/A,FALSE,"Tabl. FB400";#N/A,#N/A,FALSE,"Tabl. FB500";#N/A,#N/A,FALSE,"Tabl. FS090"}</definedName>
    <definedName name="_TAB8" localSheetId="25" hidden="1">{#N/A,#N/A,FALSE,"Tabl. FB300";#N/A,#N/A,FALSE,"Tabl. FB350";#N/A,#N/A,FALSE,"Tabl. FB400";#N/A,#N/A,FALSE,"Tabl. FB500";#N/A,#N/A,FALSE,"Tabl. FS090"}</definedName>
    <definedName name="_TAB8" localSheetId="26" hidden="1">{#N/A,#N/A,FALSE,"Tabl. FB300";#N/A,#N/A,FALSE,"Tabl. FB350";#N/A,#N/A,FALSE,"Tabl. FB400";#N/A,#N/A,FALSE,"Tabl. FB500";#N/A,#N/A,FALSE,"Tabl. FS090"}</definedName>
    <definedName name="_TAB8" localSheetId="27" hidden="1">{#N/A,#N/A,FALSE,"Tabl. FB300";#N/A,#N/A,FALSE,"Tabl. FB350";#N/A,#N/A,FALSE,"Tabl. FB400";#N/A,#N/A,FALSE,"Tabl. FB500";#N/A,#N/A,FALSE,"Tabl. FS090"}</definedName>
    <definedName name="_TAB8" localSheetId="28" hidden="1">{#N/A,#N/A,FALSE,"Tabl. FB300";#N/A,#N/A,FALSE,"Tabl. FB350";#N/A,#N/A,FALSE,"Tabl. FB400";#N/A,#N/A,FALSE,"Tabl. FB500";#N/A,#N/A,FALSE,"Tabl. FS090"}</definedName>
    <definedName name="_TAB8" localSheetId="29" hidden="1">{#N/A,#N/A,FALSE,"Tabl. FB300";#N/A,#N/A,FALSE,"Tabl. FB350";#N/A,#N/A,FALSE,"Tabl. FB400";#N/A,#N/A,FALSE,"Tabl. FB500";#N/A,#N/A,FALSE,"Tabl. FS090"}</definedName>
    <definedName name="_TAB8" localSheetId="30" hidden="1">{#N/A,#N/A,FALSE,"Tabl. FB300";#N/A,#N/A,FALSE,"Tabl. FB350";#N/A,#N/A,FALSE,"Tabl. FB400";#N/A,#N/A,FALSE,"Tabl. FB500";#N/A,#N/A,FALSE,"Tabl. FS090"}</definedName>
    <definedName name="_TAB8" localSheetId="31" hidden="1">{#N/A,#N/A,FALSE,"Tabl. FB300";#N/A,#N/A,FALSE,"Tabl. FB350";#N/A,#N/A,FALSE,"Tabl. FB400";#N/A,#N/A,FALSE,"Tabl. FB500";#N/A,#N/A,FALSE,"Tabl. FS090"}</definedName>
    <definedName name="_TAB8" localSheetId="32" hidden="1">{#N/A,#N/A,FALSE,"Tabl. FB300";#N/A,#N/A,FALSE,"Tabl. FB350";#N/A,#N/A,FALSE,"Tabl. FB400";#N/A,#N/A,FALSE,"Tabl. FB500";#N/A,#N/A,FALSE,"Tabl. FS090"}</definedName>
    <definedName name="_TAB8" hidden="1">{#N/A,#N/A,FALSE,"Tabl. FB300";#N/A,#N/A,FALSE,"Tabl. FB350";#N/A,#N/A,FALSE,"Tabl. FB400";#N/A,#N/A,FALSE,"Tabl. FB500";#N/A,#N/A,FALSE,"Tabl. FS090"}</definedName>
    <definedName name="_tab80" localSheetId="3" hidden="1">{#N/A,#N/A,FALSE,"Tabl. FB300";#N/A,#N/A,FALSE,"Tabl. FB350";#N/A,#N/A,FALSE,"Tabl. FB400";#N/A,#N/A,FALSE,"Tabl. FB500";#N/A,#N/A,FALSE,"Tabl. FS090"}</definedName>
    <definedName name="_tab80" localSheetId="5" hidden="1">{#N/A,#N/A,FALSE,"Tabl. FB300";#N/A,#N/A,FALSE,"Tabl. FB350";#N/A,#N/A,FALSE,"Tabl. FB400";#N/A,#N/A,FALSE,"Tabl. FB500";#N/A,#N/A,FALSE,"Tabl. FS090"}</definedName>
    <definedName name="_tab80" localSheetId="6" hidden="1">{#N/A,#N/A,FALSE,"Tabl. FB300";#N/A,#N/A,FALSE,"Tabl. FB350";#N/A,#N/A,FALSE,"Tabl. FB400";#N/A,#N/A,FALSE,"Tabl. FB500";#N/A,#N/A,FALSE,"Tabl. FS090"}</definedName>
    <definedName name="_tab80" localSheetId="7" hidden="1">{#N/A,#N/A,FALSE,"Tabl. FB300";#N/A,#N/A,FALSE,"Tabl. FB350";#N/A,#N/A,FALSE,"Tabl. FB400";#N/A,#N/A,FALSE,"Tabl. FB500";#N/A,#N/A,FALSE,"Tabl. FS090"}</definedName>
    <definedName name="_tab80" localSheetId="9" hidden="1">{#N/A,#N/A,FALSE,"Tabl. FB300";#N/A,#N/A,FALSE,"Tabl. FB350";#N/A,#N/A,FALSE,"Tabl. FB400";#N/A,#N/A,FALSE,"Tabl. FB500";#N/A,#N/A,FALSE,"Tabl. FS090"}</definedName>
    <definedName name="_tab80" localSheetId="10" hidden="1">{#N/A,#N/A,FALSE,"Tabl. FB300";#N/A,#N/A,FALSE,"Tabl. FB350";#N/A,#N/A,FALSE,"Tabl. FB400";#N/A,#N/A,FALSE,"Tabl. FB500";#N/A,#N/A,FALSE,"Tabl. FS090"}</definedName>
    <definedName name="_tab80" localSheetId="11" hidden="1">{#N/A,#N/A,FALSE,"Tabl. FB300";#N/A,#N/A,FALSE,"Tabl. FB350";#N/A,#N/A,FALSE,"Tabl. FB400";#N/A,#N/A,FALSE,"Tabl. FB500";#N/A,#N/A,FALSE,"Tabl. FS090"}</definedName>
    <definedName name="_tab80" localSheetId="12" hidden="1">{#N/A,#N/A,FALSE,"Tabl. FB300";#N/A,#N/A,FALSE,"Tabl. FB350";#N/A,#N/A,FALSE,"Tabl. FB400";#N/A,#N/A,FALSE,"Tabl. FB500";#N/A,#N/A,FALSE,"Tabl. FS090"}</definedName>
    <definedName name="_tab80" localSheetId="13" hidden="1">{#N/A,#N/A,FALSE,"Tabl. FB300";#N/A,#N/A,FALSE,"Tabl. FB350";#N/A,#N/A,FALSE,"Tabl. FB400";#N/A,#N/A,FALSE,"Tabl. FB500";#N/A,#N/A,FALSE,"Tabl. FS090"}</definedName>
    <definedName name="_tab80" localSheetId="14" hidden="1">{#N/A,#N/A,FALSE,"Tabl. FB300";#N/A,#N/A,FALSE,"Tabl. FB350";#N/A,#N/A,FALSE,"Tabl. FB400";#N/A,#N/A,FALSE,"Tabl. FB500";#N/A,#N/A,FALSE,"Tabl. FS090"}</definedName>
    <definedName name="_tab80" localSheetId="15" hidden="1">{#N/A,#N/A,FALSE,"Tabl. FB300";#N/A,#N/A,FALSE,"Tabl. FB350";#N/A,#N/A,FALSE,"Tabl. FB400";#N/A,#N/A,FALSE,"Tabl. FB500";#N/A,#N/A,FALSE,"Tabl. FS090"}</definedName>
    <definedName name="_tab80" localSheetId="20" hidden="1">{#N/A,#N/A,FALSE,"Tabl. FB300";#N/A,#N/A,FALSE,"Tabl. FB350";#N/A,#N/A,FALSE,"Tabl. FB400";#N/A,#N/A,FALSE,"Tabl. FB500";#N/A,#N/A,FALSE,"Tabl. FS090"}</definedName>
    <definedName name="_tab80" localSheetId="21" hidden="1">{#N/A,#N/A,FALSE,"Tabl. FB300";#N/A,#N/A,FALSE,"Tabl. FB350";#N/A,#N/A,FALSE,"Tabl. FB400";#N/A,#N/A,FALSE,"Tabl. FB500";#N/A,#N/A,FALSE,"Tabl. FS090"}</definedName>
    <definedName name="_tab80" localSheetId="22" hidden="1">{#N/A,#N/A,FALSE,"Tabl. FB300";#N/A,#N/A,FALSE,"Tabl. FB350";#N/A,#N/A,FALSE,"Tabl. FB400";#N/A,#N/A,FALSE,"Tabl. FB500";#N/A,#N/A,FALSE,"Tabl. FS090"}</definedName>
    <definedName name="_tab80" localSheetId="23" hidden="1">{#N/A,#N/A,FALSE,"Tabl. FB300";#N/A,#N/A,FALSE,"Tabl. FB350";#N/A,#N/A,FALSE,"Tabl. FB400";#N/A,#N/A,FALSE,"Tabl. FB500";#N/A,#N/A,FALSE,"Tabl. FS090"}</definedName>
    <definedName name="_tab80" localSheetId="24" hidden="1">{#N/A,#N/A,FALSE,"Tabl. FB300";#N/A,#N/A,FALSE,"Tabl. FB350";#N/A,#N/A,FALSE,"Tabl. FB400";#N/A,#N/A,FALSE,"Tabl. FB500";#N/A,#N/A,FALSE,"Tabl. FS090"}</definedName>
    <definedName name="_tab80" localSheetId="25" hidden="1">{#N/A,#N/A,FALSE,"Tabl. FB300";#N/A,#N/A,FALSE,"Tabl. FB350";#N/A,#N/A,FALSE,"Tabl. FB400";#N/A,#N/A,FALSE,"Tabl. FB500";#N/A,#N/A,FALSE,"Tabl. FS090"}</definedName>
    <definedName name="_tab80" localSheetId="26" hidden="1">{#N/A,#N/A,FALSE,"Tabl. FB300";#N/A,#N/A,FALSE,"Tabl. FB350";#N/A,#N/A,FALSE,"Tabl. FB400";#N/A,#N/A,FALSE,"Tabl. FB500";#N/A,#N/A,FALSE,"Tabl. FS090"}</definedName>
    <definedName name="_tab80" localSheetId="27" hidden="1">{#N/A,#N/A,FALSE,"Tabl. FB300";#N/A,#N/A,FALSE,"Tabl. FB350";#N/A,#N/A,FALSE,"Tabl. FB400";#N/A,#N/A,FALSE,"Tabl. FB500";#N/A,#N/A,FALSE,"Tabl. FS090"}</definedName>
    <definedName name="_tab80" localSheetId="28" hidden="1">{#N/A,#N/A,FALSE,"Tabl. FB300";#N/A,#N/A,FALSE,"Tabl. FB350";#N/A,#N/A,FALSE,"Tabl. FB400";#N/A,#N/A,FALSE,"Tabl. FB500";#N/A,#N/A,FALSE,"Tabl. FS090"}</definedName>
    <definedName name="_tab80" localSheetId="29" hidden="1">{#N/A,#N/A,FALSE,"Tabl. FB300";#N/A,#N/A,FALSE,"Tabl. FB350";#N/A,#N/A,FALSE,"Tabl. FB400";#N/A,#N/A,FALSE,"Tabl. FB500";#N/A,#N/A,FALSE,"Tabl. FS090"}</definedName>
    <definedName name="_tab80" localSheetId="30" hidden="1">{#N/A,#N/A,FALSE,"Tabl. FB300";#N/A,#N/A,FALSE,"Tabl. FB350";#N/A,#N/A,FALSE,"Tabl. FB400";#N/A,#N/A,FALSE,"Tabl. FB500";#N/A,#N/A,FALSE,"Tabl. FS090"}</definedName>
    <definedName name="_tab80" localSheetId="31" hidden="1">{#N/A,#N/A,FALSE,"Tabl. FB300";#N/A,#N/A,FALSE,"Tabl. FB350";#N/A,#N/A,FALSE,"Tabl. FB400";#N/A,#N/A,FALSE,"Tabl. FB500";#N/A,#N/A,FALSE,"Tabl. FS090"}</definedName>
    <definedName name="_tab80" localSheetId="32" hidden="1">{#N/A,#N/A,FALSE,"Tabl. FB300";#N/A,#N/A,FALSE,"Tabl. FB350";#N/A,#N/A,FALSE,"Tabl. FB400";#N/A,#N/A,FALSE,"Tabl. FB500";#N/A,#N/A,FALSE,"Tabl. FS090"}</definedName>
    <definedName name="_tab80" hidden="1">{#N/A,#N/A,FALSE,"Tabl. FB300";#N/A,#N/A,FALSE,"Tabl. FB350";#N/A,#N/A,FALSE,"Tabl. FB400";#N/A,#N/A,FALSE,"Tabl. FB500";#N/A,#N/A,FALSE,"Tabl. FS090"}</definedName>
    <definedName name="_tab9" localSheetId="3" hidden="1">{#N/A,#N/A,FALSE,"Tabl. D1";#N/A,#N/A,FALSE,"Tabl. D1 b";#N/A,#N/A,FALSE,"Tabl. D2";#N/A,#N/A,FALSE,"Tabl. D2 b";#N/A,#N/A,FALSE,"Tabl. D3";#N/A,#N/A,FALSE,"Tabl. D4";#N/A,#N/A,FALSE,"Tabl. D5"}</definedName>
    <definedName name="_tab9" localSheetId="5" hidden="1">{#N/A,#N/A,FALSE,"Tabl. D1";#N/A,#N/A,FALSE,"Tabl. D1 b";#N/A,#N/A,FALSE,"Tabl. D2";#N/A,#N/A,FALSE,"Tabl. D2 b";#N/A,#N/A,FALSE,"Tabl. D3";#N/A,#N/A,FALSE,"Tabl. D4";#N/A,#N/A,FALSE,"Tabl. D5"}</definedName>
    <definedName name="_tab9" localSheetId="6" hidden="1">{#N/A,#N/A,FALSE,"Tabl. D1";#N/A,#N/A,FALSE,"Tabl. D1 b";#N/A,#N/A,FALSE,"Tabl. D2";#N/A,#N/A,FALSE,"Tabl. D2 b";#N/A,#N/A,FALSE,"Tabl. D3";#N/A,#N/A,FALSE,"Tabl. D4";#N/A,#N/A,FALSE,"Tabl. D5"}</definedName>
    <definedName name="_tab9" localSheetId="7" hidden="1">{#N/A,#N/A,FALSE,"Tabl. D1";#N/A,#N/A,FALSE,"Tabl. D1 b";#N/A,#N/A,FALSE,"Tabl. D2";#N/A,#N/A,FALSE,"Tabl. D2 b";#N/A,#N/A,FALSE,"Tabl. D3";#N/A,#N/A,FALSE,"Tabl. D4";#N/A,#N/A,FALSE,"Tabl. D5"}</definedName>
    <definedName name="_tab9" localSheetId="9" hidden="1">{#N/A,#N/A,FALSE,"Tabl. D1";#N/A,#N/A,FALSE,"Tabl. D1 b";#N/A,#N/A,FALSE,"Tabl. D2";#N/A,#N/A,FALSE,"Tabl. D2 b";#N/A,#N/A,FALSE,"Tabl. D3";#N/A,#N/A,FALSE,"Tabl. D4";#N/A,#N/A,FALSE,"Tabl. D5"}</definedName>
    <definedName name="_tab9" localSheetId="10" hidden="1">{#N/A,#N/A,FALSE,"Tabl. D1";#N/A,#N/A,FALSE,"Tabl. D1 b";#N/A,#N/A,FALSE,"Tabl. D2";#N/A,#N/A,FALSE,"Tabl. D2 b";#N/A,#N/A,FALSE,"Tabl. D3";#N/A,#N/A,FALSE,"Tabl. D4";#N/A,#N/A,FALSE,"Tabl. D5"}</definedName>
    <definedName name="_tab9" localSheetId="11" hidden="1">{#N/A,#N/A,FALSE,"Tabl. D1";#N/A,#N/A,FALSE,"Tabl. D1 b";#N/A,#N/A,FALSE,"Tabl. D2";#N/A,#N/A,FALSE,"Tabl. D2 b";#N/A,#N/A,FALSE,"Tabl. D3";#N/A,#N/A,FALSE,"Tabl. D4";#N/A,#N/A,FALSE,"Tabl. D5"}</definedName>
    <definedName name="_tab9" localSheetId="12" hidden="1">{#N/A,#N/A,FALSE,"Tabl. D1";#N/A,#N/A,FALSE,"Tabl. D1 b";#N/A,#N/A,FALSE,"Tabl. D2";#N/A,#N/A,FALSE,"Tabl. D2 b";#N/A,#N/A,FALSE,"Tabl. D3";#N/A,#N/A,FALSE,"Tabl. D4";#N/A,#N/A,FALSE,"Tabl. D5"}</definedName>
    <definedName name="_tab9" localSheetId="13" hidden="1">{#N/A,#N/A,FALSE,"Tabl. D1";#N/A,#N/A,FALSE,"Tabl. D1 b";#N/A,#N/A,FALSE,"Tabl. D2";#N/A,#N/A,FALSE,"Tabl. D2 b";#N/A,#N/A,FALSE,"Tabl. D3";#N/A,#N/A,FALSE,"Tabl. D4";#N/A,#N/A,FALSE,"Tabl. D5"}</definedName>
    <definedName name="_tab9" localSheetId="14" hidden="1">{#N/A,#N/A,FALSE,"Tabl. D1";#N/A,#N/A,FALSE,"Tabl. D1 b";#N/A,#N/A,FALSE,"Tabl. D2";#N/A,#N/A,FALSE,"Tabl. D2 b";#N/A,#N/A,FALSE,"Tabl. D3";#N/A,#N/A,FALSE,"Tabl. D4";#N/A,#N/A,FALSE,"Tabl. D5"}</definedName>
    <definedName name="_tab9" localSheetId="15" hidden="1">{#N/A,#N/A,FALSE,"Tabl. D1";#N/A,#N/A,FALSE,"Tabl. D1 b";#N/A,#N/A,FALSE,"Tabl. D2";#N/A,#N/A,FALSE,"Tabl. D2 b";#N/A,#N/A,FALSE,"Tabl. D3";#N/A,#N/A,FALSE,"Tabl. D4";#N/A,#N/A,FALSE,"Tabl. D5"}</definedName>
    <definedName name="_tab9" localSheetId="20" hidden="1">{#N/A,#N/A,FALSE,"Tabl. D1";#N/A,#N/A,FALSE,"Tabl. D1 b";#N/A,#N/A,FALSE,"Tabl. D2";#N/A,#N/A,FALSE,"Tabl. D2 b";#N/A,#N/A,FALSE,"Tabl. D3";#N/A,#N/A,FALSE,"Tabl. D4";#N/A,#N/A,FALSE,"Tabl. D5"}</definedName>
    <definedName name="_tab9" localSheetId="21" hidden="1">{#N/A,#N/A,FALSE,"Tabl. D1";#N/A,#N/A,FALSE,"Tabl. D1 b";#N/A,#N/A,FALSE,"Tabl. D2";#N/A,#N/A,FALSE,"Tabl. D2 b";#N/A,#N/A,FALSE,"Tabl. D3";#N/A,#N/A,FALSE,"Tabl. D4";#N/A,#N/A,FALSE,"Tabl. D5"}</definedName>
    <definedName name="_tab9" localSheetId="22" hidden="1">{#N/A,#N/A,FALSE,"Tabl. D1";#N/A,#N/A,FALSE,"Tabl. D1 b";#N/A,#N/A,FALSE,"Tabl. D2";#N/A,#N/A,FALSE,"Tabl. D2 b";#N/A,#N/A,FALSE,"Tabl. D3";#N/A,#N/A,FALSE,"Tabl. D4";#N/A,#N/A,FALSE,"Tabl. D5"}</definedName>
    <definedName name="_tab9" localSheetId="23" hidden="1">{#N/A,#N/A,FALSE,"Tabl. D1";#N/A,#N/A,FALSE,"Tabl. D1 b";#N/A,#N/A,FALSE,"Tabl. D2";#N/A,#N/A,FALSE,"Tabl. D2 b";#N/A,#N/A,FALSE,"Tabl. D3";#N/A,#N/A,FALSE,"Tabl. D4";#N/A,#N/A,FALSE,"Tabl. D5"}</definedName>
    <definedName name="_tab9" localSheetId="24" hidden="1">{#N/A,#N/A,FALSE,"Tabl. D1";#N/A,#N/A,FALSE,"Tabl. D1 b";#N/A,#N/A,FALSE,"Tabl. D2";#N/A,#N/A,FALSE,"Tabl. D2 b";#N/A,#N/A,FALSE,"Tabl. D3";#N/A,#N/A,FALSE,"Tabl. D4";#N/A,#N/A,FALSE,"Tabl. D5"}</definedName>
    <definedName name="_tab9" localSheetId="25" hidden="1">{#N/A,#N/A,FALSE,"Tabl. D1";#N/A,#N/A,FALSE,"Tabl. D1 b";#N/A,#N/A,FALSE,"Tabl. D2";#N/A,#N/A,FALSE,"Tabl. D2 b";#N/A,#N/A,FALSE,"Tabl. D3";#N/A,#N/A,FALSE,"Tabl. D4";#N/A,#N/A,FALSE,"Tabl. D5"}</definedName>
    <definedName name="_tab9" localSheetId="26" hidden="1">{#N/A,#N/A,FALSE,"Tabl. D1";#N/A,#N/A,FALSE,"Tabl. D1 b";#N/A,#N/A,FALSE,"Tabl. D2";#N/A,#N/A,FALSE,"Tabl. D2 b";#N/A,#N/A,FALSE,"Tabl. D3";#N/A,#N/A,FALSE,"Tabl. D4";#N/A,#N/A,FALSE,"Tabl. D5"}</definedName>
    <definedName name="_tab9" localSheetId="27" hidden="1">{#N/A,#N/A,FALSE,"Tabl. D1";#N/A,#N/A,FALSE,"Tabl. D1 b";#N/A,#N/A,FALSE,"Tabl. D2";#N/A,#N/A,FALSE,"Tabl. D2 b";#N/A,#N/A,FALSE,"Tabl. D3";#N/A,#N/A,FALSE,"Tabl. D4";#N/A,#N/A,FALSE,"Tabl. D5"}</definedName>
    <definedName name="_tab9" localSheetId="28" hidden="1">{#N/A,#N/A,FALSE,"Tabl. D1";#N/A,#N/A,FALSE,"Tabl. D1 b";#N/A,#N/A,FALSE,"Tabl. D2";#N/A,#N/A,FALSE,"Tabl. D2 b";#N/A,#N/A,FALSE,"Tabl. D3";#N/A,#N/A,FALSE,"Tabl. D4";#N/A,#N/A,FALSE,"Tabl. D5"}</definedName>
    <definedName name="_tab9" localSheetId="29" hidden="1">{#N/A,#N/A,FALSE,"Tabl. D1";#N/A,#N/A,FALSE,"Tabl. D1 b";#N/A,#N/A,FALSE,"Tabl. D2";#N/A,#N/A,FALSE,"Tabl. D2 b";#N/A,#N/A,FALSE,"Tabl. D3";#N/A,#N/A,FALSE,"Tabl. D4";#N/A,#N/A,FALSE,"Tabl. D5"}</definedName>
    <definedName name="_tab9" localSheetId="30" hidden="1">{#N/A,#N/A,FALSE,"Tabl. D1";#N/A,#N/A,FALSE,"Tabl. D1 b";#N/A,#N/A,FALSE,"Tabl. D2";#N/A,#N/A,FALSE,"Tabl. D2 b";#N/A,#N/A,FALSE,"Tabl. D3";#N/A,#N/A,FALSE,"Tabl. D4";#N/A,#N/A,FALSE,"Tabl. D5"}</definedName>
    <definedName name="_tab9" localSheetId="31" hidden="1">{#N/A,#N/A,FALSE,"Tabl. D1";#N/A,#N/A,FALSE,"Tabl. D1 b";#N/A,#N/A,FALSE,"Tabl. D2";#N/A,#N/A,FALSE,"Tabl. D2 b";#N/A,#N/A,FALSE,"Tabl. D3";#N/A,#N/A,FALSE,"Tabl. D4";#N/A,#N/A,FALSE,"Tabl. D5"}</definedName>
    <definedName name="_tab9" localSheetId="32" hidden="1">{#N/A,#N/A,FALSE,"Tabl. D1";#N/A,#N/A,FALSE,"Tabl. D1 b";#N/A,#N/A,FALSE,"Tabl. D2";#N/A,#N/A,FALSE,"Tabl. D2 b";#N/A,#N/A,FALSE,"Tabl. D3";#N/A,#N/A,FALSE,"Tabl. D4";#N/A,#N/A,FALSE,"Tabl. D5"}</definedName>
    <definedName name="_tab9" hidden="1">{#N/A,#N/A,FALSE,"Tabl. D1";#N/A,#N/A,FALSE,"Tabl. D1 b";#N/A,#N/A,FALSE,"Tabl. D2";#N/A,#N/A,FALSE,"Tabl. D2 b";#N/A,#N/A,FALSE,"Tabl. D3";#N/A,#N/A,FALSE,"Tabl. D4";#N/A,#N/A,FALSE,"Tabl. D5"}</definedName>
    <definedName name="_TAB90" localSheetId="3" hidden="1">{#N/A,#N/A,FALSE,"Tabl. H1";#N/A,#N/A,FALSE,"Tabl. H2"}</definedName>
    <definedName name="_TAB90" localSheetId="5" hidden="1">{#N/A,#N/A,FALSE,"Tabl. H1";#N/A,#N/A,FALSE,"Tabl. H2"}</definedName>
    <definedName name="_TAB90" localSheetId="6" hidden="1">{#N/A,#N/A,FALSE,"Tabl. H1";#N/A,#N/A,FALSE,"Tabl. H2"}</definedName>
    <definedName name="_TAB90" localSheetId="7" hidden="1">{#N/A,#N/A,FALSE,"Tabl. H1";#N/A,#N/A,FALSE,"Tabl. H2"}</definedName>
    <definedName name="_TAB90" localSheetId="9" hidden="1">{#N/A,#N/A,FALSE,"Tabl. H1";#N/A,#N/A,FALSE,"Tabl. H2"}</definedName>
    <definedName name="_TAB90" localSheetId="10" hidden="1">{#N/A,#N/A,FALSE,"Tabl. H1";#N/A,#N/A,FALSE,"Tabl. H2"}</definedName>
    <definedName name="_TAB90" localSheetId="11" hidden="1">{#N/A,#N/A,FALSE,"Tabl. H1";#N/A,#N/A,FALSE,"Tabl. H2"}</definedName>
    <definedName name="_TAB90" localSheetId="12" hidden="1">{#N/A,#N/A,FALSE,"Tabl. H1";#N/A,#N/A,FALSE,"Tabl. H2"}</definedName>
    <definedName name="_TAB90" localSheetId="13" hidden="1">{#N/A,#N/A,FALSE,"Tabl. H1";#N/A,#N/A,FALSE,"Tabl. H2"}</definedName>
    <definedName name="_TAB90" localSheetId="14" hidden="1">{#N/A,#N/A,FALSE,"Tabl. H1";#N/A,#N/A,FALSE,"Tabl. H2"}</definedName>
    <definedName name="_TAB90" localSheetId="15" hidden="1">{#N/A,#N/A,FALSE,"Tabl. H1";#N/A,#N/A,FALSE,"Tabl. H2"}</definedName>
    <definedName name="_TAB90" localSheetId="20" hidden="1">{#N/A,#N/A,FALSE,"Tabl. H1";#N/A,#N/A,FALSE,"Tabl. H2"}</definedName>
    <definedName name="_TAB90" localSheetId="21" hidden="1">{#N/A,#N/A,FALSE,"Tabl. H1";#N/A,#N/A,FALSE,"Tabl. H2"}</definedName>
    <definedName name="_TAB90" localSheetId="22" hidden="1">{#N/A,#N/A,FALSE,"Tabl. H1";#N/A,#N/A,FALSE,"Tabl. H2"}</definedName>
    <definedName name="_TAB90" localSheetId="23" hidden="1">{#N/A,#N/A,FALSE,"Tabl. H1";#N/A,#N/A,FALSE,"Tabl. H2"}</definedName>
    <definedName name="_TAB90" localSheetId="24" hidden="1">{#N/A,#N/A,FALSE,"Tabl. H1";#N/A,#N/A,FALSE,"Tabl. H2"}</definedName>
    <definedName name="_TAB90" localSheetId="25" hidden="1">{#N/A,#N/A,FALSE,"Tabl. H1";#N/A,#N/A,FALSE,"Tabl. H2"}</definedName>
    <definedName name="_TAB90" localSheetId="26" hidden="1">{#N/A,#N/A,FALSE,"Tabl. H1";#N/A,#N/A,FALSE,"Tabl. H2"}</definedName>
    <definedName name="_TAB90" localSheetId="27" hidden="1">{#N/A,#N/A,FALSE,"Tabl. H1";#N/A,#N/A,FALSE,"Tabl. H2"}</definedName>
    <definedName name="_TAB90" localSheetId="28" hidden="1">{#N/A,#N/A,FALSE,"Tabl. H1";#N/A,#N/A,FALSE,"Tabl. H2"}</definedName>
    <definedName name="_TAB90" localSheetId="29" hidden="1">{#N/A,#N/A,FALSE,"Tabl. H1";#N/A,#N/A,FALSE,"Tabl. H2"}</definedName>
    <definedName name="_TAB90" localSheetId="30" hidden="1">{#N/A,#N/A,FALSE,"Tabl. H1";#N/A,#N/A,FALSE,"Tabl. H2"}</definedName>
    <definedName name="_TAB90" localSheetId="31" hidden="1">{#N/A,#N/A,FALSE,"Tabl. H1";#N/A,#N/A,FALSE,"Tabl. H2"}</definedName>
    <definedName name="_TAB90" localSheetId="32" hidden="1">{#N/A,#N/A,FALSE,"Tabl. H1";#N/A,#N/A,FALSE,"Tabl. H2"}</definedName>
    <definedName name="_TAB90" hidden="1">{#N/A,#N/A,FALSE,"Tabl. H1";#N/A,#N/A,FALSE,"Tabl. H2"}</definedName>
    <definedName name="_tab98" localSheetId="3" hidden="1">{#N/A,#N/A,FALSE,"Tabl. A1";#N/A,#N/A,FALSE,"Tabl. A1 b";#N/A,#N/A,FALSE,"Tabl. A2";#N/A,#N/A,FALSE,"Tabl. A2-1";#N/A,#N/A,FALSE,"Tabl. A2-2"}</definedName>
    <definedName name="_tab98" localSheetId="5" hidden="1">{#N/A,#N/A,FALSE,"Tabl. A1";#N/A,#N/A,FALSE,"Tabl. A1 b";#N/A,#N/A,FALSE,"Tabl. A2";#N/A,#N/A,FALSE,"Tabl. A2-1";#N/A,#N/A,FALSE,"Tabl. A2-2"}</definedName>
    <definedName name="_tab98" localSheetId="6" hidden="1">{#N/A,#N/A,FALSE,"Tabl. A1";#N/A,#N/A,FALSE,"Tabl. A1 b";#N/A,#N/A,FALSE,"Tabl. A2";#N/A,#N/A,FALSE,"Tabl. A2-1";#N/A,#N/A,FALSE,"Tabl. A2-2"}</definedName>
    <definedName name="_tab98" localSheetId="7" hidden="1">{#N/A,#N/A,FALSE,"Tabl. A1";#N/A,#N/A,FALSE,"Tabl. A1 b";#N/A,#N/A,FALSE,"Tabl. A2";#N/A,#N/A,FALSE,"Tabl. A2-1";#N/A,#N/A,FALSE,"Tabl. A2-2"}</definedName>
    <definedName name="_tab98" localSheetId="9" hidden="1">{#N/A,#N/A,FALSE,"Tabl. A1";#N/A,#N/A,FALSE,"Tabl. A1 b";#N/A,#N/A,FALSE,"Tabl. A2";#N/A,#N/A,FALSE,"Tabl. A2-1";#N/A,#N/A,FALSE,"Tabl. A2-2"}</definedName>
    <definedName name="_tab98" localSheetId="10" hidden="1">{#N/A,#N/A,FALSE,"Tabl. A1";#N/A,#N/A,FALSE,"Tabl. A1 b";#N/A,#N/A,FALSE,"Tabl. A2";#N/A,#N/A,FALSE,"Tabl. A2-1";#N/A,#N/A,FALSE,"Tabl. A2-2"}</definedName>
    <definedName name="_tab98" localSheetId="11" hidden="1">{#N/A,#N/A,FALSE,"Tabl. A1";#N/A,#N/A,FALSE,"Tabl. A1 b";#N/A,#N/A,FALSE,"Tabl. A2";#N/A,#N/A,FALSE,"Tabl. A2-1";#N/A,#N/A,FALSE,"Tabl. A2-2"}</definedName>
    <definedName name="_tab98" localSheetId="12" hidden="1">{#N/A,#N/A,FALSE,"Tabl. A1";#N/A,#N/A,FALSE,"Tabl. A1 b";#N/A,#N/A,FALSE,"Tabl. A2";#N/A,#N/A,FALSE,"Tabl. A2-1";#N/A,#N/A,FALSE,"Tabl. A2-2"}</definedName>
    <definedName name="_tab98" localSheetId="13" hidden="1">{#N/A,#N/A,FALSE,"Tabl. A1";#N/A,#N/A,FALSE,"Tabl. A1 b";#N/A,#N/A,FALSE,"Tabl. A2";#N/A,#N/A,FALSE,"Tabl. A2-1";#N/A,#N/A,FALSE,"Tabl. A2-2"}</definedName>
    <definedName name="_tab98" localSheetId="14" hidden="1">{#N/A,#N/A,FALSE,"Tabl. A1";#N/A,#N/A,FALSE,"Tabl. A1 b";#N/A,#N/A,FALSE,"Tabl. A2";#N/A,#N/A,FALSE,"Tabl. A2-1";#N/A,#N/A,FALSE,"Tabl. A2-2"}</definedName>
    <definedName name="_tab98" localSheetId="15" hidden="1">{#N/A,#N/A,FALSE,"Tabl. A1";#N/A,#N/A,FALSE,"Tabl. A1 b";#N/A,#N/A,FALSE,"Tabl. A2";#N/A,#N/A,FALSE,"Tabl. A2-1";#N/A,#N/A,FALSE,"Tabl. A2-2"}</definedName>
    <definedName name="_tab98" localSheetId="20" hidden="1">{#N/A,#N/A,FALSE,"Tabl. A1";#N/A,#N/A,FALSE,"Tabl. A1 b";#N/A,#N/A,FALSE,"Tabl. A2";#N/A,#N/A,FALSE,"Tabl. A2-1";#N/A,#N/A,FALSE,"Tabl. A2-2"}</definedName>
    <definedName name="_tab98" localSheetId="21" hidden="1">{#N/A,#N/A,FALSE,"Tabl. A1";#N/A,#N/A,FALSE,"Tabl. A1 b";#N/A,#N/A,FALSE,"Tabl. A2";#N/A,#N/A,FALSE,"Tabl. A2-1";#N/A,#N/A,FALSE,"Tabl. A2-2"}</definedName>
    <definedName name="_tab98" localSheetId="22" hidden="1">{#N/A,#N/A,FALSE,"Tabl. A1";#N/A,#N/A,FALSE,"Tabl. A1 b";#N/A,#N/A,FALSE,"Tabl. A2";#N/A,#N/A,FALSE,"Tabl. A2-1";#N/A,#N/A,FALSE,"Tabl. A2-2"}</definedName>
    <definedName name="_tab98" localSheetId="23" hidden="1">{#N/A,#N/A,FALSE,"Tabl. A1";#N/A,#N/A,FALSE,"Tabl. A1 b";#N/A,#N/A,FALSE,"Tabl. A2";#N/A,#N/A,FALSE,"Tabl. A2-1";#N/A,#N/A,FALSE,"Tabl. A2-2"}</definedName>
    <definedName name="_tab98" localSheetId="24" hidden="1">{#N/A,#N/A,FALSE,"Tabl. A1";#N/A,#N/A,FALSE,"Tabl. A1 b";#N/A,#N/A,FALSE,"Tabl. A2";#N/A,#N/A,FALSE,"Tabl. A2-1";#N/A,#N/A,FALSE,"Tabl. A2-2"}</definedName>
    <definedName name="_tab98" localSheetId="25" hidden="1">{#N/A,#N/A,FALSE,"Tabl. A1";#N/A,#N/A,FALSE,"Tabl. A1 b";#N/A,#N/A,FALSE,"Tabl. A2";#N/A,#N/A,FALSE,"Tabl. A2-1";#N/A,#N/A,FALSE,"Tabl. A2-2"}</definedName>
    <definedName name="_tab98" localSheetId="26" hidden="1">{#N/A,#N/A,FALSE,"Tabl. A1";#N/A,#N/A,FALSE,"Tabl. A1 b";#N/A,#N/A,FALSE,"Tabl. A2";#N/A,#N/A,FALSE,"Tabl. A2-1";#N/A,#N/A,FALSE,"Tabl. A2-2"}</definedName>
    <definedName name="_tab98" localSheetId="27" hidden="1">{#N/A,#N/A,FALSE,"Tabl. A1";#N/A,#N/A,FALSE,"Tabl. A1 b";#N/A,#N/A,FALSE,"Tabl. A2";#N/A,#N/A,FALSE,"Tabl. A2-1";#N/A,#N/A,FALSE,"Tabl. A2-2"}</definedName>
    <definedName name="_tab98" localSheetId="28" hidden="1">{#N/A,#N/A,FALSE,"Tabl. A1";#N/A,#N/A,FALSE,"Tabl. A1 b";#N/A,#N/A,FALSE,"Tabl. A2";#N/A,#N/A,FALSE,"Tabl. A2-1";#N/A,#N/A,FALSE,"Tabl. A2-2"}</definedName>
    <definedName name="_tab98" localSheetId="29" hidden="1">{#N/A,#N/A,FALSE,"Tabl. A1";#N/A,#N/A,FALSE,"Tabl. A1 b";#N/A,#N/A,FALSE,"Tabl. A2";#N/A,#N/A,FALSE,"Tabl. A2-1";#N/A,#N/A,FALSE,"Tabl. A2-2"}</definedName>
    <definedName name="_tab98" localSheetId="30" hidden="1">{#N/A,#N/A,FALSE,"Tabl. A1";#N/A,#N/A,FALSE,"Tabl. A1 b";#N/A,#N/A,FALSE,"Tabl. A2";#N/A,#N/A,FALSE,"Tabl. A2-1";#N/A,#N/A,FALSE,"Tabl. A2-2"}</definedName>
    <definedName name="_tab98" localSheetId="31" hidden="1">{#N/A,#N/A,FALSE,"Tabl. A1";#N/A,#N/A,FALSE,"Tabl. A1 b";#N/A,#N/A,FALSE,"Tabl. A2";#N/A,#N/A,FALSE,"Tabl. A2-1";#N/A,#N/A,FALSE,"Tabl. A2-2"}</definedName>
    <definedName name="_tab98" localSheetId="32" hidden="1">{#N/A,#N/A,FALSE,"Tabl. A1";#N/A,#N/A,FALSE,"Tabl. A1 b";#N/A,#N/A,FALSE,"Tabl. A2";#N/A,#N/A,FALSE,"Tabl. A2-1";#N/A,#N/A,FALSE,"Tabl. A2-2"}</definedName>
    <definedName name="_tab98" hidden="1">{#N/A,#N/A,FALSE,"Tabl. A1";#N/A,#N/A,FALSE,"Tabl. A1 b";#N/A,#N/A,FALSE,"Tabl. A2";#N/A,#N/A,FALSE,"Tabl. A2-1";#N/A,#N/A,FALSE,"Tabl. A2-2"}</definedName>
    <definedName name="_tab987" localSheetId="3" hidden="1">{#N/A,#N/A,FALSE,"Tabl. G1";#N/A,#N/A,FALSE,"Tabl. G2"}</definedName>
    <definedName name="_tab987" localSheetId="5" hidden="1">{#N/A,#N/A,FALSE,"Tabl. G1";#N/A,#N/A,FALSE,"Tabl. G2"}</definedName>
    <definedName name="_tab987" localSheetId="6" hidden="1">{#N/A,#N/A,FALSE,"Tabl. G1";#N/A,#N/A,FALSE,"Tabl. G2"}</definedName>
    <definedName name="_tab987" localSheetId="7" hidden="1">{#N/A,#N/A,FALSE,"Tabl. G1";#N/A,#N/A,FALSE,"Tabl. G2"}</definedName>
    <definedName name="_tab987" localSheetId="9" hidden="1">{#N/A,#N/A,FALSE,"Tabl. G1";#N/A,#N/A,FALSE,"Tabl. G2"}</definedName>
    <definedName name="_tab987" localSheetId="10" hidden="1">{#N/A,#N/A,FALSE,"Tabl. G1";#N/A,#N/A,FALSE,"Tabl. G2"}</definedName>
    <definedName name="_tab987" localSheetId="11" hidden="1">{#N/A,#N/A,FALSE,"Tabl. G1";#N/A,#N/A,FALSE,"Tabl. G2"}</definedName>
    <definedName name="_tab987" localSheetId="12" hidden="1">{#N/A,#N/A,FALSE,"Tabl. G1";#N/A,#N/A,FALSE,"Tabl. G2"}</definedName>
    <definedName name="_tab987" localSheetId="13" hidden="1">{#N/A,#N/A,FALSE,"Tabl. G1";#N/A,#N/A,FALSE,"Tabl. G2"}</definedName>
    <definedName name="_tab987" localSheetId="14" hidden="1">{#N/A,#N/A,FALSE,"Tabl. G1";#N/A,#N/A,FALSE,"Tabl. G2"}</definedName>
    <definedName name="_tab987" localSheetId="15" hidden="1">{#N/A,#N/A,FALSE,"Tabl. G1";#N/A,#N/A,FALSE,"Tabl. G2"}</definedName>
    <definedName name="_tab987" localSheetId="20" hidden="1">{#N/A,#N/A,FALSE,"Tabl. G1";#N/A,#N/A,FALSE,"Tabl. G2"}</definedName>
    <definedName name="_tab987" localSheetId="21" hidden="1">{#N/A,#N/A,FALSE,"Tabl. G1";#N/A,#N/A,FALSE,"Tabl. G2"}</definedName>
    <definedName name="_tab987" localSheetId="22" hidden="1">{#N/A,#N/A,FALSE,"Tabl. G1";#N/A,#N/A,FALSE,"Tabl. G2"}</definedName>
    <definedName name="_tab987" localSheetId="23" hidden="1">{#N/A,#N/A,FALSE,"Tabl. G1";#N/A,#N/A,FALSE,"Tabl. G2"}</definedName>
    <definedName name="_tab987" localSheetId="24" hidden="1">{#N/A,#N/A,FALSE,"Tabl. G1";#N/A,#N/A,FALSE,"Tabl. G2"}</definedName>
    <definedName name="_tab987" localSheetId="25" hidden="1">{#N/A,#N/A,FALSE,"Tabl. G1";#N/A,#N/A,FALSE,"Tabl. G2"}</definedName>
    <definedName name="_tab987" localSheetId="26" hidden="1">{#N/A,#N/A,FALSE,"Tabl. G1";#N/A,#N/A,FALSE,"Tabl. G2"}</definedName>
    <definedName name="_tab987" localSheetId="27" hidden="1">{#N/A,#N/A,FALSE,"Tabl. G1";#N/A,#N/A,FALSE,"Tabl. G2"}</definedName>
    <definedName name="_tab987" localSheetId="28" hidden="1">{#N/A,#N/A,FALSE,"Tabl. G1";#N/A,#N/A,FALSE,"Tabl. G2"}</definedName>
    <definedName name="_tab987" localSheetId="29" hidden="1">{#N/A,#N/A,FALSE,"Tabl. G1";#N/A,#N/A,FALSE,"Tabl. G2"}</definedName>
    <definedName name="_tab987" localSheetId="30" hidden="1">{#N/A,#N/A,FALSE,"Tabl. G1";#N/A,#N/A,FALSE,"Tabl. G2"}</definedName>
    <definedName name="_tab987" localSheetId="31" hidden="1">{#N/A,#N/A,FALSE,"Tabl. G1";#N/A,#N/A,FALSE,"Tabl. G2"}</definedName>
    <definedName name="_tab987" localSheetId="32" hidden="1">{#N/A,#N/A,FALSE,"Tabl. G1";#N/A,#N/A,FALSE,"Tabl. G2"}</definedName>
    <definedName name="_tab987" hidden="1">{#N/A,#N/A,FALSE,"Tabl. G1";#N/A,#N/A,FALSE,"Tabl. G2"}</definedName>
    <definedName name="_x1" localSheetId="3" hidden="1">{#N/A,#N/A,FALSE,"SGP";#N/A,#N/A,FALSE,"SGI";#N/A,#N/A,FALSE,"SGC";#N/A,#N/A,FALSE,"SGS";#N/A,#N/A,FALSE,"SGB"}</definedName>
    <definedName name="_x1" localSheetId="5" hidden="1">{#N/A,#N/A,FALSE,"SGP";#N/A,#N/A,FALSE,"SGI";#N/A,#N/A,FALSE,"SGC";#N/A,#N/A,FALSE,"SGS";#N/A,#N/A,FALSE,"SGB"}</definedName>
    <definedName name="_x1" localSheetId="6" hidden="1">{#N/A,#N/A,FALSE,"SGP";#N/A,#N/A,FALSE,"SGI";#N/A,#N/A,FALSE,"SGC";#N/A,#N/A,FALSE,"SGS";#N/A,#N/A,FALSE,"SGB"}</definedName>
    <definedName name="_x1" localSheetId="7" hidden="1">{#N/A,#N/A,FALSE,"SGP";#N/A,#N/A,FALSE,"SGI";#N/A,#N/A,FALSE,"SGC";#N/A,#N/A,FALSE,"SGS";#N/A,#N/A,FALSE,"SGB"}</definedName>
    <definedName name="_x1" localSheetId="9" hidden="1">{#N/A,#N/A,FALSE,"SGP";#N/A,#N/A,FALSE,"SGI";#N/A,#N/A,FALSE,"SGC";#N/A,#N/A,FALSE,"SGS";#N/A,#N/A,FALSE,"SGB"}</definedName>
    <definedName name="_x1" localSheetId="10" hidden="1">{#N/A,#N/A,FALSE,"SGP";#N/A,#N/A,FALSE,"SGI";#N/A,#N/A,FALSE,"SGC";#N/A,#N/A,FALSE,"SGS";#N/A,#N/A,FALSE,"SGB"}</definedName>
    <definedName name="_x1" localSheetId="11" hidden="1">{#N/A,#N/A,FALSE,"SGP";#N/A,#N/A,FALSE,"SGI";#N/A,#N/A,FALSE,"SGC";#N/A,#N/A,FALSE,"SGS";#N/A,#N/A,FALSE,"SGB"}</definedName>
    <definedName name="_x1" localSheetId="12" hidden="1">{#N/A,#N/A,FALSE,"SGP";#N/A,#N/A,FALSE,"SGI";#N/A,#N/A,FALSE,"SGC";#N/A,#N/A,FALSE,"SGS";#N/A,#N/A,FALSE,"SGB"}</definedName>
    <definedName name="_x1" localSheetId="13" hidden="1">{#N/A,#N/A,FALSE,"SGP";#N/A,#N/A,FALSE,"SGI";#N/A,#N/A,FALSE,"SGC";#N/A,#N/A,FALSE,"SGS";#N/A,#N/A,FALSE,"SGB"}</definedName>
    <definedName name="_x1" localSheetId="14" hidden="1">{#N/A,#N/A,FALSE,"SGP";#N/A,#N/A,FALSE,"SGI";#N/A,#N/A,FALSE,"SGC";#N/A,#N/A,FALSE,"SGS";#N/A,#N/A,FALSE,"SGB"}</definedName>
    <definedName name="_x1" localSheetId="15" hidden="1">{#N/A,#N/A,FALSE,"SGP";#N/A,#N/A,FALSE,"SGI";#N/A,#N/A,FALSE,"SGC";#N/A,#N/A,FALSE,"SGS";#N/A,#N/A,FALSE,"SGB"}</definedName>
    <definedName name="_x1" localSheetId="20" hidden="1">{#N/A,#N/A,FALSE,"SGP";#N/A,#N/A,FALSE,"SGI";#N/A,#N/A,FALSE,"SGC";#N/A,#N/A,FALSE,"SGS";#N/A,#N/A,FALSE,"SGB"}</definedName>
    <definedName name="_x1" localSheetId="21" hidden="1">{#N/A,#N/A,FALSE,"SGP";#N/A,#N/A,FALSE,"SGI";#N/A,#N/A,FALSE,"SGC";#N/A,#N/A,FALSE,"SGS";#N/A,#N/A,FALSE,"SGB"}</definedName>
    <definedName name="_x1" localSheetId="22" hidden="1">{#N/A,#N/A,FALSE,"SGP";#N/A,#N/A,FALSE,"SGI";#N/A,#N/A,FALSE,"SGC";#N/A,#N/A,FALSE,"SGS";#N/A,#N/A,FALSE,"SGB"}</definedName>
    <definedName name="_x1" localSheetId="23" hidden="1">{#N/A,#N/A,FALSE,"SGP";#N/A,#N/A,FALSE,"SGI";#N/A,#N/A,FALSE,"SGC";#N/A,#N/A,FALSE,"SGS";#N/A,#N/A,FALSE,"SGB"}</definedName>
    <definedName name="_x1" localSheetId="24" hidden="1">{#N/A,#N/A,FALSE,"SGP";#N/A,#N/A,FALSE,"SGI";#N/A,#N/A,FALSE,"SGC";#N/A,#N/A,FALSE,"SGS";#N/A,#N/A,FALSE,"SGB"}</definedName>
    <definedName name="_x1" localSheetId="25" hidden="1">{#N/A,#N/A,FALSE,"SGP";#N/A,#N/A,FALSE,"SGI";#N/A,#N/A,FALSE,"SGC";#N/A,#N/A,FALSE,"SGS";#N/A,#N/A,FALSE,"SGB"}</definedName>
    <definedName name="_x1" localSheetId="26" hidden="1">{#N/A,#N/A,FALSE,"SGP";#N/A,#N/A,FALSE,"SGI";#N/A,#N/A,FALSE,"SGC";#N/A,#N/A,FALSE,"SGS";#N/A,#N/A,FALSE,"SGB"}</definedName>
    <definedName name="_x1" localSheetId="27" hidden="1">{#N/A,#N/A,FALSE,"SGP";#N/A,#N/A,FALSE,"SGI";#N/A,#N/A,FALSE,"SGC";#N/A,#N/A,FALSE,"SGS";#N/A,#N/A,FALSE,"SGB"}</definedName>
    <definedName name="_x1" localSheetId="28" hidden="1">{#N/A,#N/A,FALSE,"SGP";#N/A,#N/A,FALSE,"SGI";#N/A,#N/A,FALSE,"SGC";#N/A,#N/A,FALSE,"SGS";#N/A,#N/A,FALSE,"SGB"}</definedName>
    <definedName name="_x1" localSheetId="29" hidden="1">{#N/A,#N/A,FALSE,"SGP";#N/A,#N/A,FALSE,"SGI";#N/A,#N/A,FALSE,"SGC";#N/A,#N/A,FALSE,"SGS";#N/A,#N/A,FALSE,"SGB"}</definedName>
    <definedName name="_x1" localSheetId="30" hidden="1">{#N/A,#N/A,FALSE,"SGP";#N/A,#N/A,FALSE,"SGI";#N/A,#N/A,FALSE,"SGC";#N/A,#N/A,FALSE,"SGS";#N/A,#N/A,FALSE,"SGB"}</definedName>
    <definedName name="_x1" localSheetId="31" hidden="1">{#N/A,#N/A,FALSE,"SGP";#N/A,#N/A,FALSE,"SGI";#N/A,#N/A,FALSE,"SGC";#N/A,#N/A,FALSE,"SGS";#N/A,#N/A,FALSE,"SGB"}</definedName>
    <definedName name="_x1" localSheetId="32" hidden="1">{#N/A,#N/A,FALSE,"SGP";#N/A,#N/A,FALSE,"SGI";#N/A,#N/A,FALSE,"SGC";#N/A,#N/A,FALSE,"SGS";#N/A,#N/A,FALSE,"SGB"}</definedName>
    <definedName name="_x1" hidden="1">{#N/A,#N/A,FALSE,"SGP";#N/A,#N/A,FALSE,"SGI";#N/A,#N/A,FALSE,"SGC";#N/A,#N/A,FALSE,"SGS";#N/A,#N/A,FALSE,"SGB"}</definedName>
    <definedName name="_x2" localSheetId="3" hidden="1">{#N/A,#N/A,FALSE,"SGP";#N/A,#N/A,FALSE,"SGI";#N/A,#N/A,FALSE,"SGC";#N/A,#N/A,FALSE,"SGS";#N/A,#N/A,FALSE,"SGB"}</definedName>
    <definedName name="_x2" localSheetId="5" hidden="1">{#N/A,#N/A,FALSE,"SGP";#N/A,#N/A,FALSE,"SGI";#N/A,#N/A,FALSE,"SGC";#N/A,#N/A,FALSE,"SGS";#N/A,#N/A,FALSE,"SGB"}</definedName>
    <definedName name="_x2" localSheetId="6" hidden="1">{#N/A,#N/A,FALSE,"SGP";#N/A,#N/A,FALSE,"SGI";#N/A,#N/A,FALSE,"SGC";#N/A,#N/A,FALSE,"SGS";#N/A,#N/A,FALSE,"SGB"}</definedName>
    <definedName name="_x2" localSheetId="7" hidden="1">{#N/A,#N/A,FALSE,"SGP";#N/A,#N/A,FALSE,"SGI";#N/A,#N/A,FALSE,"SGC";#N/A,#N/A,FALSE,"SGS";#N/A,#N/A,FALSE,"SGB"}</definedName>
    <definedName name="_x2" localSheetId="9" hidden="1">{#N/A,#N/A,FALSE,"SGP";#N/A,#N/A,FALSE,"SGI";#N/A,#N/A,FALSE,"SGC";#N/A,#N/A,FALSE,"SGS";#N/A,#N/A,FALSE,"SGB"}</definedName>
    <definedName name="_x2" localSheetId="10" hidden="1">{#N/A,#N/A,FALSE,"SGP";#N/A,#N/A,FALSE,"SGI";#N/A,#N/A,FALSE,"SGC";#N/A,#N/A,FALSE,"SGS";#N/A,#N/A,FALSE,"SGB"}</definedName>
    <definedName name="_x2" localSheetId="11" hidden="1">{#N/A,#N/A,FALSE,"SGP";#N/A,#N/A,FALSE,"SGI";#N/A,#N/A,FALSE,"SGC";#N/A,#N/A,FALSE,"SGS";#N/A,#N/A,FALSE,"SGB"}</definedName>
    <definedName name="_x2" localSheetId="12" hidden="1">{#N/A,#N/A,FALSE,"SGP";#N/A,#N/A,FALSE,"SGI";#N/A,#N/A,FALSE,"SGC";#N/A,#N/A,FALSE,"SGS";#N/A,#N/A,FALSE,"SGB"}</definedName>
    <definedName name="_x2" localSheetId="13" hidden="1">{#N/A,#N/A,FALSE,"SGP";#N/A,#N/A,FALSE,"SGI";#N/A,#N/A,FALSE,"SGC";#N/A,#N/A,FALSE,"SGS";#N/A,#N/A,FALSE,"SGB"}</definedName>
    <definedName name="_x2" localSheetId="14" hidden="1">{#N/A,#N/A,FALSE,"SGP";#N/A,#N/A,FALSE,"SGI";#N/A,#N/A,FALSE,"SGC";#N/A,#N/A,FALSE,"SGS";#N/A,#N/A,FALSE,"SGB"}</definedName>
    <definedName name="_x2" localSheetId="15" hidden="1">{#N/A,#N/A,FALSE,"SGP";#N/A,#N/A,FALSE,"SGI";#N/A,#N/A,FALSE,"SGC";#N/A,#N/A,FALSE,"SGS";#N/A,#N/A,FALSE,"SGB"}</definedName>
    <definedName name="_x2" localSheetId="20" hidden="1">{#N/A,#N/A,FALSE,"SGP";#N/A,#N/A,FALSE,"SGI";#N/A,#N/A,FALSE,"SGC";#N/A,#N/A,FALSE,"SGS";#N/A,#N/A,FALSE,"SGB"}</definedName>
    <definedName name="_x2" localSheetId="21" hidden="1">{#N/A,#N/A,FALSE,"SGP";#N/A,#N/A,FALSE,"SGI";#N/A,#N/A,FALSE,"SGC";#N/A,#N/A,FALSE,"SGS";#N/A,#N/A,FALSE,"SGB"}</definedName>
    <definedName name="_x2" localSheetId="22" hidden="1">{#N/A,#N/A,FALSE,"SGP";#N/A,#N/A,FALSE,"SGI";#N/A,#N/A,FALSE,"SGC";#N/A,#N/A,FALSE,"SGS";#N/A,#N/A,FALSE,"SGB"}</definedName>
    <definedName name="_x2" localSheetId="23" hidden="1">{#N/A,#N/A,FALSE,"SGP";#N/A,#N/A,FALSE,"SGI";#N/A,#N/A,FALSE,"SGC";#N/A,#N/A,FALSE,"SGS";#N/A,#N/A,FALSE,"SGB"}</definedName>
    <definedName name="_x2" localSheetId="24" hidden="1">{#N/A,#N/A,FALSE,"SGP";#N/A,#N/A,FALSE,"SGI";#N/A,#N/A,FALSE,"SGC";#N/A,#N/A,FALSE,"SGS";#N/A,#N/A,FALSE,"SGB"}</definedName>
    <definedName name="_x2" localSheetId="25" hidden="1">{#N/A,#N/A,FALSE,"SGP";#N/A,#N/A,FALSE,"SGI";#N/A,#N/A,FALSE,"SGC";#N/A,#N/A,FALSE,"SGS";#N/A,#N/A,FALSE,"SGB"}</definedName>
    <definedName name="_x2" localSheetId="26" hidden="1">{#N/A,#N/A,FALSE,"SGP";#N/A,#N/A,FALSE,"SGI";#N/A,#N/A,FALSE,"SGC";#N/A,#N/A,FALSE,"SGS";#N/A,#N/A,FALSE,"SGB"}</definedName>
    <definedName name="_x2" localSheetId="27" hidden="1">{#N/A,#N/A,FALSE,"SGP";#N/A,#N/A,FALSE,"SGI";#N/A,#N/A,FALSE,"SGC";#N/A,#N/A,FALSE,"SGS";#N/A,#N/A,FALSE,"SGB"}</definedName>
    <definedName name="_x2" localSheetId="28" hidden="1">{#N/A,#N/A,FALSE,"SGP";#N/A,#N/A,FALSE,"SGI";#N/A,#N/A,FALSE,"SGC";#N/A,#N/A,FALSE,"SGS";#N/A,#N/A,FALSE,"SGB"}</definedName>
    <definedName name="_x2" localSheetId="29" hidden="1">{#N/A,#N/A,FALSE,"SGP";#N/A,#N/A,FALSE,"SGI";#N/A,#N/A,FALSE,"SGC";#N/A,#N/A,FALSE,"SGS";#N/A,#N/A,FALSE,"SGB"}</definedName>
    <definedName name="_x2" localSheetId="30" hidden="1">{#N/A,#N/A,FALSE,"SGP";#N/A,#N/A,FALSE,"SGI";#N/A,#N/A,FALSE,"SGC";#N/A,#N/A,FALSE,"SGS";#N/A,#N/A,FALSE,"SGB"}</definedName>
    <definedName name="_x2" localSheetId="31" hidden="1">{#N/A,#N/A,FALSE,"SGP";#N/A,#N/A,FALSE,"SGI";#N/A,#N/A,FALSE,"SGC";#N/A,#N/A,FALSE,"SGS";#N/A,#N/A,FALSE,"SGB"}</definedName>
    <definedName name="_x2" localSheetId="32" hidden="1">{#N/A,#N/A,FALSE,"SGP";#N/A,#N/A,FALSE,"SGI";#N/A,#N/A,FALSE,"SGC";#N/A,#N/A,FALSE,"SGS";#N/A,#N/A,FALSE,"SGB"}</definedName>
    <definedName name="_x2" hidden="1">{#N/A,#N/A,FALSE,"SGP";#N/A,#N/A,FALSE,"SGI";#N/A,#N/A,FALSE,"SGC";#N/A,#N/A,FALSE,"SGS";#N/A,#N/A,FALSE,"SGB"}</definedName>
    <definedName name="_xxxxxxxx" hidden="1">[1]COMPPROD!#REF!</definedName>
    <definedName name="a" localSheetId="3" hidden="1">{#N/A,#N/A,FALSE,"PREÇO.CPV.CA60";#N/A,#N/A,FALSE,"PREÇO.CPV.TREFILADOS";#N/A,#N/A,FALSE,"PREÇO.CPV.CA50";#N/A,#N/A,FALSE,"PREÇO.CPV.FM";#N/A,#N/A,FALSE,"PREÇO-FOB"}</definedName>
    <definedName name="a" localSheetId="5" hidden="1">{#N/A,#N/A,FALSE,"PREÇO.CPV.CA60";#N/A,#N/A,FALSE,"PREÇO.CPV.TREFILADOS";#N/A,#N/A,FALSE,"PREÇO.CPV.CA50";#N/A,#N/A,FALSE,"PREÇO.CPV.FM";#N/A,#N/A,FALSE,"PREÇO-FOB"}</definedName>
    <definedName name="a" localSheetId="6" hidden="1">{#N/A,#N/A,FALSE,"PREÇO.CPV.CA60";#N/A,#N/A,FALSE,"PREÇO.CPV.TREFILADOS";#N/A,#N/A,FALSE,"PREÇO.CPV.CA50";#N/A,#N/A,FALSE,"PREÇO.CPV.FM";#N/A,#N/A,FALSE,"PREÇO-FOB"}</definedName>
    <definedName name="a" localSheetId="7" hidden="1">{#N/A,#N/A,FALSE,"PREÇO.CPV.CA60";#N/A,#N/A,FALSE,"PREÇO.CPV.TREFILADOS";#N/A,#N/A,FALSE,"PREÇO.CPV.CA50";#N/A,#N/A,FALSE,"PREÇO.CPV.FM";#N/A,#N/A,FALSE,"PREÇO-FOB"}</definedName>
    <definedName name="a" localSheetId="9" hidden="1">{#N/A,#N/A,FALSE,"PREÇO.CPV.CA60";#N/A,#N/A,FALSE,"PREÇO.CPV.TREFILADOS";#N/A,#N/A,FALSE,"PREÇO.CPV.CA50";#N/A,#N/A,FALSE,"PREÇO.CPV.FM";#N/A,#N/A,FALSE,"PREÇO-FOB"}</definedName>
    <definedName name="a" localSheetId="10" hidden="1">{#N/A,#N/A,FALSE,"PREÇO.CPV.CA60";#N/A,#N/A,FALSE,"PREÇO.CPV.TREFILADOS";#N/A,#N/A,FALSE,"PREÇO.CPV.CA50";#N/A,#N/A,FALSE,"PREÇO.CPV.FM";#N/A,#N/A,FALSE,"PREÇO-FOB"}</definedName>
    <definedName name="a" localSheetId="11" hidden="1">{#N/A,#N/A,FALSE,"PREÇO.CPV.CA60";#N/A,#N/A,FALSE,"PREÇO.CPV.TREFILADOS";#N/A,#N/A,FALSE,"PREÇO.CPV.CA50";#N/A,#N/A,FALSE,"PREÇO.CPV.FM";#N/A,#N/A,FALSE,"PREÇO-FOB"}</definedName>
    <definedName name="a" localSheetId="12" hidden="1">{#N/A,#N/A,FALSE,"PREÇO.CPV.CA60";#N/A,#N/A,FALSE,"PREÇO.CPV.TREFILADOS";#N/A,#N/A,FALSE,"PREÇO.CPV.CA50";#N/A,#N/A,FALSE,"PREÇO.CPV.FM";#N/A,#N/A,FALSE,"PREÇO-FOB"}</definedName>
    <definedName name="a" localSheetId="13" hidden="1">{#N/A,#N/A,FALSE,"PREÇO.CPV.CA60";#N/A,#N/A,FALSE,"PREÇO.CPV.TREFILADOS";#N/A,#N/A,FALSE,"PREÇO.CPV.CA50";#N/A,#N/A,FALSE,"PREÇO.CPV.FM";#N/A,#N/A,FALSE,"PREÇO-FOB"}</definedName>
    <definedName name="a" localSheetId="14" hidden="1">{#N/A,#N/A,FALSE,"PREÇO.CPV.CA60";#N/A,#N/A,FALSE,"PREÇO.CPV.TREFILADOS";#N/A,#N/A,FALSE,"PREÇO.CPV.CA50";#N/A,#N/A,FALSE,"PREÇO.CPV.FM";#N/A,#N/A,FALSE,"PREÇO-FOB"}</definedName>
    <definedName name="a" localSheetId="15" hidden="1">{#N/A,#N/A,FALSE,"PREÇO.CPV.CA60";#N/A,#N/A,FALSE,"PREÇO.CPV.TREFILADOS";#N/A,#N/A,FALSE,"PREÇO.CPV.CA50";#N/A,#N/A,FALSE,"PREÇO.CPV.FM";#N/A,#N/A,FALSE,"PREÇO-FOB"}</definedName>
    <definedName name="a" localSheetId="20" hidden="1">{#N/A,#N/A,FALSE,"PREÇO.CPV.CA60";#N/A,#N/A,FALSE,"PREÇO.CPV.TREFILADOS";#N/A,#N/A,FALSE,"PREÇO.CPV.CA50";#N/A,#N/A,FALSE,"PREÇO.CPV.FM";#N/A,#N/A,FALSE,"PREÇO-FOB"}</definedName>
    <definedName name="a" localSheetId="21" hidden="1">{#N/A,#N/A,FALSE,"PREÇO.CPV.CA60";#N/A,#N/A,FALSE,"PREÇO.CPV.TREFILADOS";#N/A,#N/A,FALSE,"PREÇO.CPV.CA50";#N/A,#N/A,FALSE,"PREÇO.CPV.FM";#N/A,#N/A,FALSE,"PREÇO-FOB"}</definedName>
    <definedName name="a" localSheetId="22" hidden="1">{#N/A,#N/A,FALSE,"PREÇO.CPV.CA60";#N/A,#N/A,FALSE,"PREÇO.CPV.TREFILADOS";#N/A,#N/A,FALSE,"PREÇO.CPV.CA50";#N/A,#N/A,FALSE,"PREÇO.CPV.FM";#N/A,#N/A,FALSE,"PREÇO-FOB"}</definedName>
    <definedName name="a" localSheetId="23" hidden="1">{#N/A,#N/A,FALSE,"PREÇO.CPV.CA60";#N/A,#N/A,FALSE,"PREÇO.CPV.TREFILADOS";#N/A,#N/A,FALSE,"PREÇO.CPV.CA50";#N/A,#N/A,FALSE,"PREÇO.CPV.FM";#N/A,#N/A,FALSE,"PREÇO-FOB"}</definedName>
    <definedName name="a" localSheetId="24" hidden="1">{#N/A,#N/A,FALSE,"PREÇO.CPV.CA60";#N/A,#N/A,FALSE,"PREÇO.CPV.TREFILADOS";#N/A,#N/A,FALSE,"PREÇO.CPV.CA50";#N/A,#N/A,FALSE,"PREÇO.CPV.FM";#N/A,#N/A,FALSE,"PREÇO-FOB"}</definedName>
    <definedName name="a" localSheetId="25" hidden="1">{#N/A,#N/A,FALSE,"PREÇO.CPV.CA60";#N/A,#N/A,FALSE,"PREÇO.CPV.TREFILADOS";#N/A,#N/A,FALSE,"PREÇO.CPV.CA50";#N/A,#N/A,FALSE,"PREÇO.CPV.FM";#N/A,#N/A,FALSE,"PREÇO-FOB"}</definedName>
    <definedName name="a" localSheetId="26" hidden="1">{#N/A,#N/A,FALSE,"PREÇO.CPV.CA60";#N/A,#N/A,FALSE,"PREÇO.CPV.TREFILADOS";#N/A,#N/A,FALSE,"PREÇO.CPV.CA50";#N/A,#N/A,FALSE,"PREÇO.CPV.FM";#N/A,#N/A,FALSE,"PREÇO-FOB"}</definedName>
    <definedName name="a" localSheetId="27" hidden="1">{#N/A,#N/A,FALSE,"PREÇO.CPV.CA60";#N/A,#N/A,FALSE,"PREÇO.CPV.TREFILADOS";#N/A,#N/A,FALSE,"PREÇO.CPV.CA50";#N/A,#N/A,FALSE,"PREÇO.CPV.FM";#N/A,#N/A,FALSE,"PREÇO-FOB"}</definedName>
    <definedName name="a" localSheetId="28" hidden="1">{#N/A,#N/A,FALSE,"PREÇO.CPV.CA60";#N/A,#N/A,FALSE,"PREÇO.CPV.TREFILADOS";#N/A,#N/A,FALSE,"PREÇO.CPV.CA50";#N/A,#N/A,FALSE,"PREÇO.CPV.FM";#N/A,#N/A,FALSE,"PREÇO-FOB"}</definedName>
    <definedName name="a" localSheetId="29" hidden="1">{#N/A,#N/A,FALSE,"PREÇO.CPV.CA60";#N/A,#N/A,FALSE,"PREÇO.CPV.TREFILADOS";#N/A,#N/A,FALSE,"PREÇO.CPV.CA50";#N/A,#N/A,FALSE,"PREÇO.CPV.FM";#N/A,#N/A,FALSE,"PREÇO-FOB"}</definedName>
    <definedName name="a" localSheetId="30" hidden="1">{#N/A,#N/A,FALSE,"PREÇO.CPV.CA60";#N/A,#N/A,FALSE,"PREÇO.CPV.TREFILADOS";#N/A,#N/A,FALSE,"PREÇO.CPV.CA50";#N/A,#N/A,FALSE,"PREÇO.CPV.FM";#N/A,#N/A,FALSE,"PREÇO-FOB"}</definedName>
    <definedName name="a" localSheetId="31" hidden="1">{#N/A,#N/A,FALSE,"PREÇO.CPV.CA60";#N/A,#N/A,FALSE,"PREÇO.CPV.TREFILADOS";#N/A,#N/A,FALSE,"PREÇO.CPV.CA50";#N/A,#N/A,FALSE,"PREÇO.CPV.FM";#N/A,#N/A,FALSE,"PREÇO-FOB"}</definedName>
    <definedName name="a" localSheetId="32" hidden="1">{#N/A,#N/A,FALSE,"PREÇO.CPV.CA60";#N/A,#N/A,FALSE,"PREÇO.CPV.TREFILADOS";#N/A,#N/A,FALSE,"PREÇO.CPV.CA50";#N/A,#N/A,FALSE,"PREÇO.CPV.FM";#N/A,#N/A,FALSE,"PREÇO-FOB"}</definedName>
    <definedName name="a" hidden="1">{#N/A,#N/A,FALSE,"PREÇO.CPV.CA60";#N/A,#N/A,FALSE,"PREÇO.CPV.TREFILADOS";#N/A,#N/A,FALSE,"PREÇO.CPV.CA50";#N/A,#N/A,FALSE,"PREÇO.CPV.FM";#N/A,#N/A,FALSE,"PREÇO-FOB"}</definedName>
    <definedName name="aaa" localSheetId="3" hidden="1">{"'RR'!$A$2:$E$81"}</definedName>
    <definedName name="aaa" localSheetId="5" hidden="1">{"'RR'!$A$2:$E$81"}</definedName>
    <definedName name="aaa" localSheetId="6" hidden="1">{"'RR'!$A$2:$E$81"}</definedName>
    <definedName name="aaa" localSheetId="7" hidden="1">{"'RR'!$A$2:$E$81"}</definedName>
    <definedName name="aaa" localSheetId="9" hidden="1">{"'RR'!$A$2:$E$81"}</definedName>
    <definedName name="aaa" localSheetId="10" hidden="1">{"'RR'!$A$2:$E$81"}</definedName>
    <definedName name="aaa" localSheetId="11" hidden="1">{"'RR'!$A$2:$E$81"}</definedName>
    <definedName name="aaa" localSheetId="12" hidden="1">{"'RR'!$A$2:$E$81"}</definedName>
    <definedName name="aaa" localSheetId="13" hidden="1">{"'RR'!$A$2:$E$81"}</definedName>
    <definedName name="aaa" localSheetId="14" hidden="1">{"'RR'!$A$2:$E$81"}</definedName>
    <definedName name="aaa" localSheetId="15" hidden="1">{"'RR'!$A$2:$E$81"}</definedName>
    <definedName name="aaa" localSheetId="20" hidden="1">{"'RR'!$A$2:$E$81"}</definedName>
    <definedName name="aaa" localSheetId="21" hidden="1">{"'RR'!$A$2:$E$81"}</definedName>
    <definedName name="aaa" localSheetId="22" hidden="1">{"'RR'!$A$2:$E$81"}</definedName>
    <definedName name="aaa" localSheetId="23" hidden="1">{"'RR'!$A$2:$E$81"}</definedName>
    <definedName name="aaa" localSheetId="24" hidden="1">{"'RR'!$A$2:$E$81"}</definedName>
    <definedName name="aaa" localSheetId="25" hidden="1">{"'RR'!$A$2:$E$81"}</definedName>
    <definedName name="aaa" localSheetId="26" hidden="1">{"'RR'!$A$2:$E$81"}</definedName>
    <definedName name="aaa" localSheetId="27" hidden="1">{"'RR'!$A$2:$E$81"}</definedName>
    <definedName name="aaa" localSheetId="28" hidden="1">{"'RR'!$A$2:$E$81"}</definedName>
    <definedName name="aaa" localSheetId="29" hidden="1">{"'RR'!$A$2:$E$81"}</definedName>
    <definedName name="aaa" localSheetId="30" hidden="1">{"'RR'!$A$2:$E$81"}</definedName>
    <definedName name="aaa" localSheetId="31" hidden="1">{"'RR'!$A$2:$E$81"}</definedName>
    <definedName name="aaa" localSheetId="32" hidden="1">{"'RR'!$A$2:$E$81"}</definedName>
    <definedName name="aaa" hidden="1">{"'RR'!$A$2:$E$81"}</definedName>
    <definedName name="aaqa" localSheetId="3" hidden="1">{#N/A,#N/A,FALSE,"PREÇO.CPV.CA60";#N/A,#N/A,FALSE,"PREÇO.CPV.TREFILADOS";#N/A,#N/A,FALSE,"PREÇO.CPV.CA50";#N/A,#N/A,FALSE,"PREÇO.CPV.FM";#N/A,#N/A,FALSE,"PREÇO-FOB"}</definedName>
    <definedName name="aaqa" localSheetId="5" hidden="1">{#N/A,#N/A,FALSE,"PREÇO.CPV.CA60";#N/A,#N/A,FALSE,"PREÇO.CPV.TREFILADOS";#N/A,#N/A,FALSE,"PREÇO.CPV.CA50";#N/A,#N/A,FALSE,"PREÇO.CPV.FM";#N/A,#N/A,FALSE,"PREÇO-FOB"}</definedName>
    <definedName name="aaqa" localSheetId="6" hidden="1">{#N/A,#N/A,FALSE,"PREÇO.CPV.CA60";#N/A,#N/A,FALSE,"PREÇO.CPV.TREFILADOS";#N/A,#N/A,FALSE,"PREÇO.CPV.CA50";#N/A,#N/A,FALSE,"PREÇO.CPV.FM";#N/A,#N/A,FALSE,"PREÇO-FOB"}</definedName>
    <definedName name="aaqa" localSheetId="7" hidden="1">{#N/A,#N/A,FALSE,"PREÇO.CPV.CA60";#N/A,#N/A,FALSE,"PREÇO.CPV.TREFILADOS";#N/A,#N/A,FALSE,"PREÇO.CPV.CA50";#N/A,#N/A,FALSE,"PREÇO.CPV.FM";#N/A,#N/A,FALSE,"PREÇO-FOB"}</definedName>
    <definedName name="aaqa" localSheetId="9" hidden="1">{#N/A,#N/A,FALSE,"PREÇO.CPV.CA60";#N/A,#N/A,FALSE,"PREÇO.CPV.TREFILADOS";#N/A,#N/A,FALSE,"PREÇO.CPV.CA50";#N/A,#N/A,FALSE,"PREÇO.CPV.FM";#N/A,#N/A,FALSE,"PREÇO-FOB"}</definedName>
    <definedName name="aaqa" localSheetId="10" hidden="1">{#N/A,#N/A,FALSE,"PREÇO.CPV.CA60";#N/A,#N/A,FALSE,"PREÇO.CPV.TREFILADOS";#N/A,#N/A,FALSE,"PREÇO.CPV.CA50";#N/A,#N/A,FALSE,"PREÇO.CPV.FM";#N/A,#N/A,FALSE,"PREÇO-FOB"}</definedName>
    <definedName name="aaqa" localSheetId="11" hidden="1">{#N/A,#N/A,FALSE,"PREÇO.CPV.CA60";#N/A,#N/A,FALSE,"PREÇO.CPV.TREFILADOS";#N/A,#N/A,FALSE,"PREÇO.CPV.CA50";#N/A,#N/A,FALSE,"PREÇO.CPV.FM";#N/A,#N/A,FALSE,"PREÇO-FOB"}</definedName>
    <definedName name="aaqa" localSheetId="12" hidden="1">{#N/A,#N/A,FALSE,"PREÇO.CPV.CA60";#N/A,#N/A,FALSE,"PREÇO.CPV.TREFILADOS";#N/A,#N/A,FALSE,"PREÇO.CPV.CA50";#N/A,#N/A,FALSE,"PREÇO.CPV.FM";#N/A,#N/A,FALSE,"PREÇO-FOB"}</definedName>
    <definedName name="aaqa" localSheetId="13" hidden="1">{#N/A,#N/A,FALSE,"PREÇO.CPV.CA60";#N/A,#N/A,FALSE,"PREÇO.CPV.TREFILADOS";#N/A,#N/A,FALSE,"PREÇO.CPV.CA50";#N/A,#N/A,FALSE,"PREÇO.CPV.FM";#N/A,#N/A,FALSE,"PREÇO-FOB"}</definedName>
    <definedName name="aaqa" localSheetId="14" hidden="1">{#N/A,#N/A,FALSE,"PREÇO.CPV.CA60";#N/A,#N/A,FALSE,"PREÇO.CPV.TREFILADOS";#N/A,#N/A,FALSE,"PREÇO.CPV.CA50";#N/A,#N/A,FALSE,"PREÇO.CPV.FM";#N/A,#N/A,FALSE,"PREÇO-FOB"}</definedName>
    <definedName name="aaqa" localSheetId="15" hidden="1">{#N/A,#N/A,FALSE,"PREÇO.CPV.CA60";#N/A,#N/A,FALSE,"PREÇO.CPV.TREFILADOS";#N/A,#N/A,FALSE,"PREÇO.CPV.CA50";#N/A,#N/A,FALSE,"PREÇO.CPV.FM";#N/A,#N/A,FALSE,"PREÇO-FOB"}</definedName>
    <definedName name="aaqa" localSheetId="20" hidden="1">{#N/A,#N/A,FALSE,"PREÇO.CPV.CA60";#N/A,#N/A,FALSE,"PREÇO.CPV.TREFILADOS";#N/A,#N/A,FALSE,"PREÇO.CPV.CA50";#N/A,#N/A,FALSE,"PREÇO.CPV.FM";#N/A,#N/A,FALSE,"PREÇO-FOB"}</definedName>
    <definedName name="aaqa" localSheetId="21" hidden="1">{#N/A,#N/A,FALSE,"PREÇO.CPV.CA60";#N/A,#N/A,FALSE,"PREÇO.CPV.TREFILADOS";#N/A,#N/A,FALSE,"PREÇO.CPV.CA50";#N/A,#N/A,FALSE,"PREÇO.CPV.FM";#N/A,#N/A,FALSE,"PREÇO-FOB"}</definedName>
    <definedName name="aaqa" localSheetId="22" hidden="1">{#N/A,#N/A,FALSE,"PREÇO.CPV.CA60";#N/A,#N/A,FALSE,"PREÇO.CPV.TREFILADOS";#N/A,#N/A,FALSE,"PREÇO.CPV.CA50";#N/A,#N/A,FALSE,"PREÇO.CPV.FM";#N/A,#N/A,FALSE,"PREÇO-FOB"}</definedName>
    <definedName name="aaqa" localSheetId="23" hidden="1">{#N/A,#N/A,FALSE,"PREÇO.CPV.CA60";#N/A,#N/A,FALSE,"PREÇO.CPV.TREFILADOS";#N/A,#N/A,FALSE,"PREÇO.CPV.CA50";#N/A,#N/A,FALSE,"PREÇO.CPV.FM";#N/A,#N/A,FALSE,"PREÇO-FOB"}</definedName>
    <definedName name="aaqa" localSheetId="24" hidden="1">{#N/A,#N/A,FALSE,"PREÇO.CPV.CA60";#N/A,#N/A,FALSE,"PREÇO.CPV.TREFILADOS";#N/A,#N/A,FALSE,"PREÇO.CPV.CA50";#N/A,#N/A,FALSE,"PREÇO.CPV.FM";#N/A,#N/A,FALSE,"PREÇO-FOB"}</definedName>
    <definedName name="aaqa" localSheetId="25" hidden="1">{#N/A,#N/A,FALSE,"PREÇO.CPV.CA60";#N/A,#N/A,FALSE,"PREÇO.CPV.TREFILADOS";#N/A,#N/A,FALSE,"PREÇO.CPV.CA50";#N/A,#N/A,FALSE,"PREÇO.CPV.FM";#N/A,#N/A,FALSE,"PREÇO-FOB"}</definedName>
    <definedName name="aaqa" localSheetId="26" hidden="1">{#N/A,#N/A,FALSE,"PREÇO.CPV.CA60";#N/A,#N/A,FALSE,"PREÇO.CPV.TREFILADOS";#N/A,#N/A,FALSE,"PREÇO.CPV.CA50";#N/A,#N/A,FALSE,"PREÇO.CPV.FM";#N/A,#N/A,FALSE,"PREÇO-FOB"}</definedName>
    <definedName name="aaqa" localSheetId="27" hidden="1">{#N/A,#N/A,FALSE,"PREÇO.CPV.CA60";#N/A,#N/A,FALSE,"PREÇO.CPV.TREFILADOS";#N/A,#N/A,FALSE,"PREÇO.CPV.CA50";#N/A,#N/A,FALSE,"PREÇO.CPV.FM";#N/A,#N/A,FALSE,"PREÇO-FOB"}</definedName>
    <definedName name="aaqa" localSheetId="28" hidden="1">{#N/A,#N/A,FALSE,"PREÇO.CPV.CA60";#N/A,#N/A,FALSE,"PREÇO.CPV.TREFILADOS";#N/A,#N/A,FALSE,"PREÇO.CPV.CA50";#N/A,#N/A,FALSE,"PREÇO.CPV.FM";#N/A,#N/A,FALSE,"PREÇO-FOB"}</definedName>
    <definedName name="aaqa" localSheetId="29" hidden="1">{#N/A,#N/A,FALSE,"PREÇO.CPV.CA60";#N/A,#N/A,FALSE,"PREÇO.CPV.TREFILADOS";#N/A,#N/A,FALSE,"PREÇO.CPV.CA50";#N/A,#N/A,FALSE,"PREÇO.CPV.FM";#N/A,#N/A,FALSE,"PREÇO-FOB"}</definedName>
    <definedName name="aaqa" localSheetId="30" hidden="1">{#N/A,#N/A,FALSE,"PREÇO.CPV.CA60";#N/A,#N/A,FALSE,"PREÇO.CPV.TREFILADOS";#N/A,#N/A,FALSE,"PREÇO.CPV.CA50";#N/A,#N/A,FALSE,"PREÇO.CPV.FM";#N/A,#N/A,FALSE,"PREÇO-FOB"}</definedName>
    <definedName name="aaqa" localSheetId="31" hidden="1">{#N/A,#N/A,FALSE,"PREÇO.CPV.CA60";#N/A,#N/A,FALSE,"PREÇO.CPV.TREFILADOS";#N/A,#N/A,FALSE,"PREÇO.CPV.CA50";#N/A,#N/A,FALSE,"PREÇO.CPV.FM";#N/A,#N/A,FALSE,"PREÇO-FOB"}</definedName>
    <definedName name="aaqa" localSheetId="32" hidden="1">{#N/A,#N/A,FALSE,"PREÇO.CPV.CA60";#N/A,#N/A,FALSE,"PREÇO.CPV.TREFILADOS";#N/A,#N/A,FALSE,"PREÇO.CPV.CA50";#N/A,#N/A,FALSE,"PREÇO.CPV.FM";#N/A,#N/A,FALSE,"PREÇO-FOB"}</definedName>
    <definedName name="aaqa" hidden="1">{#N/A,#N/A,FALSE,"PREÇO.CPV.CA60";#N/A,#N/A,FALSE,"PREÇO.CPV.TREFILADOS";#N/A,#N/A,FALSE,"PREÇO.CPV.CA50";#N/A,#N/A,FALSE,"PREÇO.CPV.FM";#N/A,#N/A,FALSE,"PREÇO-FOB"}</definedName>
    <definedName name="aaqa2" localSheetId="3" hidden="1">{#N/A,#N/A,FALSE,"PREÇO.CPV.CA60";#N/A,#N/A,FALSE,"PREÇO.CPV.TREFILADOS";#N/A,#N/A,FALSE,"PREÇO.CPV.CA50";#N/A,#N/A,FALSE,"PREÇO.CPV.FM";#N/A,#N/A,FALSE,"PREÇO-FOB"}</definedName>
    <definedName name="aaqa2" localSheetId="5" hidden="1">{#N/A,#N/A,FALSE,"PREÇO.CPV.CA60";#N/A,#N/A,FALSE,"PREÇO.CPV.TREFILADOS";#N/A,#N/A,FALSE,"PREÇO.CPV.CA50";#N/A,#N/A,FALSE,"PREÇO.CPV.FM";#N/A,#N/A,FALSE,"PREÇO-FOB"}</definedName>
    <definedName name="aaqa2" localSheetId="6" hidden="1">{#N/A,#N/A,FALSE,"PREÇO.CPV.CA60";#N/A,#N/A,FALSE,"PREÇO.CPV.TREFILADOS";#N/A,#N/A,FALSE,"PREÇO.CPV.CA50";#N/A,#N/A,FALSE,"PREÇO.CPV.FM";#N/A,#N/A,FALSE,"PREÇO-FOB"}</definedName>
    <definedName name="aaqa2" localSheetId="7" hidden="1">{#N/A,#N/A,FALSE,"PREÇO.CPV.CA60";#N/A,#N/A,FALSE,"PREÇO.CPV.TREFILADOS";#N/A,#N/A,FALSE,"PREÇO.CPV.CA50";#N/A,#N/A,FALSE,"PREÇO.CPV.FM";#N/A,#N/A,FALSE,"PREÇO-FOB"}</definedName>
    <definedName name="aaqa2" localSheetId="9" hidden="1">{#N/A,#N/A,FALSE,"PREÇO.CPV.CA60";#N/A,#N/A,FALSE,"PREÇO.CPV.TREFILADOS";#N/A,#N/A,FALSE,"PREÇO.CPV.CA50";#N/A,#N/A,FALSE,"PREÇO.CPV.FM";#N/A,#N/A,FALSE,"PREÇO-FOB"}</definedName>
    <definedName name="aaqa2" localSheetId="10" hidden="1">{#N/A,#N/A,FALSE,"PREÇO.CPV.CA60";#N/A,#N/A,FALSE,"PREÇO.CPV.TREFILADOS";#N/A,#N/A,FALSE,"PREÇO.CPV.CA50";#N/A,#N/A,FALSE,"PREÇO.CPV.FM";#N/A,#N/A,FALSE,"PREÇO-FOB"}</definedName>
    <definedName name="aaqa2" localSheetId="11" hidden="1">{#N/A,#N/A,FALSE,"PREÇO.CPV.CA60";#N/A,#N/A,FALSE,"PREÇO.CPV.TREFILADOS";#N/A,#N/A,FALSE,"PREÇO.CPV.CA50";#N/A,#N/A,FALSE,"PREÇO.CPV.FM";#N/A,#N/A,FALSE,"PREÇO-FOB"}</definedName>
    <definedName name="aaqa2" localSheetId="12" hidden="1">{#N/A,#N/A,FALSE,"PREÇO.CPV.CA60";#N/A,#N/A,FALSE,"PREÇO.CPV.TREFILADOS";#N/A,#N/A,FALSE,"PREÇO.CPV.CA50";#N/A,#N/A,FALSE,"PREÇO.CPV.FM";#N/A,#N/A,FALSE,"PREÇO-FOB"}</definedName>
    <definedName name="aaqa2" localSheetId="13" hidden="1">{#N/A,#N/A,FALSE,"PREÇO.CPV.CA60";#N/A,#N/A,FALSE,"PREÇO.CPV.TREFILADOS";#N/A,#N/A,FALSE,"PREÇO.CPV.CA50";#N/A,#N/A,FALSE,"PREÇO.CPV.FM";#N/A,#N/A,FALSE,"PREÇO-FOB"}</definedName>
    <definedName name="aaqa2" localSheetId="14" hidden="1">{#N/A,#N/A,FALSE,"PREÇO.CPV.CA60";#N/A,#N/A,FALSE,"PREÇO.CPV.TREFILADOS";#N/A,#N/A,FALSE,"PREÇO.CPV.CA50";#N/A,#N/A,FALSE,"PREÇO.CPV.FM";#N/A,#N/A,FALSE,"PREÇO-FOB"}</definedName>
    <definedName name="aaqa2" localSheetId="15" hidden="1">{#N/A,#N/A,FALSE,"PREÇO.CPV.CA60";#N/A,#N/A,FALSE,"PREÇO.CPV.TREFILADOS";#N/A,#N/A,FALSE,"PREÇO.CPV.CA50";#N/A,#N/A,FALSE,"PREÇO.CPV.FM";#N/A,#N/A,FALSE,"PREÇO-FOB"}</definedName>
    <definedName name="aaqa2" localSheetId="20" hidden="1">{#N/A,#N/A,FALSE,"PREÇO.CPV.CA60";#N/A,#N/A,FALSE,"PREÇO.CPV.TREFILADOS";#N/A,#N/A,FALSE,"PREÇO.CPV.CA50";#N/A,#N/A,FALSE,"PREÇO.CPV.FM";#N/A,#N/A,FALSE,"PREÇO-FOB"}</definedName>
    <definedName name="aaqa2" localSheetId="21" hidden="1">{#N/A,#N/A,FALSE,"PREÇO.CPV.CA60";#N/A,#N/A,FALSE,"PREÇO.CPV.TREFILADOS";#N/A,#N/A,FALSE,"PREÇO.CPV.CA50";#N/A,#N/A,FALSE,"PREÇO.CPV.FM";#N/A,#N/A,FALSE,"PREÇO-FOB"}</definedName>
    <definedName name="aaqa2" localSheetId="22" hidden="1">{#N/A,#N/A,FALSE,"PREÇO.CPV.CA60";#N/A,#N/A,FALSE,"PREÇO.CPV.TREFILADOS";#N/A,#N/A,FALSE,"PREÇO.CPV.CA50";#N/A,#N/A,FALSE,"PREÇO.CPV.FM";#N/A,#N/A,FALSE,"PREÇO-FOB"}</definedName>
    <definedName name="aaqa2" localSheetId="23" hidden="1">{#N/A,#N/A,FALSE,"PREÇO.CPV.CA60";#N/A,#N/A,FALSE,"PREÇO.CPV.TREFILADOS";#N/A,#N/A,FALSE,"PREÇO.CPV.CA50";#N/A,#N/A,FALSE,"PREÇO.CPV.FM";#N/A,#N/A,FALSE,"PREÇO-FOB"}</definedName>
    <definedName name="aaqa2" localSheetId="24" hidden="1">{#N/A,#N/A,FALSE,"PREÇO.CPV.CA60";#N/A,#N/A,FALSE,"PREÇO.CPV.TREFILADOS";#N/A,#N/A,FALSE,"PREÇO.CPV.CA50";#N/A,#N/A,FALSE,"PREÇO.CPV.FM";#N/A,#N/A,FALSE,"PREÇO-FOB"}</definedName>
    <definedName name="aaqa2" localSheetId="25" hidden="1">{#N/A,#N/A,FALSE,"PREÇO.CPV.CA60";#N/A,#N/A,FALSE,"PREÇO.CPV.TREFILADOS";#N/A,#N/A,FALSE,"PREÇO.CPV.CA50";#N/A,#N/A,FALSE,"PREÇO.CPV.FM";#N/A,#N/A,FALSE,"PREÇO-FOB"}</definedName>
    <definedName name="aaqa2" localSheetId="26" hidden="1">{#N/A,#N/A,FALSE,"PREÇO.CPV.CA60";#N/A,#N/A,FALSE,"PREÇO.CPV.TREFILADOS";#N/A,#N/A,FALSE,"PREÇO.CPV.CA50";#N/A,#N/A,FALSE,"PREÇO.CPV.FM";#N/A,#N/A,FALSE,"PREÇO-FOB"}</definedName>
    <definedName name="aaqa2" localSheetId="27" hidden="1">{#N/A,#N/A,FALSE,"PREÇO.CPV.CA60";#N/A,#N/A,FALSE,"PREÇO.CPV.TREFILADOS";#N/A,#N/A,FALSE,"PREÇO.CPV.CA50";#N/A,#N/A,FALSE,"PREÇO.CPV.FM";#N/A,#N/A,FALSE,"PREÇO-FOB"}</definedName>
    <definedName name="aaqa2" localSheetId="28" hidden="1">{#N/A,#N/A,FALSE,"PREÇO.CPV.CA60";#N/A,#N/A,FALSE,"PREÇO.CPV.TREFILADOS";#N/A,#N/A,FALSE,"PREÇO.CPV.CA50";#N/A,#N/A,FALSE,"PREÇO.CPV.FM";#N/A,#N/A,FALSE,"PREÇO-FOB"}</definedName>
    <definedName name="aaqa2" localSheetId="29" hidden="1">{#N/A,#N/A,FALSE,"PREÇO.CPV.CA60";#N/A,#N/A,FALSE,"PREÇO.CPV.TREFILADOS";#N/A,#N/A,FALSE,"PREÇO.CPV.CA50";#N/A,#N/A,FALSE,"PREÇO.CPV.FM";#N/A,#N/A,FALSE,"PREÇO-FOB"}</definedName>
    <definedName name="aaqa2" localSheetId="30" hidden="1">{#N/A,#N/A,FALSE,"PREÇO.CPV.CA60";#N/A,#N/A,FALSE,"PREÇO.CPV.TREFILADOS";#N/A,#N/A,FALSE,"PREÇO.CPV.CA50";#N/A,#N/A,FALSE,"PREÇO.CPV.FM";#N/A,#N/A,FALSE,"PREÇO-FOB"}</definedName>
    <definedName name="aaqa2" localSheetId="31" hidden="1">{#N/A,#N/A,FALSE,"PREÇO.CPV.CA60";#N/A,#N/A,FALSE,"PREÇO.CPV.TREFILADOS";#N/A,#N/A,FALSE,"PREÇO.CPV.CA50";#N/A,#N/A,FALSE,"PREÇO.CPV.FM";#N/A,#N/A,FALSE,"PREÇO-FOB"}</definedName>
    <definedName name="aaqa2" localSheetId="32" hidden="1">{#N/A,#N/A,FALSE,"PREÇO.CPV.CA60";#N/A,#N/A,FALSE,"PREÇO.CPV.TREFILADOS";#N/A,#N/A,FALSE,"PREÇO.CPV.CA50";#N/A,#N/A,FALSE,"PREÇO.CPV.FM";#N/A,#N/A,FALSE,"PREÇO-FOB"}</definedName>
    <definedName name="aaqa2" hidden="1">{#N/A,#N/A,FALSE,"PREÇO.CPV.CA60";#N/A,#N/A,FALSE,"PREÇO.CPV.TREFILADOS";#N/A,#N/A,FALSE,"PREÇO.CPV.CA50";#N/A,#N/A,FALSE,"PREÇO.CPV.FM";#N/A,#N/A,FALSE,"PREÇO-FOB"}</definedName>
    <definedName name="abc" localSheetId="3" hidden="1">{#N/A,#N/A,FALSE,"O&amp;I Worksheet"}</definedName>
    <definedName name="abc" localSheetId="5" hidden="1">{#N/A,#N/A,FALSE,"O&amp;I Worksheet"}</definedName>
    <definedName name="abc" localSheetId="6" hidden="1">{#N/A,#N/A,FALSE,"O&amp;I Worksheet"}</definedName>
    <definedName name="abc" localSheetId="7" hidden="1">{#N/A,#N/A,FALSE,"O&amp;I Worksheet"}</definedName>
    <definedName name="abc" localSheetId="9" hidden="1">{#N/A,#N/A,FALSE,"O&amp;I Worksheet"}</definedName>
    <definedName name="abc" localSheetId="10" hidden="1">{#N/A,#N/A,FALSE,"O&amp;I Worksheet"}</definedName>
    <definedName name="abc" localSheetId="11" hidden="1">{#N/A,#N/A,FALSE,"O&amp;I Worksheet"}</definedName>
    <definedName name="abc" localSheetId="12" hidden="1">{#N/A,#N/A,FALSE,"O&amp;I Worksheet"}</definedName>
    <definedName name="abc" localSheetId="13" hidden="1">{#N/A,#N/A,FALSE,"O&amp;I Worksheet"}</definedName>
    <definedName name="abc" localSheetId="14" hidden="1">{#N/A,#N/A,FALSE,"O&amp;I Worksheet"}</definedName>
    <definedName name="abc" localSheetId="15" hidden="1">{#N/A,#N/A,FALSE,"O&amp;I Worksheet"}</definedName>
    <definedName name="abc" localSheetId="20" hidden="1">{#N/A,#N/A,FALSE,"O&amp;I Worksheet"}</definedName>
    <definedName name="abc" localSheetId="21" hidden="1">{#N/A,#N/A,FALSE,"O&amp;I Worksheet"}</definedName>
    <definedName name="abc" localSheetId="22" hidden="1">{#N/A,#N/A,FALSE,"O&amp;I Worksheet"}</definedName>
    <definedName name="abc" localSheetId="23" hidden="1">{#N/A,#N/A,FALSE,"O&amp;I Worksheet"}</definedName>
    <definedName name="abc" localSheetId="24" hidden="1">{#N/A,#N/A,FALSE,"O&amp;I Worksheet"}</definedName>
    <definedName name="abc" localSheetId="25" hidden="1">{#N/A,#N/A,FALSE,"O&amp;I Worksheet"}</definedName>
    <definedName name="abc" localSheetId="26" hidden="1">{#N/A,#N/A,FALSE,"O&amp;I Worksheet"}</definedName>
    <definedName name="abc" localSheetId="27" hidden="1">{#N/A,#N/A,FALSE,"O&amp;I Worksheet"}</definedName>
    <definedName name="abc" localSheetId="28" hidden="1">{#N/A,#N/A,FALSE,"O&amp;I Worksheet"}</definedName>
    <definedName name="abc" localSheetId="29" hidden="1">{#N/A,#N/A,FALSE,"O&amp;I Worksheet"}</definedName>
    <definedName name="abc" localSheetId="30" hidden="1">{#N/A,#N/A,FALSE,"O&amp;I Worksheet"}</definedName>
    <definedName name="abc" localSheetId="31" hidden="1">{#N/A,#N/A,FALSE,"O&amp;I Worksheet"}</definedName>
    <definedName name="abc" localSheetId="32" hidden="1">{#N/A,#N/A,FALSE,"O&amp;I Worksheet"}</definedName>
    <definedName name="abc" hidden="1">{#N/A,#N/A,FALSE,"O&amp;I Worksheet"}</definedName>
    <definedName name="ac" localSheetId="3" hidden="1">{#N/A,#N/A,FALSE,"CONSOL. 5";#N/A,#N/A,FALSE,"CONSOL. ACUM. 6";#N/A,#N/A,FALSE,"CAP. EMPREG. 7";#N/A,#N/A,FALSE,"ORIGENS E APLICAÇÕES 9"}</definedName>
    <definedName name="ac" localSheetId="5" hidden="1">{#N/A,#N/A,FALSE,"CONSOL. 5";#N/A,#N/A,FALSE,"CONSOL. ACUM. 6";#N/A,#N/A,FALSE,"CAP. EMPREG. 7";#N/A,#N/A,FALSE,"ORIGENS E APLICAÇÕES 9"}</definedName>
    <definedName name="ac" localSheetId="6" hidden="1">{#N/A,#N/A,FALSE,"CONSOL. 5";#N/A,#N/A,FALSE,"CONSOL. ACUM. 6";#N/A,#N/A,FALSE,"CAP. EMPREG. 7";#N/A,#N/A,FALSE,"ORIGENS E APLICAÇÕES 9"}</definedName>
    <definedName name="ac" localSheetId="7" hidden="1">{#N/A,#N/A,FALSE,"CONSOL. 5";#N/A,#N/A,FALSE,"CONSOL. ACUM. 6";#N/A,#N/A,FALSE,"CAP. EMPREG. 7";#N/A,#N/A,FALSE,"ORIGENS E APLICAÇÕES 9"}</definedName>
    <definedName name="ac" localSheetId="9" hidden="1">{#N/A,#N/A,FALSE,"CONSOL. 5";#N/A,#N/A,FALSE,"CONSOL. ACUM. 6";#N/A,#N/A,FALSE,"CAP. EMPREG. 7";#N/A,#N/A,FALSE,"ORIGENS E APLICAÇÕES 9"}</definedName>
    <definedName name="ac" localSheetId="10" hidden="1">{#N/A,#N/A,FALSE,"CONSOL. 5";#N/A,#N/A,FALSE,"CONSOL. ACUM. 6";#N/A,#N/A,FALSE,"CAP. EMPREG. 7";#N/A,#N/A,FALSE,"ORIGENS E APLICAÇÕES 9"}</definedName>
    <definedName name="ac" localSheetId="11" hidden="1">{#N/A,#N/A,FALSE,"CONSOL. 5";#N/A,#N/A,FALSE,"CONSOL. ACUM. 6";#N/A,#N/A,FALSE,"CAP. EMPREG. 7";#N/A,#N/A,FALSE,"ORIGENS E APLICAÇÕES 9"}</definedName>
    <definedName name="ac" localSheetId="12" hidden="1">{#N/A,#N/A,FALSE,"CONSOL. 5";#N/A,#N/A,FALSE,"CONSOL. ACUM. 6";#N/A,#N/A,FALSE,"CAP. EMPREG. 7";#N/A,#N/A,FALSE,"ORIGENS E APLICAÇÕES 9"}</definedName>
    <definedName name="ac" localSheetId="13" hidden="1">{#N/A,#N/A,FALSE,"CONSOL. 5";#N/A,#N/A,FALSE,"CONSOL. ACUM. 6";#N/A,#N/A,FALSE,"CAP. EMPREG. 7";#N/A,#N/A,FALSE,"ORIGENS E APLICAÇÕES 9"}</definedName>
    <definedName name="ac" localSheetId="14" hidden="1">{#N/A,#N/A,FALSE,"CONSOL. 5";#N/A,#N/A,FALSE,"CONSOL. ACUM. 6";#N/A,#N/A,FALSE,"CAP. EMPREG. 7";#N/A,#N/A,FALSE,"ORIGENS E APLICAÇÕES 9"}</definedName>
    <definedName name="ac" localSheetId="15" hidden="1">{#N/A,#N/A,FALSE,"CONSOL. 5";#N/A,#N/A,FALSE,"CONSOL. ACUM. 6";#N/A,#N/A,FALSE,"CAP. EMPREG. 7";#N/A,#N/A,FALSE,"ORIGENS E APLICAÇÕES 9"}</definedName>
    <definedName name="ac" localSheetId="20" hidden="1">{#N/A,#N/A,FALSE,"CONSOL. 5";#N/A,#N/A,FALSE,"CONSOL. ACUM. 6";#N/A,#N/A,FALSE,"CAP. EMPREG. 7";#N/A,#N/A,FALSE,"ORIGENS E APLICAÇÕES 9"}</definedName>
    <definedName name="ac" localSheetId="21" hidden="1">{#N/A,#N/A,FALSE,"CONSOL. 5";#N/A,#N/A,FALSE,"CONSOL. ACUM. 6";#N/A,#N/A,FALSE,"CAP. EMPREG. 7";#N/A,#N/A,FALSE,"ORIGENS E APLICAÇÕES 9"}</definedName>
    <definedName name="ac" localSheetId="22" hidden="1">{#N/A,#N/A,FALSE,"CONSOL. 5";#N/A,#N/A,FALSE,"CONSOL. ACUM. 6";#N/A,#N/A,FALSE,"CAP. EMPREG. 7";#N/A,#N/A,FALSE,"ORIGENS E APLICAÇÕES 9"}</definedName>
    <definedName name="ac" localSheetId="23" hidden="1">{#N/A,#N/A,FALSE,"CONSOL. 5";#N/A,#N/A,FALSE,"CONSOL. ACUM. 6";#N/A,#N/A,FALSE,"CAP. EMPREG. 7";#N/A,#N/A,FALSE,"ORIGENS E APLICAÇÕES 9"}</definedName>
    <definedName name="ac" localSheetId="24" hidden="1">{#N/A,#N/A,FALSE,"CONSOL. 5";#N/A,#N/A,FALSE,"CONSOL. ACUM. 6";#N/A,#N/A,FALSE,"CAP. EMPREG. 7";#N/A,#N/A,FALSE,"ORIGENS E APLICAÇÕES 9"}</definedName>
    <definedName name="ac" localSheetId="25" hidden="1">{#N/A,#N/A,FALSE,"CONSOL. 5";#N/A,#N/A,FALSE,"CONSOL. ACUM. 6";#N/A,#N/A,FALSE,"CAP. EMPREG. 7";#N/A,#N/A,FALSE,"ORIGENS E APLICAÇÕES 9"}</definedName>
    <definedName name="ac" localSheetId="26" hidden="1">{#N/A,#N/A,FALSE,"CONSOL. 5";#N/A,#N/A,FALSE,"CONSOL. ACUM. 6";#N/A,#N/A,FALSE,"CAP. EMPREG. 7";#N/A,#N/A,FALSE,"ORIGENS E APLICAÇÕES 9"}</definedName>
    <definedName name="ac" localSheetId="27" hidden="1">{#N/A,#N/A,FALSE,"CONSOL. 5";#N/A,#N/A,FALSE,"CONSOL. ACUM. 6";#N/A,#N/A,FALSE,"CAP. EMPREG. 7";#N/A,#N/A,FALSE,"ORIGENS E APLICAÇÕES 9"}</definedName>
    <definedName name="ac" localSheetId="28" hidden="1">{#N/A,#N/A,FALSE,"CONSOL. 5";#N/A,#N/A,FALSE,"CONSOL. ACUM. 6";#N/A,#N/A,FALSE,"CAP. EMPREG. 7";#N/A,#N/A,FALSE,"ORIGENS E APLICAÇÕES 9"}</definedName>
    <definedName name="ac" localSheetId="29" hidden="1">{#N/A,#N/A,FALSE,"CONSOL. 5";#N/A,#N/A,FALSE,"CONSOL. ACUM. 6";#N/A,#N/A,FALSE,"CAP. EMPREG. 7";#N/A,#N/A,FALSE,"ORIGENS E APLICAÇÕES 9"}</definedName>
    <definedName name="ac" localSheetId="30" hidden="1">{#N/A,#N/A,FALSE,"CONSOL. 5";#N/A,#N/A,FALSE,"CONSOL. ACUM. 6";#N/A,#N/A,FALSE,"CAP. EMPREG. 7";#N/A,#N/A,FALSE,"ORIGENS E APLICAÇÕES 9"}</definedName>
    <definedName name="ac" localSheetId="31" hidden="1">{#N/A,#N/A,FALSE,"CONSOL. 5";#N/A,#N/A,FALSE,"CONSOL. ACUM. 6";#N/A,#N/A,FALSE,"CAP. EMPREG. 7";#N/A,#N/A,FALSE,"ORIGENS E APLICAÇÕES 9"}</definedName>
    <definedName name="ac" localSheetId="32" hidden="1">{#N/A,#N/A,FALSE,"CONSOL. 5";#N/A,#N/A,FALSE,"CONSOL. ACUM. 6";#N/A,#N/A,FALSE,"CAP. EMPREG. 7";#N/A,#N/A,FALSE,"ORIGENS E APLICAÇÕES 9"}</definedName>
    <definedName name="ac" hidden="1">{#N/A,#N/A,FALSE,"CONSOL. 5";#N/A,#N/A,FALSE,"CONSOL. ACUM. 6";#N/A,#N/A,FALSE,"CAP. EMPREG. 7";#N/A,#N/A,FALSE,"ORIGENS E APLICAÇÕES 9"}</definedName>
    <definedName name="addd" localSheetId="3" hidden="1">{#N/A,#N/A,FALSE,"Radar CONS Mês e Acum  3";#N/A,#N/A,FALSE,"Radar CONS Acum 4"}</definedName>
    <definedName name="addd" localSheetId="5" hidden="1">{#N/A,#N/A,FALSE,"Radar CONS Mês e Acum  3";#N/A,#N/A,FALSE,"Radar CONS Acum 4"}</definedName>
    <definedName name="addd" localSheetId="6" hidden="1">{#N/A,#N/A,FALSE,"Radar CONS Mês e Acum  3";#N/A,#N/A,FALSE,"Radar CONS Acum 4"}</definedName>
    <definedName name="addd" localSheetId="7" hidden="1">{#N/A,#N/A,FALSE,"Radar CONS Mês e Acum  3";#N/A,#N/A,FALSE,"Radar CONS Acum 4"}</definedName>
    <definedName name="addd" localSheetId="9" hidden="1">{#N/A,#N/A,FALSE,"Radar CONS Mês e Acum  3";#N/A,#N/A,FALSE,"Radar CONS Acum 4"}</definedName>
    <definedName name="addd" localSheetId="10" hidden="1">{#N/A,#N/A,FALSE,"Radar CONS Mês e Acum  3";#N/A,#N/A,FALSE,"Radar CONS Acum 4"}</definedName>
    <definedName name="addd" localSheetId="11" hidden="1">{#N/A,#N/A,FALSE,"Radar CONS Mês e Acum  3";#N/A,#N/A,FALSE,"Radar CONS Acum 4"}</definedName>
    <definedName name="addd" localSheetId="12" hidden="1">{#N/A,#N/A,FALSE,"Radar CONS Mês e Acum  3";#N/A,#N/A,FALSE,"Radar CONS Acum 4"}</definedName>
    <definedName name="addd" localSheetId="13" hidden="1">{#N/A,#N/A,FALSE,"Radar CONS Mês e Acum  3";#N/A,#N/A,FALSE,"Radar CONS Acum 4"}</definedName>
    <definedName name="addd" localSheetId="14" hidden="1">{#N/A,#N/A,FALSE,"Radar CONS Mês e Acum  3";#N/A,#N/A,FALSE,"Radar CONS Acum 4"}</definedName>
    <definedName name="addd" localSheetId="15" hidden="1">{#N/A,#N/A,FALSE,"Radar CONS Mês e Acum  3";#N/A,#N/A,FALSE,"Radar CONS Acum 4"}</definedName>
    <definedName name="addd" localSheetId="20" hidden="1">{#N/A,#N/A,FALSE,"Radar CONS Mês e Acum  3";#N/A,#N/A,FALSE,"Radar CONS Acum 4"}</definedName>
    <definedName name="addd" localSheetId="21" hidden="1">{#N/A,#N/A,FALSE,"Radar CONS Mês e Acum  3";#N/A,#N/A,FALSE,"Radar CONS Acum 4"}</definedName>
    <definedName name="addd" localSheetId="22" hidden="1">{#N/A,#N/A,FALSE,"Radar CONS Mês e Acum  3";#N/A,#N/A,FALSE,"Radar CONS Acum 4"}</definedName>
    <definedName name="addd" localSheetId="23" hidden="1">{#N/A,#N/A,FALSE,"Radar CONS Mês e Acum  3";#N/A,#N/A,FALSE,"Radar CONS Acum 4"}</definedName>
    <definedName name="addd" localSheetId="24" hidden="1">{#N/A,#N/A,FALSE,"Radar CONS Mês e Acum  3";#N/A,#N/A,FALSE,"Radar CONS Acum 4"}</definedName>
    <definedName name="addd" localSheetId="25" hidden="1">{#N/A,#N/A,FALSE,"Radar CONS Mês e Acum  3";#N/A,#N/A,FALSE,"Radar CONS Acum 4"}</definedName>
    <definedName name="addd" localSheetId="26" hidden="1">{#N/A,#N/A,FALSE,"Radar CONS Mês e Acum  3";#N/A,#N/A,FALSE,"Radar CONS Acum 4"}</definedName>
    <definedName name="addd" localSheetId="27" hidden="1">{#N/A,#N/A,FALSE,"Radar CONS Mês e Acum  3";#N/A,#N/A,FALSE,"Radar CONS Acum 4"}</definedName>
    <definedName name="addd" localSheetId="28" hidden="1">{#N/A,#N/A,FALSE,"Radar CONS Mês e Acum  3";#N/A,#N/A,FALSE,"Radar CONS Acum 4"}</definedName>
    <definedName name="addd" localSheetId="29" hidden="1">{#N/A,#N/A,FALSE,"Radar CONS Mês e Acum  3";#N/A,#N/A,FALSE,"Radar CONS Acum 4"}</definedName>
    <definedName name="addd" localSheetId="30" hidden="1">{#N/A,#N/A,FALSE,"Radar CONS Mês e Acum  3";#N/A,#N/A,FALSE,"Radar CONS Acum 4"}</definedName>
    <definedName name="addd" localSheetId="31" hidden="1">{#N/A,#N/A,FALSE,"Radar CONS Mês e Acum  3";#N/A,#N/A,FALSE,"Radar CONS Acum 4"}</definedName>
    <definedName name="addd" localSheetId="32" hidden="1">{#N/A,#N/A,FALSE,"Radar CONS Mês e Acum  3";#N/A,#N/A,FALSE,"Radar CONS Acum 4"}</definedName>
    <definedName name="addd" hidden="1">{#N/A,#N/A,FALSE,"Radar CONS Mês e Acum  3";#N/A,#N/A,FALSE,"Radar CONS Acum 4"}</definedName>
    <definedName name="_xlnm.Print_Area" localSheetId="16">'2.3'!$B$4:$C$51</definedName>
    <definedName name="_xlnm.Print_Area" localSheetId="17">'2.4'!$B$4:$C$51</definedName>
    <definedName name="as" hidden="1">47</definedName>
    <definedName name="ase" localSheetId="3" hidden="1">{#N/A,#N/A,FALSE,"PREÇO.CPV.CA60";#N/A,#N/A,FALSE,"PREÇO.CPV.TREFILADOS";#N/A,#N/A,FALSE,"PREÇO.CPV.CA50";#N/A,#N/A,FALSE,"PREÇO.CPV.FM";#N/A,#N/A,FALSE,"PREÇO-FOB"}</definedName>
    <definedName name="ase" localSheetId="5" hidden="1">{#N/A,#N/A,FALSE,"PREÇO.CPV.CA60";#N/A,#N/A,FALSE,"PREÇO.CPV.TREFILADOS";#N/A,#N/A,FALSE,"PREÇO.CPV.CA50";#N/A,#N/A,FALSE,"PREÇO.CPV.FM";#N/A,#N/A,FALSE,"PREÇO-FOB"}</definedName>
    <definedName name="ase" localSheetId="6" hidden="1">{#N/A,#N/A,FALSE,"PREÇO.CPV.CA60";#N/A,#N/A,FALSE,"PREÇO.CPV.TREFILADOS";#N/A,#N/A,FALSE,"PREÇO.CPV.CA50";#N/A,#N/A,FALSE,"PREÇO.CPV.FM";#N/A,#N/A,FALSE,"PREÇO-FOB"}</definedName>
    <definedName name="ase" localSheetId="7" hidden="1">{#N/A,#N/A,FALSE,"PREÇO.CPV.CA60";#N/A,#N/A,FALSE,"PREÇO.CPV.TREFILADOS";#N/A,#N/A,FALSE,"PREÇO.CPV.CA50";#N/A,#N/A,FALSE,"PREÇO.CPV.FM";#N/A,#N/A,FALSE,"PREÇO-FOB"}</definedName>
    <definedName name="ase" localSheetId="9" hidden="1">{#N/A,#N/A,FALSE,"PREÇO.CPV.CA60";#N/A,#N/A,FALSE,"PREÇO.CPV.TREFILADOS";#N/A,#N/A,FALSE,"PREÇO.CPV.CA50";#N/A,#N/A,FALSE,"PREÇO.CPV.FM";#N/A,#N/A,FALSE,"PREÇO-FOB"}</definedName>
    <definedName name="ase" localSheetId="10" hidden="1">{#N/A,#N/A,FALSE,"PREÇO.CPV.CA60";#N/A,#N/A,FALSE,"PREÇO.CPV.TREFILADOS";#N/A,#N/A,FALSE,"PREÇO.CPV.CA50";#N/A,#N/A,FALSE,"PREÇO.CPV.FM";#N/A,#N/A,FALSE,"PREÇO-FOB"}</definedName>
    <definedName name="ase" localSheetId="11" hidden="1">{#N/A,#N/A,FALSE,"PREÇO.CPV.CA60";#N/A,#N/A,FALSE,"PREÇO.CPV.TREFILADOS";#N/A,#N/A,FALSE,"PREÇO.CPV.CA50";#N/A,#N/A,FALSE,"PREÇO.CPV.FM";#N/A,#N/A,FALSE,"PREÇO-FOB"}</definedName>
    <definedName name="ase" localSheetId="12" hidden="1">{#N/A,#N/A,FALSE,"PREÇO.CPV.CA60";#N/A,#N/A,FALSE,"PREÇO.CPV.TREFILADOS";#N/A,#N/A,FALSE,"PREÇO.CPV.CA50";#N/A,#N/A,FALSE,"PREÇO.CPV.FM";#N/A,#N/A,FALSE,"PREÇO-FOB"}</definedName>
    <definedName name="ase" localSheetId="13" hidden="1">{#N/A,#N/A,FALSE,"PREÇO.CPV.CA60";#N/A,#N/A,FALSE,"PREÇO.CPV.TREFILADOS";#N/A,#N/A,FALSE,"PREÇO.CPV.CA50";#N/A,#N/A,FALSE,"PREÇO.CPV.FM";#N/A,#N/A,FALSE,"PREÇO-FOB"}</definedName>
    <definedName name="ase" localSheetId="14" hidden="1">{#N/A,#N/A,FALSE,"PREÇO.CPV.CA60";#N/A,#N/A,FALSE,"PREÇO.CPV.TREFILADOS";#N/A,#N/A,FALSE,"PREÇO.CPV.CA50";#N/A,#N/A,FALSE,"PREÇO.CPV.FM";#N/A,#N/A,FALSE,"PREÇO-FOB"}</definedName>
    <definedName name="ase" localSheetId="15" hidden="1">{#N/A,#N/A,FALSE,"PREÇO.CPV.CA60";#N/A,#N/A,FALSE,"PREÇO.CPV.TREFILADOS";#N/A,#N/A,FALSE,"PREÇO.CPV.CA50";#N/A,#N/A,FALSE,"PREÇO.CPV.FM";#N/A,#N/A,FALSE,"PREÇO-FOB"}</definedName>
    <definedName name="ase" localSheetId="20" hidden="1">{#N/A,#N/A,FALSE,"PREÇO.CPV.CA60";#N/A,#N/A,FALSE,"PREÇO.CPV.TREFILADOS";#N/A,#N/A,FALSE,"PREÇO.CPV.CA50";#N/A,#N/A,FALSE,"PREÇO.CPV.FM";#N/A,#N/A,FALSE,"PREÇO-FOB"}</definedName>
    <definedName name="ase" localSheetId="21" hidden="1">{#N/A,#N/A,FALSE,"PREÇO.CPV.CA60";#N/A,#N/A,FALSE,"PREÇO.CPV.TREFILADOS";#N/A,#N/A,FALSE,"PREÇO.CPV.CA50";#N/A,#N/A,FALSE,"PREÇO.CPV.FM";#N/A,#N/A,FALSE,"PREÇO-FOB"}</definedName>
    <definedName name="ase" localSheetId="22" hidden="1">{#N/A,#N/A,FALSE,"PREÇO.CPV.CA60";#N/A,#N/A,FALSE,"PREÇO.CPV.TREFILADOS";#N/A,#N/A,FALSE,"PREÇO.CPV.CA50";#N/A,#N/A,FALSE,"PREÇO.CPV.FM";#N/A,#N/A,FALSE,"PREÇO-FOB"}</definedName>
    <definedName name="ase" localSheetId="23" hidden="1">{#N/A,#N/A,FALSE,"PREÇO.CPV.CA60";#N/A,#N/A,FALSE,"PREÇO.CPV.TREFILADOS";#N/A,#N/A,FALSE,"PREÇO.CPV.CA50";#N/A,#N/A,FALSE,"PREÇO.CPV.FM";#N/A,#N/A,FALSE,"PREÇO-FOB"}</definedName>
    <definedName name="ase" localSheetId="24" hidden="1">{#N/A,#N/A,FALSE,"PREÇO.CPV.CA60";#N/A,#N/A,FALSE,"PREÇO.CPV.TREFILADOS";#N/A,#N/A,FALSE,"PREÇO.CPV.CA50";#N/A,#N/A,FALSE,"PREÇO.CPV.FM";#N/A,#N/A,FALSE,"PREÇO-FOB"}</definedName>
    <definedName name="ase" localSheetId="25" hidden="1">{#N/A,#N/A,FALSE,"PREÇO.CPV.CA60";#N/A,#N/A,FALSE,"PREÇO.CPV.TREFILADOS";#N/A,#N/A,FALSE,"PREÇO.CPV.CA50";#N/A,#N/A,FALSE,"PREÇO.CPV.FM";#N/A,#N/A,FALSE,"PREÇO-FOB"}</definedName>
    <definedName name="ase" localSheetId="26" hidden="1">{#N/A,#N/A,FALSE,"PREÇO.CPV.CA60";#N/A,#N/A,FALSE,"PREÇO.CPV.TREFILADOS";#N/A,#N/A,FALSE,"PREÇO.CPV.CA50";#N/A,#N/A,FALSE,"PREÇO.CPV.FM";#N/A,#N/A,FALSE,"PREÇO-FOB"}</definedName>
    <definedName name="ase" localSheetId="27" hidden="1">{#N/A,#N/A,FALSE,"PREÇO.CPV.CA60";#N/A,#N/A,FALSE,"PREÇO.CPV.TREFILADOS";#N/A,#N/A,FALSE,"PREÇO.CPV.CA50";#N/A,#N/A,FALSE,"PREÇO.CPV.FM";#N/A,#N/A,FALSE,"PREÇO-FOB"}</definedName>
    <definedName name="ase" localSheetId="28" hidden="1">{#N/A,#N/A,FALSE,"PREÇO.CPV.CA60";#N/A,#N/A,FALSE,"PREÇO.CPV.TREFILADOS";#N/A,#N/A,FALSE,"PREÇO.CPV.CA50";#N/A,#N/A,FALSE,"PREÇO.CPV.FM";#N/A,#N/A,FALSE,"PREÇO-FOB"}</definedName>
    <definedName name="ase" localSheetId="29" hidden="1">{#N/A,#N/A,FALSE,"PREÇO.CPV.CA60";#N/A,#N/A,FALSE,"PREÇO.CPV.TREFILADOS";#N/A,#N/A,FALSE,"PREÇO.CPV.CA50";#N/A,#N/A,FALSE,"PREÇO.CPV.FM";#N/A,#N/A,FALSE,"PREÇO-FOB"}</definedName>
    <definedName name="ase" localSheetId="30" hidden="1">{#N/A,#N/A,FALSE,"PREÇO.CPV.CA60";#N/A,#N/A,FALSE,"PREÇO.CPV.TREFILADOS";#N/A,#N/A,FALSE,"PREÇO.CPV.CA50";#N/A,#N/A,FALSE,"PREÇO.CPV.FM";#N/A,#N/A,FALSE,"PREÇO-FOB"}</definedName>
    <definedName name="ase" localSheetId="31" hidden="1">{#N/A,#N/A,FALSE,"PREÇO.CPV.CA60";#N/A,#N/A,FALSE,"PREÇO.CPV.TREFILADOS";#N/A,#N/A,FALSE,"PREÇO.CPV.CA50";#N/A,#N/A,FALSE,"PREÇO.CPV.FM";#N/A,#N/A,FALSE,"PREÇO-FOB"}</definedName>
    <definedName name="ase" localSheetId="32" hidden="1">{#N/A,#N/A,FALSE,"PREÇO.CPV.CA60";#N/A,#N/A,FALSE,"PREÇO.CPV.TREFILADOS";#N/A,#N/A,FALSE,"PREÇO.CPV.CA50";#N/A,#N/A,FALSE,"PREÇO.CPV.FM";#N/A,#N/A,FALSE,"PREÇO-FOB"}</definedName>
    <definedName name="ase" hidden="1">{#N/A,#N/A,FALSE,"PREÇO.CPV.CA60";#N/A,#N/A,FALSE,"PREÇO.CPV.TREFILADOS";#N/A,#N/A,FALSE,"PREÇO.CPV.CA50";#N/A,#N/A,FALSE,"PREÇO.CPV.FM";#N/A,#N/A,FALSE,"PREÇO-FOB"}</definedName>
    <definedName name="b" localSheetId="3" hidden="1">{#N/A,#N/A,FALSE,"Tabl. D1";#N/A,#N/A,FALSE,"Tabl. D1 b";#N/A,#N/A,FALSE,"Tabl. D2";#N/A,#N/A,FALSE,"Tabl. D2 b";#N/A,#N/A,FALSE,"Tabl. D3";#N/A,#N/A,FALSE,"Tabl. D4";#N/A,#N/A,FALSE,"Tabl. D5"}</definedName>
    <definedName name="b" localSheetId="5" hidden="1">{#N/A,#N/A,FALSE,"Tabl. D1";#N/A,#N/A,FALSE,"Tabl. D1 b";#N/A,#N/A,FALSE,"Tabl. D2";#N/A,#N/A,FALSE,"Tabl. D2 b";#N/A,#N/A,FALSE,"Tabl. D3";#N/A,#N/A,FALSE,"Tabl. D4";#N/A,#N/A,FALSE,"Tabl. D5"}</definedName>
    <definedName name="b" localSheetId="6" hidden="1">{#N/A,#N/A,FALSE,"Tabl. D1";#N/A,#N/A,FALSE,"Tabl. D1 b";#N/A,#N/A,FALSE,"Tabl. D2";#N/A,#N/A,FALSE,"Tabl. D2 b";#N/A,#N/A,FALSE,"Tabl. D3";#N/A,#N/A,FALSE,"Tabl. D4";#N/A,#N/A,FALSE,"Tabl. D5"}</definedName>
    <definedName name="b" localSheetId="7" hidden="1">{#N/A,#N/A,FALSE,"Tabl. D1";#N/A,#N/A,FALSE,"Tabl. D1 b";#N/A,#N/A,FALSE,"Tabl. D2";#N/A,#N/A,FALSE,"Tabl. D2 b";#N/A,#N/A,FALSE,"Tabl. D3";#N/A,#N/A,FALSE,"Tabl. D4";#N/A,#N/A,FALSE,"Tabl. D5"}</definedName>
    <definedName name="b" localSheetId="9" hidden="1">{#N/A,#N/A,FALSE,"Tabl. D1";#N/A,#N/A,FALSE,"Tabl. D1 b";#N/A,#N/A,FALSE,"Tabl. D2";#N/A,#N/A,FALSE,"Tabl. D2 b";#N/A,#N/A,FALSE,"Tabl. D3";#N/A,#N/A,FALSE,"Tabl. D4";#N/A,#N/A,FALSE,"Tabl. D5"}</definedName>
    <definedName name="b" localSheetId="10" hidden="1">{#N/A,#N/A,FALSE,"Tabl. D1";#N/A,#N/A,FALSE,"Tabl. D1 b";#N/A,#N/A,FALSE,"Tabl. D2";#N/A,#N/A,FALSE,"Tabl. D2 b";#N/A,#N/A,FALSE,"Tabl. D3";#N/A,#N/A,FALSE,"Tabl. D4";#N/A,#N/A,FALSE,"Tabl. D5"}</definedName>
    <definedName name="b" localSheetId="11" hidden="1">{#N/A,#N/A,FALSE,"Tabl. D1";#N/A,#N/A,FALSE,"Tabl. D1 b";#N/A,#N/A,FALSE,"Tabl. D2";#N/A,#N/A,FALSE,"Tabl. D2 b";#N/A,#N/A,FALSE,"Tabl. D3";#N/A,#N/A,FALSE,"Tabl. D4";#N/A,#N/A,FALSE,"Tabl. D5"}</definedName>
    <definedName name="b" localSheetId="12" hidden="1">{#N/A,#N/A,FALSE,"Tabl. D1";#N/A,#N/A,FALSE,"Tabl. D1 b";#N/A,#N/A,FALSE,"Tabl. D2";#N/A,#N/A,FALSE,"Tabl. D2 b";#N/A,#N/A,FALSE,"Tabl. D3";#N/A,#N/A,FALSE,"Tabl. D4";#N/A,#N/A,FALSE,"Tabl. D5"}</definedName>
    <definedName name="b" localSheetId="13" hidden="1">{#N/A,#N/A,FALSE,"Tabl. D1";#N/A,#N/A,FALSE,"Tabl. D1 b";#N/A,#N/A,FALSE,"Tabl. D2";#N/A,#N/A,FALSE,"Tabl. D2 b";#N/A,#N/A,FALSE,"Tabl. D3";#N/A,#N/A,FALSE,"Tabl. D4";#N/A,#N/A,FALSE,"Tabl. D5"}</definedName>
    <definedName name="b" localSheetId="14" hidden="1">{#N/A,#N/A,FALSE,"Tabl. D1";#N/A,#N/A,FALSE,"Tabl. D1 b";#N/A,#N/A,FALSE,"Tabl. D2";#N/A,#N/A,FALSE,"Tabl. D2 b";#N/A,#N/A,FALSE,"Tabl. D3";#N/A,#N/A,FALSE,"Tabl. D4";#N/A,#N/A,FALSE,"Tabl. D5"}</definedName>
    <definedName name="b" localSheetId="15" hidden="1">{#N/A,#N/A,FALSE,"Tabl. D1";#N/A,#N/A,FALSE,"Tabl. D1 b";#N/A,#N/A,FALSE,"Tabl. D2";#N/A,#N/A,FALSE,"Tabl. D2 b";#N/A,#N/A,FALSE,"Tabl. D3";#N/A,#N/A,FALSE,"Tabl. D4";#N/A,#N/A,FALSE,"Tabl. D5"}</definedName>
    <definedName name="b" localSheetId="20" hidden="1">{#N/A,#N/A,FALSE,"Tabl. D1";#N/A,#N/A,FALSE,"Tabl. D1 b";#N/A,#N/A,FALSE,"Tabl. D2";#N/A,#N/A,FALSE,"Tabl. D2 b";#N/A,#N/A,FALSE,"Tabl. D3";#N/A,#N/A,FALSE,"Tabl. D4";#N/A,#N/A,FALSE,"Tabl. D5"}</definedName>
    <definedName name="b" localSheetId="21" hidden="1">{#N/A,#N/A,FALSE,"Tabl. D1";#N/A,#N/A,FALSE,"Tabl. D1 b";#N/A,#N/A,FALSE,"Tabl. D2";#N/A,#N/A,FALSE,"Tabl. D2 b";#N/A,#N/A,FALSE,"Tabl. D3";#N/A,#N/A,FALSE,"Tabl. D4";#N/A,#N/A,FALSE,"Tabl. D5"}</definedName>
    <definedName name="b" localSheetId="22" hidden="1">{#N/A,#N/A,FALSE,"Tabl. D1";#N/A,#N/A,FALSE,"Tabl. D1 b";#N/A,#N/A,FALSE,"Tabl. D2";#N/A,#N/A,FALSE,"Tabl. D2 b";#N/A,#N/A,FALSE,"Tabl. D3";#N/A,#N/A,FALSE,"Tabl. D4";#N/A,#N/A,FALSE,"Tabl. D5"}</definedName>
    <definedName name="b" localSheetId="23" hidden="1">{#N/A,#N/A,FALSE,"Tabl. D1";#N/A,#N/A,FALSE,"Tabl. D1 b";#N/A,#N/A,FALSE,"Tabl. D2";#N/A,#N/A,FALSE,"Tabl. D2 b";#N/A,#N/A,FALSE,"Tabl. D3";#N/A,#N/A,FALSE,"Tabl. D4";#N/A,#N/A,FALSE,"Tabl. D5"}</definedName>
    <definedName name="b" localSheetId="24" hidden="1">{#N/A,#N/A,FALSE,"Tabl. D1";#N/A,#N/A,FALSE,"Tabl. D1 b";#N/A,#N/A,FALSE,"Tabl. D2";#N/A,#N/A,FALSE,"Tabl. D2 b";#N/A,#N/A,FALSE,"Tabl. D3";#N/A,#N/A,FALSE,"Tabl. D4";#N/A,#N/A,FALSE,"Tabl. D5"}</definedName>
    <definedName name="b" localSheetId="25" hidden="1">{#N/A,#N/A,FALSE,"Tabl. D1";#N/A,#N/A,FALSE,"Tabl. D1 b";#N/A,#N/A,FALSE,"Tabl. D2";#N/A,#N/A,FALSE,"Tabl. D2 b";#N/A,#N/A,FALSE,"Tabl. D3";#N/A,#N/A,FALSE,"Tabl. D4";#N/A,#N/A,FALSE,"Tabl. D5"}</definedName>
    <definedName name="b" localSheetId="26" hidden="1">{#N/A,#N/A,FALSE,"Tabl. D1";#N/A,#N/A,FALSE,"Tabl. D1 b";#N/A,#N/A,FALSE,"Tabl. D2";#N/A,#N/A,FALSE,"Tabl. D2 b";#N/A,#N/A,FALSE,"Tabl. D3";#N/A,#N/A,FALSE,"Tabl. D4";#N/A,#N/A,FALSE,"Tabl. D5"}</definedName>
    <definedName name="b" localSheetId="27" hidden="1">{#N/A,#N/A,FALSE,"Tabl. D1";#N/A,#N/A,FALSE,"Tabl. D1 b";#N/A,#N/A,FALSE,"Tabl. D2";#N/A,#N/A,FALSE,"Tabl. D2 b";#N/A,#N/A,FALSE,"Tabl. D3";#N/A,#N/A,FALSE,"Tabl. D4";#N/A,#N/A,FALSE,"Tabl. D5"}</definedName>
    <definedName name="b" localSheetId="28" hidden="1">{#N/A,#N/A,FALSE,"Tabl. D1";#N/A,#N/A,FALSE,"Tabl. D1 b";#N/A,#N/A,FALSE,"Tabl. D2";#N/A,#N/A,FALSE,"Tabl. D2 b";#N/A,#N/A,FALSE,"Tabl. D3";#N/A,#N/A,FALSE,"Tabl. D4";#N/A,#N/A,FALSE,"Tabl. D5"}</definedName>
    <definedName name="b" localSheetId="29" hidden="1">{#N/A,#N/A,FALSE,"Tabl. D1";#N/A,#N/A,FALSE,"Tabl. D1 b";#N/A,#N/A,FALSE,"Tabl. D2";#N/A,#N/A,FALSE,"Tabl. D2 b";#N/A,#N/A,FALSE,"Tabl. D3";#N/A,#N/A,FALSE,"Tabl. D4";#N/A,#N/A,FALSE,"Tabl. D5"}</definedName>
    <definedName name="b" localSheetId="30" hidden="1">{#N/A,#N/A,FALSE,"Tabl. D1";#N/A,#N/A,FALSE,"Tabl. D1 b";#N/A,#N/A,FALSE,"Tabl. D2";#N/A,#N/A,FALSE,"Tabl. D2 b";#N/A,#N/A,FALSE,"Tabl. D3";#N/A,#N/A,FALSE,"Tabl. D4";#N/A,#N/A,FALSE,"Tabl. D5"}</definedName>
    <definedName name="b" localSheetId="31" hidden="1">{#N/A,#N/A,FALSE,"Tabl. D1";#N/A,#N/A,FALSE,"Tabl. D1 b";#N/A,#N/A,FALSE,"Tabl. D2";#N/A,#N/A,FALSE,"Tabl. D2 b";#N/A,#N/A,FALSE,"Tabl. D3";#N/A,#N/A,FALSE,"Tabl. D4";#N/A,#N/A,FALSE,"Tabl. D5"}</definedName>
    <definedName name="b" localSheetId="32" hidden="1">{#N/A,#N/A,FALSE,"Tabl. D1";#N/A,#N/A,FALSE,"Tabl. D1 b";#N/A,#N/A,FALSE,"Tabl. D2";#N/A,#N/A,FALSE,"Tabl. D2 b";#N/A,#N/A,FALSE,"Tabl. D3";#N/A,#N/A,FALSE,"Tabl. D4";#N/A,#N/A,FALSE,"Tabl. D5"}</definedName>
    <definedName name="b" hidden="1">{#N/A,#N/A,FALSE,"Tabl. D1";#N/A,#N/A,FALSE,"Tabl. D1 b";#N/A,#N/A,FALSE,"Tabl. D2";#N/A,#N/A,FALSE,"Tabl. D2 b";#N/A,#N/A,FALSE,"Tabl. D3";#N/A,#N/A,FALSE,"Tabl. D4";#N/A,#N/A,FALSE,"Tabl. D5"}</definedName>
    <definedName name="BATEAU" localSheetId="3" hidden="1">{#N/A,#N/A,FALSE,"Tabl. G1";#N/A,#N/A,FALSE,"Tabl. G2"}</definedName>
    <definedName name="BATEAU" localSheetId="5" hidden="1">{#N/A,#N/A,FALSE,"Tabl. G1";#N/A,#N/A,FALSE,"Tabl. G2"}</definedName>
    <definedName name="BATEAU" localSheetId="6" hidden="1">{#N/A,#N/A,FALSE,"Tabl. G1";#N/A,#N/A,FALSE,"Tabl. G2"}</definedName>
    <definedName name="BATEAU" localSheetId="7" hidden="1">{#N/A,#N/A,FALSE,"Tabl. G1";#N/A,#N/A,FALSE,"Tabl. G2"}</definedName>
    <definedName name="BATEAU" localSheetId="9" hidden="1">{#N/A,#N/A,FALSE,"Tabl. G1";#N/A,#N/A,FALSE,"Tabl. G2"}</definedName>
    <definedName name="BATEAU" localSheetId="10" hidden="1">{#N/A,#N/A,FALSE,"Tabl. G1";#N/A,#N/A,FALSE,"Tabl. G2"}</definedName>
    <definedName name="BATEAU" localSheetId="11" hidden="1">{#N/A,#N/A,FALSE,"Tabl. G1";#N/A,#N/A,FALSE,"Tabl. G2"}</definedName>
    <definedName name="BATEAU" localSheetId="12" hidden="1">{#N/A,#N/A,FALSE,"Tabl. G1";#N/A,#N/A,FALSE,"Tabl. G2"}</definedName>
    <definedName name="BATEAU" localSheetId="13" hidden="1">{#N/A,#N/A,FALSE,"Tabl. G1";#N/A,#N/A,FALSE,"Tabl. G2"}</definedName>
    <definedName name="BATEAU" localSheetId="14" hidden="1">{#N/A,#N/A,FALSE,"Tabl. G1";#N/A,#N/A,FALSE,"Tabl. G2"}</definedName>
    <definedName name="BATEAU" localSheetId="15" hidden="1">{#N/A,#N/A,FALSE,"Tabl. G1";#N/A,#N/A,FALSE,"Tabl. G2"}</definedName>
    <definedName name="BATEAU" localSheetId="20" hidden="1">{#N/A,#N/A,FALSE,"Tabl. G1";#N/A,#N/A,FALSE,"Tabl. G2"}</definedName>
    <definedName name="BATEAU" localSheetId="21" hidden="1">{#N/A,#N/A,FALSE,"Tabl. G1";#N/A,#N/A,FALSE,"Tabl. G2"}</definedName>
    <definedName name="BATEAU" localSheetId="22" hidden="1">{#N/A,#N/A,FALSE,"Tabl. G1";#N/A,#N/A,FALSE,"Tabl. G2"}</definedName>
    <definedName name="BATEAU" localSheetId="23" hidden="1">{#N/A,#N/A,FALSE,"Tabl. G1";#N/A,#N/A,FALSE,"Tabl. G2"}</definedName>
    <definedName name="BATEAU" localSheetId="24" hidden="1">{#N/A,#N/A,FALSE,"Tabl. G1";#N/A,#N/A,FALSE,"Tabl. G2"}</definedName>
    <definedName name="BATEAU" localSheetId="25" hidden="1">{#N/A,#N/A,FALSE,"Tabl. G1";#N/A,#N/A,FALSE,"Tabl. G2"}</definedName>
    <definedName name="BATEAU" localSheetId="26" hidden="1">{#N/A,#N/A,FALSE,"Tabl. G1";#N/A,#N/A,FALSE,"Tabl. G2"}</definedName>
    <definedName name="BATEAU" localSheetId="27" hidden="1">{#N/A,#N/A,FALSE,"Tabl. G1";#N/A,#N/A,FALSE,"Tabl. G2"}</definedName>
    <definedName name="BATEAU" localSheetId="28" hidden="1">{#N/A,#N/A,FALSE,"Tabl. G1";#N/A,#N/A,FALSE,"Tabl. G2"}</definedName>
    <definedName name="BATEAU" localSheetId="29" hidden="1">{#N/A,#N/A,FALSE,"Tabl. G1";#N/A,#N/A,FALSE,"Tabl. G2"}</definedName>
    <definedName name="BATEAU" localSheetId="30" hidden="1">{#N/A,#N/A,FALSE,"Tabl. G1";#N/A,#N/A,FALSE,"Tabl. G2"}</definedName>
    <definedName name="BATEAU" localSheetId="31" hidden="1">{#N/A,#N/A,FALSE,"Tabl. G1";#N/A,#N/A,FALSE,"Tabl. G2"}</definedName>
    <definedName name="BATEAU" localSheetId="32" hidden="1">{#N/A,#N/A,FALSE,"Tabl. G1";#N/A,#N/A,FALSE,"Tabl. G2"}</definedName>
    <definedName name="BATEAU" hidden="1">{#N/A,#N/A,FALSE,"Tabl. G1";#N/A,#N/A,FALSE,"Tabl. G2"}</definedName>
    <definedName name="bbb" localSheetId="3" hidden="1">{#N/A,#N/A,FALSE,"Tabl. G1";#N/A,#N/A,FALSE,"Tabl. G2"}</definedName>
    <definedName name="bbb" localSheetId="5" hidden="1">{#N/A,#N/A,FALSE,"Tabl. G1";#N/A,#N/A,FALSE,"Tabl. G2"}</definedName>
    <definedName name="bbb" localSheetId="6" hidden="1">{#N/A,#N/A,FALSE,"Tabl. G1";#N/A,#N/A,FALSE,"Tabl. G2"}</definedName>
    <definedName name="bbb" localSheetId="7" hidden="1">{#N/A,#N/A,FALSE,"Tabl. G1";#N/A,#N/A,FALSE,"Tabl. G2"}</definedName>
    <definedName name="bbb" localSheetId="9" hidden="1">{#N/A,#N/A,FALSE,"Tabl. G1";#N/A,#N/A,FALSE,"Tabl. G2"}</definedName>
    <definedName name="bbb" localSheetId="10" hidden="1">{#N/A,#N/A,FALSE,"Tabl. G1";#N/A,#N/A,FALSE,"Tabl. G2"}</definedName>
    <definedName name="bbb" localSheetId="11" hidden="1">{#N/A,#N/A,FALSE,"Tabl. G1";#N/A,#N/A,FALSE,"Tabl. G2"}</definedName>
    <definedName name="bbb" localSheetId="12" hidden="1">{#N/A,#N/A,FALSE,"Tabl. G1";#N/A,#N/A,FALSE,"Tabl. G2"}</definedName>
    <definedName name="bbb" localSheetId="13" hidden="1">{#N/A,#N/A,FALSE,"Tabl. G1";#N/A,#N/A,FALSE,"Tabl. G2"}</definedName>
    <definedName name="bbb" localSheetId="14" hidden="1">{#N/A,#N/A,FALSE,"Tabl. G1";#N/A,#N/A,FALSE,"Tabl. G2"}</definedName>
    <definedName name="bbb" localSheetId="15" hidden="1">{#N/A,#N/A,FALSE,"Tabl. G1";#N/A,#N/A,FALSE,"Tabl. G2"}</definedName>
    <definedName name="bbb" localSheetId="20" hidden="1">{#N/A,#N/A,FALSE,"Tabl. G1";#N/A,#N/A,FALSE,"Tabl. G2"}</definedName>
    <definedName name="bbb" localSheetId="21" hidden="1">{#N/A,#N/A,FALSE,"Tabl. G1";#N/A,#N/A,FALSE,"Tabl. G2"}</definedName>
    <definedName name="bbb" localSheetId="22" hidden="1">{#N/A,#N/A,FALSE,"Tabl. G1";#N/A,#N/A,FALSE,"Tabl. G2"}</definedName>
    <definedName name="bbb" localSheetId="23" hidden="1">{#N/A,#N/A,FALSE,"Tabl. G1";#N/A,#N/A,FALSE,"Tabl. G2"}</definedName>
    <definedName name="bbb" localSheetId="24" hidden="1">{#N/A,#N/A,FALSE,"Tabl. G1";#N/A,#N/A,FALSE,"Tabl. G2"}</definedName>
    <definedName name="bbb" localSheetId="25" hidden="1">{#N/A,#N/A,FALSE,"Tabl. G1";#N/A,#N/A,FALSE,"Tabl. G2"}</definedName>
    <definedName name="bbb" localSheetId="26" hidden="1">{#N/A,#N/A,FALSE,"Tabl. G1";#N/A,#N/A,FALSE,"Tabl. G2"}</definedName>
    <definedName name="bbb" localSheetId="27" hidden="1">{#N/A,#N/A,FALSE,"Tabl. G1";#N/A,#N/A,FALSE,"Tabl. G2"}</definedName>
    <definedName name="bbb" localSheetId="28" hidden="1">{#N/A,#N/A,FALSE,"Tabl. G1";#N/A,#N/A,FALSE,"Tabl. G2"}</definedName>
    <definedName name="bbb" localSheetId="29" hidden="1">{#N/A,#N/A,FALSE,"Tabl. G1";#N/A,#N/A,FALSE,"Tabl. G2"}</definedName>
    <definedName name="bbb" localSheetId="30" hidden="1">{#N/A,#N/A,FALSE,"Tabl. G1";#N/A,#N/A,FALSE,"Tabl. G2"}</definedName>
    <definedName name="bbb" localSheetId="31" hidden="1">{#N/A,#N/A,FALSE,"Tabl. G1";#N/A,#N/A,FALSE,"Tabl. G2"}</definedName>
    <definedName name="bbb" localSheetId="32" hidden="1">{#N/A,#N/A,FALSE,"Tabl. G1";#N/A,#N/A,FALSE,"Tabl. G2"}</definedName>
    <definedName name="bbb" hidden="1">{#N/A,#N/A,FALSE,"Tabl. G1";#N/A,#N/A,FALSE,"Tabl. G2"}</definedName>
    <definedName name="bnn" localSheetId="3" hidden="1">{#N/A,#N/A,FALSE,"Tabl. FB300";#N/A,#N/A,FALSE,"Tabl. FB350";#N/A,#N/A,FALSE,"Tabl. FB400";#N/A,#N/A,FALSE,"Tabl. FB500";#N/A,#N/A,FALSE,"Tabl. FS090"}</definedName>
    <definedName name="bnn" localSheetId="5" hidden="1">{#N/A,#N/A,FALSE,"Tabl. FB300";#N/A,#N/A,FALSE,"Tabl. FB350";#N/A,#N/A,FALSE,"Tabl. FB400";#N/A,#N/A,FALSE,"Tabl. FB500";#N/A,#N/A,FALSE,"Tabl. FS090"}</definedName>
    <definedName name="bnn" localSheetId="6" hidden="1">{#N/A,#N/A,FALSE,"Tabl. FB300";#N/A,#N/A,FALSE,"Tabl. FB350";#N/A,#N/A,FALSE,"Tabl. FB400";#N/A,#N/A,FALSE,"Tabl. FB500";#N/A,#N/A,FALSE,"Tabl. FS090"}</definedName>
    <definedName name="bnn" localSheetId="7" hidden="1">{#N/A,#N/A,FALSE,"Tabl. FB300";#N/A,#N/A,FALSE,"Tabl. FB350";#N/A,#N/A,FALSE,"Tabl. FB400";#N/A,#N/A,FALSE,"Tabl. FB500";#N/A,#N/A,FALSE,"Tabl. FS090"}</definedName>
    <definedName name="bnn" localSheetId="9" hidden="1">{#N/A,#N/A,FALSE,"Tabl. FB300";#N/A,#N/A,FALSE,"Tabl. FB350";#N/A,#N/A,FALSE,"Tabl. FB400";#N/A,#N/A,FALSE,"Tabl. FB500";#N/A,#N/A,FALSE,"Tabl. FS090"}</definedName>
    <definedName name="bnn" localSheetId="10" hidden="1">{#N/A,#N/A,FALSE,"Tabl. FB300";#N/A,#N/A,FALSE,"Tabl. FB350";#N/A,#N/A,FALSE,"Tabl. FB400";#N/A,#N/A,FALSE,"Tabl. FB500";#N/A,#N/A,FALSE,"Tabl. FS090"}</definedName>
    <definedName name="bnn" localSheetId="11" hidden="1">{#N/A,#N/A,FALSE,"Tabl. FB300";#N/A,#N/A,FALSE,"Tabl. FB350";#N/A,#N/A,FALSE,"Tabl. FB400";#N/A,#N/A,FALSE,"Tabl. FB500";#N/A,#N/A,FALSE,"Tabl. FS090"}</definedName>
    <definedName name="bnn" localSheetId="12" hidden="1">{#N/A,#N/A,FALSE,"Tabl. FB300";#N/A,#N/A,FALSE,"Tabl. FB350";#N/A,#N/A,FALSE,"Tabl. FB400";#N/A,#N/A,FALSE,"Tabl. FB500";#N/A,#N/A,FALSE,"Tabl. FS090"}</definedName>
    <definedName name="bnn" localSheetId="13" hidden="1">{#N/A,#N/A,FALSE,"Tabl. FB300";#N/A,#N/A,FALSE,"Tabl. FB350";#N/A,#N/A,FALSE,"Tabl. FB400";#N/A,#N/A,FALSE,"Tabl. FB500";#N/A,#N/A,FALSE,"Tabl. FS090"}</definedName>
    <definedName name="bnn" localSheetId="14" hidden="1">{#N/A,#N/A,FALSE,"Tabl. FB300";#N/A,#N/A,FALSE,"Tabl. FB350";#N/A,#N/A,FALSE,"Tabl. FB400";#N/A,#N/A,FALSE,"Tabl. FB500";#N/A,#N/A,FALSE,"Tabl. FS090"}</definedName>
    <definedName name="bnn" localSheetId="15" hidden="1">{#N/A,#N/A,FALSE,"Tabl. FB300";#N/A,#N/A,FALSE,"Tabl. FB350";#N/A,#N/A,FALSE,"Tabl. FB400";#N/A,#N/A,FALSE,"Tabl. FB500";#N/A,#N/A,FALSE,"Tabl. FS090"}</definedName>
    <definedName name="bnn" localSheetId="20" hidden="1">{#N/A,#N/A,FALSE,"Tabl. FB300";#N/A,#N/A,FALSE,"Tabl. FB350";#N/A,#N/A,FALSE,"Tabl. FB400";#N/A,#N/A,FALSE,"Tabl. FB500";#N/A,#N/A,FALSE,"Tabl. FS090"}</definedName>
    <definedName name="bnn" localSheetId="21" hidden="1">{#N/A,#N/A,FALSE,"Tabl. FB300";#N/A,#N/A,FALSE,"Tabl. FB350";#N/A,#N/A,FALSE,"Tabl. FB400";#N/A,#N/A,FALSE,"Tabl. FB500";#N/A,#N/A,FALSE,"Tabl. FS090"}</definedName>
    <definedName name="bnn" localSheetId="22" hidden="1">{#N/A,#N/A,FALSE,"Tabl. FB300";#N/A,#N/A,FALSE,"Tabl. FB350";#N/A,#N/A,FALSE,"Tabl. FB400";#N/A,#N/A,FALSE,"Tabl. FB500";#N/A,#N/A,FALSE,"Tabl. FS090"}</definedName>
    <definedName name="bnn" localSheetId="23" hidden="1">{#N/A,#N/A,FALSE,"Tabl. FB300";#N/A,#N/A,FALSE,"Tabl. FB350";#N/A,#N/A,FALSE,"Tabl. FB400";#N/A,#N/A,FALSE,"Tabl. FB500";#N/A,#N/A,FALSE,"Tabl. FS090"}</definedName>
    <definedName name="bnn" localSheetId="24" hidden="1">{#N/A,#N/A,FALSE,"Tabl. FB300";#N/A,#N/A,FALSE,"Tabl. FB350";#N/A,#N/A,FALSE,"Tabl. FB400";#N/A,#N/A,FALSE,"Tabl. FB500";#N/A,#N/A,FALSE,"Tabl. FS090"}</definedName>
    <definedName name="bnn" localSheetId="25" hidden="1">{#N/A,#N/A,FALSE,"Tabl. FB300";#N/A,#N/A,FALSE,"Tabl. FB350";#N/A,#N/A,FALSE,"Tabl. FB400";#N/A,#N/A,FALSE,"Tabl. FB500";#N/A,#N/A,FALSE,"Tabl. FS090"}</definedName>
    <definedName name="bnn" localSheetId="26" hidden="1">{#N/A,#N/A,FALSE,"Tabl. FB300";#N/A,#N/A,FALSE,"Tabl. FB350";#N/A,#N/A,FALSE,"Tabl. FB400";#N/A,#N/A,FALSE,"Tabl. FB500";#N/A,#N/A,FALSE,"Tabl. FS090"}</definedName>
    <definedName name="bnn" localSheetId="27" hidden="1">{#N/A,#N/A,FALSE,"Tabl. FB300";#N/A,#N/A,FALSE,"Tabl. FB350";#N/A,#N/A,FALSE,"Tabl. FB400";#N/A,#N/A,FALSE,"Tabl. FB500";#N/A,#N/A,FALSE,"Tabl. FS090"}</definedName>
    <definedName name="bnn" localSheetId="28" hidden="1">{#N/A,#N/A,FALSE,"Tabl. FB300";#N/A,#N/A,FALSE,"Tabl. FB350";#N/A,#N/A,FALSE,"Tabl. FB400";#N/A,#N/A,FALSE,"Tabl. FB500";#N/A,#N/A,FALSE,"Tabl. FS090"}</definedName>
    <definedName name="bnn" localSheetId="29" hidden="1">{#N/A,#N/A,FALSE,"Tabl. FB300";#N/A,#N/A,FALSE,"Tabl. FB350";#N/A,#N/A,FALSE,"Tabl. FB400";#N/A,#N/A,FALSE,"Tabl. FB500";#N/A,#N/A,FALSE,"Tabl. FS090"}</definedName>
    <definedName name="bnn" localSheetId="30" hidden="1">{#N/A,#N/A,FALSE,"Tabl. FB300";#N/A,#N/A,FALSE,"Tabl. FB350";#N/A,#N/A,FALSE,"Tabl. FB400";#N/A,#N/A,FALSE,"Tabl. FB500";#N/A,#N/A,FALSE,"Tabl. FS090"}</definedName>
    <definedName name="bnn" localSheetId="31" hidden="1">{#N/A,#N/A,FALSE,"Tabl. FB300";#N/A,#N/A,FALSE,"Tabl. FB350";#N/A,#N/A,FALSE,"Tabl. FB400";#N/A,#N/A,FALSE,"Tabl. FB500";#N/A,#N/A,FALSE,"Tabl. FS090"}</definedName>
    <definedName name="bnn" localSheetId="32" hidden="1">{#N/A,#N/A,FALSE,"Tabl. FB300";#N/A,#N/A,FALSE,"Tabl. FB350";#N/A,#N/A,FALSE,"Tabl. FB400";#N/A,#N/A,FALSE,"Tabl. FB500";#N/A,#N/A,FALSE,"Tabl. FS090"}</definedName>
    <definedName name="bnn" hidden="1">{#N/A,#N/A,FALSE,"Tabl. FB300";#N/A,#N/A,FALSE,"Tabl. FB350";#N/A,#N/A,FALSE,"Tabl. FB400";#N/A,#N/A,FALSE,"Tabl. FB500";#N/A,#N/A,FALSE,"Tabl. FS090"}</definedName>
    <definedName name="canot" localSheetId="3" hidden="1">{#N/A,#N/A,FALSE,"Tabl. FB300";#N/A,#N/A,FALSE,"Tabl. FB350";#N/A,#N/A,FALSE,"Tabl. FB400";#N/A,#N/A,FALSE,"Tabl. FB500";#N/A,#N/A,FALSE,"Tabl. FS090"}</definedName>
    <definedName name="canot" localSheetId="5" hidden="1">{#N/A,#N/A,FALSE,"Tabl. FB300";#N/A,#N/A,FALSE,"Tabl. FB350";#N/A,#N/A,FALSE,"Tabl. FB400";#N/A,#N/A,FALSE,"Tabl. FB500";#N/A,#N/A,FALSE,"Tabl. FS090"}</definedName>
    <definedName name="canot" localSheetId="6" hidden="1">{#N/A,#N/A,FALSE,"Tabl. FB300";#N/A,#N/A,FALSE,"Tabl. FB350";#N/A,#N/A,FALSE,"Tabl. FB400";#N/A,#N/A,FALSE,"Tabl. FB500";#N/A,#N/A,FALSE,"Tabl. FS090"}</definedName>
    <definedName name="canot" localSheetId="7" hidden="1">{#N/A,#N/A,FALSE,"Tabl. FB300";#N/A,#N/A,FALSE,"Tabl. FB350";#N/A,#N/A,FALSE,"Tabl. FB400";#N/A,#N/A,FALSE,"Tabl. FB500";#N/A,#N/A,FALSE,"Tabl. FS090"}</definedName>
    <definedName name="canot" localSheetId="9" hidden="1">{#N/A,#N/A,FALSE,"Tabl. FB300";#N/A,#N/A,FALSE,"Tabl. FB350";#N/A,#N/A,FALSE,"Tabl. FB400";#N/A,#N/A,FALSE,"Tabl. FB500";#N/A,#N/A,FALSE,"Tabl. FS090"}</definedName>
    <definedName name="canot" localSheetId="10" hidden="1">{#N/A,#N/A,FALSE,"Tabl. FB300";#N/A,#N/A,FALSE,"Tabl. FB350";#N/A,#N/A,FALSE,"Tabl. FB400";#N/A,#N/A,FALSE,"Tabl. FB500";#N/A,#N/A,FALSE,"Tabl. FS090"}</definedName>
    <definedName name="canot" localSheetId="11" hidden="1">{#N/A,#N/A,FALSE,"Tabl. FB300";#N/A,#N/A,FALSE,"Tabl. FB350";#N/A,#N/A,FALSE,"Tabl. FB400";#N/A,#N/A,FALSE,"Tabl. FB500";#N/A,#N/A,FALSE,"Tabl. FS090"}</definedName>
    <definedName name="canot" localSheetId="12" hidden="1">{#N/A,#N/A,FALSE,"Tabl. FB300";#N/A,#N/A,FALSE,"Tabl. FB350";#N/A,#N/A,FALSE,"Tabl. FB400";#N/A,#N/A,FALSE,"Tabl. FB500";#N/A,#N/A,FALSE,"Tabl. FS090"}</definedName>
    <definedName name="canot" localSheetId="13" hidden="1">{#N/A,#N/A,FALSE,"Tabl. FB300";#N/A,#N/A,FALSE,"Tabl. FB350";#N/A,#N/A,FALSE,"Tabl. FB400";#N/A,#N/A,FALSE,"Tabl. FB500";#N/A,#N/A,FALSE,"Tabl. FS090"}</definedName>
    <definedName name="canot" localSheetId="14" hidden="1">{#N/A,#N/A,FALSE,"Tabl. FB300";#N/A,#N/A,FALSE,"Tabl. FB350";#N/A,#N/A,FALSE,"Tabl. FB400";#N/A,#N/A,FALSE,"Tabl. FB500";#N/A,#N/A,FALSE,"Tabl. FS090"}</definedName>
    <definedName name="canot" localSheetId="15" hidden="1">{#N/A,#N/A,FALSE,"Tabl. FB300";#N/A,#N/A,FALSE,"Tabl. FB350";#N/A,#N/A,FALSE,"Tabl. FB400";#N/A,#N/A,FALSE,"Tabl. FB500";#N/A,#N/A,FALSE,"Tabl. FS090"}</definedName>
    <definedName name="canot" localSheetId="20" hidden="1">{#N/A,#N/A,FALSE,"Tabl. FB300";#N/A,#N/A,FALSE,"Tabl. FB350";#N/A,#N/A,FALSE,"Tabl. FB400";#N/A,#N/A,FALSE,"Tabl. FB500";#N/A,#N/A,FALSE,"Tabl. FS090"}</definedName>
    <definedName name="canot" localSheetId="21" hidden="1">{#N/A,#N/A,FALSE,"Tabl. FB300";#N/A,#N/A,FALSE,"Tabl. FB350";#N/A,#N/A,FALSE,"Tabl. FB400";#N/A,#N/A,FALSE,"Tabl. FB500";#N/A,#N/A,FALSE,"Tabl. FS090"}</definedName>
    <definedName name="canot" localSheetId="22" hidden="1">{#N/A,#N/A,FALSE,"Tabl. FB300";#N/A,#N/A,FALSE,"Tabl. FB350";#N/A,#N/A,FALSE,"Tabl. FB400";#N/A,#N/A,FALSE,"Tabl. FB500";#N/A,#N/A,FALSE,"Tabl. FS090"}</definedName>
    <definedName name="canot" localSheetId="23" hidden="1">{#N/A,#N/A,FALSE,"Tabl. FB300";#N/A,#N/A,FALSE,"Tabl. FB350";#N/A,#N/A,FALSE,"Tabl. FB400";#N/A,#N/A,FALSE,"Tabl. FB500";#N/A,#N/A,FALSE,"Tabl. FS090"}</definedName>
    <definedName name="canot" localSheetId="24" hidden="1">{#N/A,#N/A,FALSE,"Tabl. FB300";#N/A,#N/A,FALSE,"Tabl. FB350";#N/A,#N/A,FALSE,"Tabl. FB400";#N/A,#N/A,FALSE,"Tabl. FB500";#N/A,#N/A,FALSE,"Tabl. FS090"}</definedName>
    <definedName name="canot" localSheetId="25" hidden="1">{#N/A,#N/A,FALSE,"Tabl. FB300";#N/A,#N/A,FALSE,"Tabl. FB350";#N/A,#N/A,FALSE,"Tabl. FB400";#N/A,#N/A,FALSE,"Tabl. FB500";#N/A,#N/A,FALSE,"Tabl. FS090"}</definedName>
    <definedName name="canot" localSheetId="26" hidden="1">{#N/A,#N/A,FALSE,"Tabl. FB300";#N/A,#N/A,FALSE,"Tabl. FB350";#N/A,#N/A,FALSE,"Tabl. FB400";#N/A,#N/A,FALSE,"Tabl. FB500";#N/A,#N/A,FALSE,"Tabl. FS090"}</definedName>
    <definedName name="canot" localSheetId="27" hidden="1">{#N/A,#N/A,FALSE,"Tabl. FB300";#N/A,#N/A,FALSE,"Tabl. FB350";#N/A,#N/A,FALSE,"Tabl. FB400";#N/A,#N/A,FALSE,"Tabl. FB500";#N/A,#N/A,FALSE,"Tabl. FS090"}</definedName>
    <definedName name="canot" localSheetId="28" hidden="1">{#N/A,#N/A,FALSE,"Tabl. FB300";#N/A,#N/A,FALSE,"Tabl. FB350";#N/A,#N/A,FALSE,"Tabl. FB400";#N/A,#N/A,FALSE,"Tabl. FB500";#N/A,#N/A,FALSE,"Tabl. FS090"}</definedName>
    <definedName name="canot" localSheetId="29" hidden="1">{#N/A,#N/A,FALSE,"Tabl. FB300";#N/A,#N/A,FALSE,"Tabl. FB350";#N/A,#N/A,FALSE,"Tabl. FB400";#N/A,#N/A,FALSE,"Tabl. FB500";#N/A,#N/A,FALSE,"Tabl. FS090"}</definedName>
    <definedName name="canot" localSheetId="30" hidden="1">{#N/A,#N/A,FALSE,"Tabl. FB300";#N/A,#N/A,FALSE,"Tabl. FB350";#N/A,#N/A,FALSE,"Tabl. FB400";#N/A,#N/A,FALSE,"Tabl. FB500";#N/A,#N/A,FALSE,"Tabl. FS090"}</definedName>
    <definedName name="canot" localSheetId="31" hidden="1">{#N/A,#N/A,FALSE,"Tabl. FB300";#N/A,#N/A,FALSE,"Tabl. FB350";#N/A,#N/A,FALSE,"Tabl. FB400";#N/A,#N/A,FALSE,"Tabl. FB500";#N/A,#N/A,FALSE,"Tabl. FS090"}</definedName>
    <definedName name="canot" localSheetId="32" hidden="1">{#N/A,#N/A,FALSE,"Tabl. FB300";#N/A,#N/A,FALSE,"Tabl. FB350";#N/A,#N/A,FALSE,"Tabl. FB400";#N/A,#N/A,FALSE,"Tabl. FB500";#N/A,#N/A,FALSE,"Tabl. FS090"}</definedName>
    <definedName name="canot" hidden="1">{#N/A,#N/A,FALSE,"Tabl. FB300";#N/A,#N/A,FALSE,"Tabl. FB350";#N/A,#N/A,FALSE,"Tabl. FB400";#N/A,#N/A,FALSE,"Tabl. FB500";#N/A,#N/A,FALSE,"Tabl. FS090"}</definedName>
    <definedName name="ccc" localSheetId="3" hidden="1">{#N/A,#N/A,FALSE,"Tabl. FB300";#N/A,#N/A,FALSE,"Tabl. FB350";#N/A,#N/A,FALSE,"Tabl. FB400";#N/A,#N/A,FALSE,"Tabl. FB500";#N/A,#N/A,FALSE,"Tabl. FS090"}</definedName>
    <definedName name="ccc" localSheetId="5" hidden="1">{#N/A,#N/A,FALSE,"Tabl. FB300";#N/A,#N/A,FALSE,"Tabl. FB350";#N/A,#N/A,FALSE,"Tabl. FB400";#N/A,#N/A,FALSE,"Tabl. FB500";#N/A,#N/A,FALSE,"Tabl. FS090"}</definedName>
    <definedName name="ccc" localSheetId="6" hidden="1">{#N/A,#N/A,FALSE,"Tabl. FB300";#N/A,#N/A,FALSE,"Tabl. FB350";#N/A,#N/A,FALSE,"Tabl. FB400";#N/A,#N/A,FALSE,"Tabl. FB500";#N/A,#N/A,FALSE,"Tabl. FS090"}</definedName>
    <definedName name="ccc" localSheetId="7" hidden="1">{#N/A,#N/A,FALSE,"Tabl. FB300";#N/A,#N/A,FALSE,"Tabl. FB350";#N/A,#N/A,FALSE,"Tabl. FB400";#N/A,#N/A,FALSE,"Tabl. FB500";#N/A,#N/A,FALSE,"Tabl. FS090"}</definedName>
    <definedName name="ccc" localSheetId="9" hidden="1">{#N/A,#N/A,FALSE,"Tabl. FB300";#N/A,#N/A,FALSE,"Tabl. FB350";#N/A,#N/A,FALSE,"Tabl. FB400";#N/A,#N/A,FALSE,"Tabl. FB500";#N/A,#N/A,FALSE,"Tabl. FS090"}</definedName>
    <definedName name="ccc" localSheetId="10" hidden="1">{#N/A,#N/A,FALSE,"Tabl. FB300";#N/A,#N/A,FALSE,"Tabl. FB350";#N/A,#N/A,FALSE,"Tabl. FB400";#N/A,#N/A,FALSE,"Tabl. FB500";#N/A,#N/A,FALSE,"Tabl. FS090"}</definedName>
    <definedName name="ccc" localSheetId="11" hidden="1">{#N/A,#N/A,FALSE,"Tabl. FB300";#N/A,#N/A,FALSE,"Tabl. FB350";#N/A,#N/A,FALSE,"Tabl. FB400";#N/A,#N/A,FALSE,"Tabl. FB500";#N/A,#N/A,FALSE,"Tabl. FS090"}</definedName>
    <definedName name="ccc" localSheetId="12" hidden="1">{#N/A,#N/A,FALSE,"Tabl. FB300";#N/A,#N/A,FALSE,"Tabl. FB350";#N/A,#N/A,FALSE,"Tabl. FB400";#N/A,#N/A,FALSE,"Tabl. FB500";#N/A,#N/A,FALSE,"Tabl. FS090"}</definedName>
    <definedName name="ccc" localSheetId="13" hidden="1">{#N/A,#N/A,FALSE,"Tabl. FB300";#N/A,#N/A,FALSE,"Tabl. FB350";#N/A,#N/A,FALSE,"Tabl. FB400";#N/A,#N/A,FALSE,"Tabl. FB500";#N/A,#N/A,FALSE,"Tabl. FS090"}</definedName>
    <definedName name="ccc" localSheetId="14" hidden="1">{#N/A,#N/A,FALSE,"Tabl. FB300";#N/A,#N/A,FALSE,"Tabl. FB350";#N/A,#N/A,FALSE,"Tabl. FB400";#N/A,#N/A,FALSE,"Tabl. FB500";#N/A,#N/A,FALSE,"Tabl. FS090"}</definedName>
    <definedName name="ccc" localSheetId="15" hidden="1">{#N/A,#N/A,FALSE,"Tabl. FB300";#N/A,#N/A,FALSE,"Tabl. FB350";#N/A,#N/A,FALSE,"Tabl. FB400";#N/A,#N/A,FALSE,"Tabl. FB500";#N/A,#N/A,FALSE,"Tabl. FS090"}</definedName>
    <definedName name="ccc" localSheetId="20" hidden="1">{#N/A,#N/A,FALSE,"Tabl. FB300";#N/A,#N/A,FALSE,"Tabl. FB350";#N/A,#N/A,FALSE,"Tabl. FB400";#N/A,#N/A,FALSE,"Tabl. FB500";#N/A,#N/A,FALSE,"Tabl. FS090"}</definedName>
    <definedName name="ccc" localSheetId="21" hidden="1">{#N/A,#N/A,FALSE,"Tabl. FB300";#N/A,#N/A,FALSE,"Tabl. FB350";#N/A,#N/A,FALSE,"Tabl. FB400";#N/A,#N/A,FALSE,"Tabl. FB500";#N/A,#N/A,FALSE,"Tabl. FS090"}</definedName>
    <definedName name="ccc" localSheetId="22" hidden="1">{#N/A,#N/A,FALSE,"Tabl. FB300";#N/A,#N/A,FALSE,"Tabl. FB350";#N/A,#N/A,FALSE,"Tabl. FB400";#N/A,#N/A,FALSE,"Tabl. FB500";#N/A,#N/A,FALSE,"Tabl. FS090"}</definedName>
    <definedName name="ccc" localSheetId="23" hidden="1">{#N/A,#N/A,FALSE,"Tabl. FB300";#N/A,#N/A,FALSE,"Tabl. FB350";#N/A,#N/A,FALSE,"Tabl. FB400";#N/A,#N/A,FALSE,"Tabl. FB500";#N/A,#N/A,FALSE,"Tabl. FS090"}</definedName>
    <definedName name="ccc" localSheetId="24" hidden="1">{#N/A,#N/A,FALSE,"Tabl. FB300";#N/A,#N/A,FALSE,"Tabl. FB350";#N/A,#N/A,FALSE,"Tabl. FB400";#N/A,#N/A,FALSE,"Tabl. FB500";#N/A,#N/A,FALSE,"Tabl. FS090"}</definedName>
    <definedName name="ccc" localSheetId="25" hidden="1">{#N/A,#N/A,FALSE,"Tabl. FB300";#N/A,#N/A,FALSE,"Tabl. FB350";#N/A,#N/A,FALSE,"Tabl. FB400";#N/A,#N/A,FALSE,"Tabl. FB500";#N/A,#N/A,FALSE,"Tabl. FS090"}</definedName>
    <definedName name="ccc" localSheetId="26" hidden="1">{#N/A,#N/A,FALSE,"Tabl. FB300";#N/A,#N/A,FALSE,"Tabl. FB350";#N/A,#N/A,FALSE,"Tabl. FB400";#N/A,#N/A,FALSE,"Tabl. FB500";#N/A,#N/A,FALSE,"Tabl. FS090"}</definedName>
    <definedName name="ccc" localSheetId="27" hidden="1">{#N/A,#N/A,FALSE,"Tabl. FB300";#N/A,#N/A,FALSE,"Tabl. FB350";#N/A,#N/A,FALSE,"Tabl. FB400";#N/A,#N/A,FALSE,"Tabl. FB500";#N/A,#N/A,FALSE,"Tabl. FS090"}</definedName>
    <definedName name="ccc" localSheetId="28" hidden="1">{#N/A,#N/A,FALSE,"Tabl. FB300";#N/A,#N/A,FALSE,"Tabl. FB350";#N/A,#N/A,FALSE,"Tabl. FB400";#N/A,#N/A,FALSE,"Tabl. FB500";#N/A,#N/A,FALSE,"Tabl. FS090"}</definedName>
    <definedName name="ccc" localSheetId="29" hidden="1">{#N/A,#N/A,FALSE,"Tabl. FB300";#N/A,#N/A,FALSE,"Tabl. FB350";#N/A,#N/A,FALSE,"Tabl. FB400";#N/A,#N/A,FALSE,"Tabl. FB500";#N/A,#N/A,FALSE,"Tabl. FS090"}</definedName>
    <definedName name="ccc" localSheetId="30" hidden="1">{#N/A,#N/A,FALSE,"Tabl. FB300";#N/A,#N/A,FALSE,"Tabl. FB350";#N/A,#N/A,FALSE,"Tabl. FB400";#N/A,#N/A,FALSE,"Tabl. FB500";#N/A,#N/A,FALSE,"Tabl. FS090"}</definedName>
    <definedName name="ccc" localSheetId="31" hidden="1">{#N/A,#N/A,FALSE,"Tabl. FB300";#N/A,#N/A,FALSE,"Tabl. FB350";#N/A,#N/A,FALSE,"Tabl. FB400";#N/A,#N/A,FALSE,"Tabl. FB500";#N/A,#N/A,FALSE,"Tabl. FS090"}</definedName>
    <definedName name="ccc" localSheetId="32" hidden="1">{#N/A,#N/A,FALSE,"Tabl. FB300";#N/A,#N/A,FALSE,"Tabl. FB350";#N/A,#N/A,FALSE,"Tabl. FB400";#N/A,#N/A,FALSE,"Tabl. FB500";#N/A,#N/A,FALSE,"Tabl. FS090"}</definedName>
    <definedName name="ccc" hidden="1">{#N/A,#N/A,FALSE,"Tabl. FB300";#N/A,#N/A,FALSE,"Tabl. FB350";#N/A,#N/A,FALSE,"Tabl. FB400";#N/A,#N/A,FALSE,"Tabl. FB500";#N/A,#N/A,FALSE,"Tabl. FS090"}</definedName>
    <definedName name="ççç" localSheetId="3" hidden="1">{#N/A,#N/A,FALSE,"SGP";#N/A,#N/A,FALSE,"SGI";#N/A,#N/A,FALSE,"SGC";#N/A,#N/A,FALSE,"SGS";#N/A,#N/A,FALSE,"SGB"}</definedName>
    <definedName name="ççç" localSheetId="5" hidden="1">{#N/A,#N/A,FALSE,"SGP";#N/A,#N/A,FALSE,"SGI";#N/A,#N/A,FALSE,"SGC";#N/A,#N/A,FALSE,"SGS";#N/A,#N/A,FALSE,"SGB"}</definedName>
    <definedName name="ççç" localSheetId="6" hidden="1">{#N/A,#N/A,FALSE,"SGP";#N/A,#N/A,FALSE,"SGI";#N/A,#N/A,FALSE,"SGC";#N/A,#N/A,FALSE,"SGS";#N/A,#N/A,FALSE,"SGB"}</definedName>
    <definedName name="ççç" localSheetId="7" hidden="1">{#N/A,#N/A,FALSE,"SGP";#N/A,#N/A,FALSE,"SGI";#N/A,#N/A,FALSE,"SGC";#N/A,#N/A,FALSE,"SGS";#N/A,#N/A,FALSE,"SGB"}</definedName>
    <definedName name="ççç" localSheetId="9" hidden="1">{#N/A,#N/A,FALSE,"SGP";#N/A,#N/A,FALSE,"SGI";#N/A,#N/A,FALSE,"SGC";#N/A,#N/A,FALSE,"SGS";#N/A,#N/A,FALSE,"SGB"}</definedName>
    <definedName name="ççç" localSheetId="10" hidden="1">{#N/A,#N/A,FALSE,"SGP";#N/A,#N/A,FALSE,"SGI";#N/A,#N/A,FALSE,"SGC";#N/A,#N/A,FALSE,"SGS";#N/A,#N/A,FALSE,"SGB"}</definedName>
    <definedName name="ççç" localSheetId="11" hidden="1">{#N/A,#N/A,FALSE,"SGP";#N/A,#N/A,FALSE,"SGI";#N/A,#N/A,FALSE,"SGC";#N/A,#N/A,FALSE,"SGS";#N/A,#N/A,FALSE,"SGB"}</definedName>
    <definedName name="ççç" localSheetId="12" hidden="1">{#N/A,#N/A,FALSE,"SGP";#N/A,#N/A,FALSE,"SGI";#N/A,#N/A,FALSE,"SGC";#N/A,#N/A,FALSE,"SGS";#N/A,#N/A,FALSE,"SGB"}</definedName>
    <definedName name="ççç" localSheetId="13" hidden="1">{#N/A,#N/A,FALSE,"SGP";#N/A,#N/A,FALSE,"SGI";#N/A,#N/A,FALSE,"SGC";#N/A,#N/A,FALSE,"SGS";#N/A,#N/A,FALSE,"SGB"}</definedName>
    <definedName name="ççç" localSheetId="14" hidden="1">{#N/A,#N/A,FALSE,"SGP";#N/A,#N/A,FALSE,"SGI";#N/A,#N/A,FALSE,"SGC";#N/A,#N/A,FALSE,"SGS";#N/A,#N/A,FALSE,"SGB"}</definedName>
    <definedName name="ççç" localSheetId="15" hidden="1">{#N/A,#N/A,FALSE,"SGP";#N/A,#N/A,FALSE,"SGI";#N/A,#N/A,FALSE,"SGC";#N/A,#N/A,FALSE,"SGS";#N/A,#N/A,FALSE,"SGB"}</definedName>
    <definedName name="ççç" localSheetId="20" hidden="1">{#N/A,#N/A,FALSE,"SGP";#N/A,#N/A,FALSE,"SGI";#N/A,#N/A,FALSE,"SGC";#N/A,#N/A,FALSE,"SGS";#N/A,#N/A,FALSE,"SGB"}</definedName>
    <definedName name="ççç" localSheetId="21" hidden="1">{#N/A,#N/A,FALSE,"SGP";#N/A,#N/A,FALSE,"SGI";#N/A,#N/A,FALSE,"SGC";#N/A,#N/A,FALSE,"SGS";#N/A,#N/A,FALSE,"SGB"}</definedName>
    <definedName name="ççç" localSheetId="22" hidden="1">{#N/A,#N/A,FALSE,"SGP";#N/A,#N/A,FALSE,"SGI";#N/A,#N/A,FALSE,"SGC";#N/A,#N/A,FALSE,"SGS";#N/A,#N/A,FALSE,"SGB"}</definedName>
    <definedName name="ççç" localSheetId="23" hidden="1">{#N/A,#N/A,FALSE,"SGP";#N/A,#N/A,FALSE,"SGI";#N/A,#N/A,FALSE,"SGC";#N/A,#N/A,FALSE,"SGS";#N/A,#N/A,FALSE,"SGB"}</definedName>
    <definedName name="ççç" localSheetId="24" hidden="1">{#N/A,#N/A,FALSE,"SGP";#N/A,#N/A,FALSE,"SGI";#N/A,#N/A,FALSE,"SGC";#N/A,#N/A,FALSE,"SGS";#N/A,#N/A,FALSE,"SGB"}</definedName>
    <definedName name="ççç" localSheetId="25" hidden="1">{#N/A,#N/A,FALSE,"SGP";#N/A,#N/A,FALSE,"SGI";#N/A,#N/A,FALSE,"SGC";#N/A,#N/A,FALSE,"SGS";#N/A,#N/A,FALSE,"SGB"}</definedName>
    <definedName name="ççç" localSheetId="26" hidden="1">{#N/A,#N/A,FALSE,"SGP";#N/A,#N/A,FALSE,"SGI";#N/A,#N/A,FALSE,"SGC";#N/A,#N/A,FALSE,"SGS";#N/A,#N/A,FALSE,"SGB"}</definedName>
    <definedName name="ççç" localSheetId="27" hidden="1">{#N/A,#N/A,FALSE,"SGP";#N/A,#N/A,FALSE,"SGI";#N/A,#N/A,FALSE,"SGC";#N/A,#N/A,FALSE,"SGS";#N/A,#N/A,FALSE,"SGB"}</definedName>
    <definedName name="ççç" localSheetId="28" hidden="1">{#N/A,#N/A,FALSE,"SGP";#N/A,#N/A,FALSE,"SGI";#N/A,#N/A,FALSE,"SGC";#N/A,#N/A,FALSE,"SGS";#N/A,#N/A,FALSE,"SGB"}</definedName>
    <definedName name="ççç" localSheetId="29" hidden="1">{#N/A,#N/A,FALSE,"SGP";#N/A,#N/A,FALSE,"SGI";#N/A,#N/A,FALSE,"SGC";#N/A,#N/A,FALSE,"SGS";#N/A,#N/A,FALSE,"SGB"}</definedName>
    <definedName name="ççç" localSheetId="30" hidden="1">{#N/A,#N/A,FALSE,"SGP";#N/A,#N/A,FALSE,"SGI";#N/A,#N/A,FALSE,"SGC";#N/A,#N/A,FALSE,"SGS";#N/A,#N/A,FALSE,"SGB"}</definedName>
    <definedName name="ççç" localSheetId="31" hidden="1">{#N/A,#N/A,FALSE,"SGP";#N/A,#N/A,FALSE,"SGI";#N/A,#N/A,FALSE,"SGC";#N/A,#N/A,FALSE,"SGS";#N/A,#N/A,FALSE,"SGB"}</definedName>
    <definedName name="ççç" localSheetId="32" hidden="1">{#N/A,#N/A,FALSE,"SGP";#N/A,#N/A,FALSE,"SGI";#N/A,#N/A,FALSE,"SGC";#N/A,#N/A,FALSE,"SGS";#N/A,#N/A,FALSE,"SGB"}</definedName>
    <definedName name="ççç" hidden="1">{#N/A,#N/A,FALSE,"SGP";#N/A,#N/A,FALSE,"SGI";#N/A,#N/A,FALSE,"SGC";#N/A,#N/A,FALSE,"SGS";#N/A,#N/A,FALSE,"SGB"}</definedName>
    <definedName name="champ" localSheetId="3" hidden="1">{#N/A,#N/A,FALSE,"Tabl. G1";#N/A,#N/A,FALSE,"Tabl. G2"}</definedName>
    <definedName name="champ" localSheetId="5" hidden="1">{#N/A,#N/A,FALSE,"Tabl. G1";#N/A,#N/A,FALSE,"Tabl. G2"}</definedName>
    <definedName name="champ" localSheetId="6" hidden="1">{#N/A,#N/A,FALSE,"Tabl. G1";#N/A,#N/A,FALSE,"Tabl. G2"}</definedName>
    <definedName name="champ" localSheetId="7" hidden="1">{#N/A,#N/A,FALSE,"Tabl. G1";#N/A,#N/A,FALSE,"Tabl. G2"}</definedName>
    <definedName name="champ" localSheetId="9" hidden="1">{#N/A,#N/A,FALSE,"Tabl. G1";#N/A,#N/A,FALSE,"Tabl. G2"}</definedName>
    <definedName name="champ" localSheetId="10" hidden="1">{#N/A,#N/A,FALSE,"Tabl. G1";#N/A,#N/A,FALSE,"Tabl. G2"}</definedName>
    <definedName name="champ" localSheetId="11" hidden="1">{#N/A,#N/A,FALSE,"Tabl. G1";#N/A,#N/A,FALSE,"Tabl. G2"}</definedName>
    <definedName name="champ" localSheetId="12" hidden="1">{#N/A,#N/A,FALSE,"Tabl. G1";#N/A,#N/A,FALSE,"Tabl. G2"}</definedName>
    <definedName name="champ" localSheetId="13" hidden="1">{#N/A,#N/A,FALSE,"Tabl. G1";#N/A,#N/A,FALSE,"Tabl. G2"}</definedName>
    <definedName name="champ" localSheetId="14" hidden="1">{#N/A,#N/A,FALSE,"Tabl. G1";#N/A,#N/A,FALSE,"Tabl. G2"}</definedName>
    <definedName name="champ" localSheetId="15" hidden="1">{#N/A,#N/A,FALSE,"Tabl. G1";#N/A,#N/A,FALSE,"Tabl. G2"}</definedName>
    <definedName name="champ" localSheetId="20" hidden="1">{#N/A,#N/A,FALSE,"Tabl. G1";#N/A,#N/A,FALSE,"Tabl. G2"}</definedName>
    <definedName name="champ" localSheetId="21" hidden="1">{#N/A,#N/A,FALSE,"Tabl. G1";#N/A,#N/A,FALSE,"Tabl. G2"}</definedName>
    <definedName name="champ" localSheetId="22" hidden="1">{#N/A,#N/A,FALSE,"Tabl. G1";#N/A,#N/A,FALSE,"Tabl. G2"}</definedName>
    <definedName name="champ" localSheetId="23" hidden="1">{#N/A,#N/A,FALSE,"Tabl. G1";#N/A,#N/A,FALSE,"Tabl. G2"}</definedName>
    <definedName name="champ" localSheetId="24" hidden="1">{#N/A,#N/A,FALSE,"Tabl. G1";#N/A,#N/A,FALSE,"Tabl. G2"}</definedName>
    <definedName name="champ" localSheetId="25" hidden="1">{#N/A,#N/A,FALSE,"Tabl. G1";#N/A,#N/A,FALSE,"Tabl. G2"}</definedName>
    <definedName name="champ" localSheetId="26" hidden="1">{#N/A,#N/A,FALSE,"Tabl. G1";#N/A,#N/A,FALSE,"Tabl. G2"}</definedName>
    <definedName name="champ" localSheetId="27" hidden="1">{#N/A,#N/A,FALSE,"Tabl. G1";#N/A,#N/A,FALSE,"Tabl. G2"}</definedName>
    <definedName name="champ" localSheetId="28" hidden="1">{#N/A,#N/A,FALSE,"Tabl. G1";#N/A,#N/A,FALSE,"Tabl. G2"}</definedName>
    <definedName name="champ" localSheetId="29" hidden="1">{#N/A,#N/A,FALSE,"Tabl. G1";#N/A,#N/A,FALSE,"Tabl. G2"}</definedName>
    <definedName name="champ" localSheetId="30" hidden="1">{#N/A,#N/A,FALSE,"Tabl. G1";#N/A,#N/A,FALSE,"Tabl. G2"}</definedName>
    <definedName name="champ" localSheetId="31" hidden="1">{#N/A,#N/A,FALSE,"Tabl. G1";#N/A,#N/A,FALSE,"Tabl. G2"}</definedName>
    <definedName name="champ" localSheetId="32" hidden="1">{#N/A,#N/A,FALSE,"Tabl. G1";#N/A,#N/A,FALSE,"Tabl. G2"}</definedName>
    <definedName name="champ" hidden="1">{#N/A,#N/A,FALSE,"Tabl. G1";#N/A,#N/A,FALSE,"Tabl. G2"}</definedName>
    <definedName name="Chun" localSheetId="3" hidden="1">{#N/A,#N/A,FALSE,"ORÇADOxREAL %M.P.";#N/A,#N/A,FALSE,"ORÇADOxREAL";#N/A,#N/A,FALSE,"Receb. Clientes";#N/A,#N/A,FALSE,"Pgto Fornecedores";#N/A,#N/A,FALSE,"% M.P.";#N/A,#N/A,FALSE,"Faturamento M²";#N/A,#N/A,FALSE,"IC"}</definedName>
    <definedName name="Chun" localSheetId="5" hidden="1">{#N/A,#N/A,FALSE,"ORÇADOxREAL %M.P.";#N/A,#N/A,FALSE,"ORÇADOxREAL";#N/A,#N/A,FALSE,"Receb. Clientes";#N/A,#N/A,FALSE,"Pgto Fornecedores";#N/A,#N/A,FALSE,"% M.P.";#N/A,#N/A,FALSE,"Faturamento M²";#N/A,#N/A,FALSE,"IC"}</definedName>
    <definedName name="Chun" localSheetId="6" hidden="1">{#N/A,#N/A,FALSE,"ORÇADOxREAL %M.P.";#N/A,#N/A,FALSE,"ORÇADOxREAL";#N/A,#N/A,FALSE,"Receb. Clientes";#N/A,#N/A,FALSE,"Pgto Fornecedores";#N/A,#N/A,FALSE,"% M.P.";#N/A,#N/A,FALSE,"Faturamento M²";#N/A,#N/A,FALSE,"IC"}</definedName>
    <definedName name="Chun" localSheetId="7" hidden="1">{#N/A,#N/A,FALSE,"ORÇADOxREAL %M.P.";#N/A,#N/A,FALSE,"ORÇADOxREAL";#N/A,#N/A,FALSE,"Receb. Clientes";#N/A,#N/A,FALSE,"Pgto Fornecedores";#N/A,#N/A,FALSE,"% M.P.";#N/A,#N/A,FALSE,"Faturamento M²";#N/A,#N/A,FALSE,"IC"}</definedName>
    <definedName name="Chun" localSheetId="9" hidden="1">{#N/A,#N/A,FALSE,"ORÇADOxREAL %M.P.";#N/A,#N/A,FALSE,"ORÇADOxREAL";#N/A,#N/A,FALSE,"Receb. Clientes";#N/A,#N/A,FALSE,"Pgto Fornecedores";#N/A,#N/A,FALSE,"% M.P.";#N/A,#N/A,FALSE,"Faturamento M²";#N/A,#N/A,FALSE,"IC"}</definedName>
    <definedName name="Chun" localSheetId="10" hidden="1">{#N/A,#N/A,FALSE,"ORÇADOxREAL %M.P.";#N/A,#N/A,FALSE,"ORÇADOxREAL";#N/A,#N/A,FALSE,"Receb. Clientes";#N/A,#N/A,FALSE,"Pgto Fornecedores";#N/A,#N/A,FALSE,"% M.P.";#N/A,#N/A,FALSE,"Faturamento M²";#N/A,#N/A,FALSE,"IC"}</definedName>
    <definedName name="Chun" localSheetId="11" hidden="1">{#N/A,#N/A,FALSE,"ORÇADOxREAL %M.P.";#N/A,#N/A,FALSE,"ORÇADOxREAL";#N/A,#N/A,FALSE,"Receb. Clientes";#N/A,#N/A,FALSE,"Pgto Fornecedores";#N/A,#N/A,FALSE,"% M.P.";#N/A,#N/A,FALSE,"Faturamento M²";#N/A,#N/A,FALSE,"IC"}</definedName>
    <definedName name="Chun" localSheetId="12" hidden="1">{#N/A,#N/A,FALSE,"ORÇADOxREAL %M.P.";#N/A,#N/A,FALSE,"ORÇADOxREAL";#N/A,#N/A,FALSE,"Receb. Clientes";#N/A,#N/A,FALSE,"Pgto Fornecedores";#N/A,#N/A,FALSE,"% M.P.";#N/A,#N/A,FALSE,"Faturamento M²";#N/A,#N/A,FALSE,"IC"}</definedName>
    <definedName name="Chun" localSheetId="13" hidden="1">{#N/A,#N/A,FALSE,"ORÇADOxREAL %M.P.";#N/A,#N/A,FALSE,"ORÇADOxREAL";#N/A,#N/A,FALSE,"Receb. Clientes";#N/A,#N/A,FALSE,"Pgto Fornecedores";#N/A,#N/A,FALSE,"% M.P.";#N/A,#N/A,FALSE,"Faturamento M²";#N/A,#N/A,FALSE,"IC"}</definedName>
    <definedName name="Chun" localSheetId="14" hidden="1">{#N/A,#N/A,FALSE,"ORÇADOxREAL %M.P.";#N/A,#N/A,FALSE,"ORÇADOxREAL";#N/A,#N/A,FALSE,"Receb. Clientes";#N/A,#N/A,FALSE,"Pgto Fornecedores";#N/A,#N/A,FALSE,"% M.P.";#N/A,#N/A,FALSE,"Faturamento M²";#N/A,#N/A,FALSE,"IC"}</definedName>
    <definedName name="Chun" localSheetId="15" hidden="1">{#N/A,#N/A,FALSE,"ORÇADOxREAL %M.P.";#N/A,#N/A,FALSE,"ORÇADOxREAL";#N/A,#N/A,FALSE,"Receb. Clientes";#N/A,#N/A,FALSE,"Pgto Fornecedores";#N/A,#N/A,FALSE,"% M.P.";#N/A,#N/A,FALSE,"Faturamento M²";#N/A,#N/A,FALSE,"IC"}</definedName>
    <definedName name="Chun" localSheetId="20" hidden="1">{#N/A,#N/A,FALSE,"ORÇADOxREAL %M.P.";#N/A,#N/A,FALSE,"ORÇADOxREAL";#N/A,#N/A,FALSE,"Receb. Clientes";#N/A,#N/A,FALSE,"Pgto Fornecedores";#N/A,#N/A,FALSE,"% M.P.";#N/A,#N/A,FALSE,"Faturamento M²";#N/A,#N/A,FALSE,"IC"}</definedName>
    <definedName name="Chun" localSheetId="21" hidden="1">{#N/A,#N/A,FALSE,"ORÇADOxREAL %M.P.";#N/A,#N/A,FALSE,"ORÇADOxREAL";#N/A,#N/A,FALSE,"Receb. Clientes";#N/A,#N/A,FALSE,"Pgto Fornecedores";#N/A,#N/A,FALSE,"% M.P.";#N/A,#N/A,FALSE,"Faturamento M²";#N/A,#N/A,FALSE,"IC"}</definedName>
    <definedName name="Chun" localSheetId="22" hidden="1">{#N/A,#N/A,FALSE,"ORÇADOxREAL %M.P.";#N/A,#N/A,FALSE,"ORÇADOxREAL";#N/A,#N/A,FALSE,"Receb. Clientes";#N/A,#N/A,FALSE,"Pgto Fornecedores";#N/A,#N/A,FALSE,"% M.P.";#N/A,#N/A,FALSE,"Faturamento M²";#N/A,#N/A,FALSE,"IC"}</definedName>
    <definedName name="Chun" localSheetId="23" hidden="1">{#N/A,#N/A,FALSE,"ORÇADOxREAL %M.P.";#N/A,#N/A,FALSE,"ORÇADOxREAL";#N/A,#N/A,FALSE,"Receb. Clientes";#N/A,#N/A,FALSE,"Pgto Fornecedores";#N/A,#N/A,FALSE,"% M.P.";#N/A,#N/A,FALSE,"Faturamento M²";#N/A,#N/A,FALSE,"IC"}</definedName>
    <definedName name="Chun" localSheetId="24" hidden="1">{#N/A,#N/A,FALSE,"ORÇADOxREAL %M.P.";#N/A,#N/A,FALSE,"ORÇADOxREAL";#N/A,#N/A,FALSE,"Receb. Clientes";#N/A,#N/A,FALSE,"Pgto Fornecedores";#N/A,#N/A,FALSE,"% M.P.";#N/A,#N/A,FALSE,"Faturamento M²";#N/A,#N/A,FALSE,"IC"}</definedName>
    <definedName name="Chun" localSheetId="25" hidden="1">{#N/A,#N/A,FALSE,"ORÇADOxREAL %M.P.";#N/A,#N/A,FALSE,"ORÇADOxREAL";#N/A,#N/A,FALSE,"Receb. Clientes";#N/A,#N/A,FALSE,"Pgto Fornecedores";#N/A,#N/A,FALSE,"% M.P.";#N/A,#N/A,FALSE,"Faturamento M²";#N/A,#N/A,FALSE,"IC"}</definedName>
    <definedName name="Chun" localSheetId="26" hidden="1">{#N/A,#N/A,FALSE,"ORÇADOxREAL %M.P.";#N/A,#N/A,FALSE,"ORÇADOxREAL";#N/A,#N/A,FALSE,"Receb. Clientes";#N/A,#N/A,FALSE,"Pgto Fornecedores";#N/A,#N/A,FALSE,"% M.P.";#N/A,#N/A,FALSE,"Faturamento M²";#N/A,#N/A,FALSE,"IC"}</definedName>
    <definedName name="Chun" localSheetId="27" hidden="1">{#N/A,#N/A,FALSE,"ORÇADOxREAL %M.P.";#N/A,#N/A,FALSE,"ORÇADOxREAL";#N/A,#N/A,FALSE,"Receb. Clientes";#N/A,#N/A,FALSE,"Pgto Fornecedores";#N/A,#N/A,FALSE,"% M.P.";#N/A,#N/A,FALSE,"Faturamento M²";#N/A,#N/A,FALSE,"IC"}</definedName>
    <definedName name="Chun" localSheetId="28" hidden="1">{#N/A,#N/A,FALSE,"ORÇADOxREAL %M.P.";#N/A,#N/A,FALSE,"ORÇADOxREAL";#N/A,#N/A,FALSE,"Receb. Clientes";#N/A,#N/A,FALSE,"Pgto Fornecedores";#N/A,#N/A,FALSE,"% M.P.";#N/A,#N/A,FALSE,"Faturamento M²";#N/A,#N/A,FALSE,"IC"}</definedName>
    <definedName name="Chun" localSheetId="29" hidden="1">{#N/A,#N/A,FALSE,"ORÇADOxREAL %M.P.";#N/A,#N/A,FALSE,"ORÇADOxREAL";#N/A,#N/A,FALSE,"Receb. Clientes";#N/A,#N/A,FALSE,"Pgto Fornecedores";#N/A,#N/A,FALSE,"% M.P.";#N/A,#N/A,FALSE,"Faturamento M²";#N/A,#N/A,FALSE,"IC"}</definedName>
    <definedName name="Chun" localSheetId="30" hidden="1">{#N/A,#N/A,FALSE,"ORÇADOxREAL %M.P.";#N/A,#N/A,FALSE,"ORÇADOxREAL";#N/A,#N/A,FALSE,"Receb. Clientes";#N/A,#N/A,FALSE,"Pgto Fornecedores";#N/A,#N/A,FALSE,"% M.P.";#N/A,#N/A,FALSE,"Faturamento M²";#N/A,#N/A,FALSE,"IC"}</definedName>
    <definedName name="Chun" localSheetId="31" hidden="1">{#N/A,#N/A,FALSE,"ORÇADOxREAL %M.P.";#N/A,#N/A,FALSE,"ORÇADOxREAL";#N/A,#N/A,FALSE,"Receb. Clientes";#N/A,#N/A,FALSE,"Pgto Fornecedores";#N/A,#N/A,FALSE,"% M.P.";#N/A,#N/A,FALSE,"Faturamento M²";#N/A,#N/A,FALSE,"IC"}</definedName>
    <definedName name="Chun" localSheetId="32" hidden="1">{#N/A,#N/A,FALSE,"ORÇADOxREAL %M.P.";#N/A,#N/A,FALSE,"ORÇADOxREAL";#N/A,#N/A,FALSE,"Receb. Clientes";#N/A,#N/A,FALSE,"Pgto Fornecedores";#N/A,#N/A,FALSE,"% M.P.";#N/A,#N/A,FALSE,"Faturamento M²";#N/A,#N/A,FALSE,"IC"}</definedName>
    <definedName name="Chun" hidden="1">{#N/A,#N/A,FALSE,"ORÇADOxREAL %M.P.";#N/A,#N/A,FALSE,"ORÇADOxREAL";#N/A,#N/A,FALSE,"Receb. Clientes";#N/A,#N/A,FALSE,"Pgto Fornecedores";#N/A,#N/A,FALSE,"% M.P.";#N/A,#N/A,FALSE,"Faturamento M²";#N/A,#N/A,FALSE,"IC"}</definedName>
    <definedName name="CV" localSheetId="3" hidden="1">{#N/A,#N/A,FALSE,"Tabl. G1";#N/A,#N/A,FALSE,"Tabl. G2"}</definedName>
    <definedName name="CV" localSheetId="5" hidden="1">{#N/A,#N/A,FALSE,"Tabl. G1";#N/A,#N/A,FALSE,"Tabl. G2"}</definedName>
    <definedName name="CV" localSheetId="6" hidden="1">{#N/A,#N/A,FALSE,"Tabl. G1";#N/A,#N/A,FALSE,"Tabl. G2"}</definedName>
    <definedName name="CV" localSheetId="7" hidden="1">{#N/A,#N/A,FALSE,"Tabl. G1";#N/A,#N/A,FALSE,"Tabl. G2"}</definedName>
    <definedName name="CV" localSheetId="9" hidden="1">{#N/A,#N/A,FALSE,"Tabl. G1";#N/A,#N/A,FALSE,"Tabl. G2"}</definedName>
    <definedName name="CV" localSheetId="10" hidden="1">{#N/A,#N/A,FALSE,"Tabl. G1";#N/A,#N/A,FALSE,"Tabl. G2"}</definedName>
    <definedName name="CV" localSheetId="11" hidden="1">{#N/A,#N/A,FALSE,"Tabl. G1";#N/A,#N/A,FALSE,"Tabl. G2"}</definedName>
    <definedName name="CV" localSheetId="12" hidden="1">{#N/A,#N/A,FALSE,"Tabl. G1";#N/A,#N/A,FALSE,"Tabl. G2"}</definedName>
    <definedName name="CV" localSheetId="13" hidden="1">{#N/A,#N/A,FALSE,"Tabl. G1";#N/A,#N/A,FALSE,"Tabl. G2"}</definedName>
    <definedName name="CV" localSheetId="14" hidden="1">{#N/A,#N/A,FALSE,"Tabl. G1";#N/A,#N/A,FALSE,"Tabl. G2"}</definedName>
    <definedName name="CV" localSheetId="15" hidden="1">{#N/A,#N/A,FALSE,"Tabl. G1";#N/A,#N/A,FALSE,"Tabl. G2"}</definedName>
    <definedName name="CV" localSheetId="20" hidden="1">{#N/A,#N/A,FALSE,"Tabl. G1";#N/A,#N/A,FALSE,"Tabl. G2"}</definedName>
    <definedName name="CV" localSheetId="21" hidden="1">{#N/A,#N/A,FALSE,"Tabl. G1";#N/A,#N/A,FALSE,"Tabl. G2"}</definedName>
    <definedName name="CV" localSheetId="22" hidden="1">{#N/A,#N/A,FALSE,"Tabl. G1";#N/A,#N/A,FALSE,"Tabl. G2"}</definedName>
    <definedName name="CV" localSheetId="23" hidden="1">{#N/A,#N/A,FALSE,"Tabl. G1";#N/A,#N/A,FALSE,"Tabl. G2"}</definedName>
    <definedName name="CV" localSheetId="24" hidden="1">{#N/A,#N/A,FALSE,"Tabl. G1";#N/A,#N/A,FALSE,"Tabl. G2"}</definedName>
    <definedName name="CV" localSheetId="25" hidden="1">{#N/A,#N/A,FALSE,"Tabl. G1";#N/A,#N/A,FALSE,"Tabl. G2"}</definedName>
    <definedName name="CV" localSheetId="26" hidden="1">{#N/A,#N/A,FALSE,"Tabl. G1";#N/A,#N/A,FALSE,"Tabl. G2"}</definedName>
    <definedName name="CV" localSheetId="27" hidden="1">{#N/A,#N/A,FALSE,"Tabl. G1";#N/A,#N/A,FALSE,"Tabl. G2"}</definedName>
    <definedName name="CV" localSheetId="28" hidden="1">{#N/A,#N/A,FALSE,"Tabl. G1";#N/A,#N/A,FALSE,"Tabl. G2"}</definedName>
    <definedName name="CV" localSheetId="29" hidden="1">{#N/A,#N/A,FALSE,"Tabl. G1";#N/A,#N/A,FALSE,"Tabl. G2"}</definedName>
    <definedName name="CV" localSheetId="30" hidden="1">{#N/A,#N/A,FALSE,"Tabl. G1";#N/A,#N/A,FALSE,"Tabl. G2"}</definedName>
    <definedName name="CV" localSheetId="31" hidden="1">{#N/A,#N/A,FALSE,"Tabl. G1";#N/A,#N/A,FALSE,"Tabl. G2"}</definedName>
    <definedName name="CV" localSheetId="32" hidden="1">{#N/A,#N/A,FALSE,"Tabl. G1";#N/A,#N/A,FALSE,"Tabl. G2"}</definedName>
    <definedName name="CV" hidden="1">{#N/A,#N/A,FALSE,"Tabl. G1";#N/A,#N/A,FALSE,"Tabl. G2"}</definedName>
    <definedName name="Dados" hidden="1">[1]COMPPROD!#REF!</definedName>
    <definedName name="ddd" localSheetId="3" hidden="1">{#N/A,#N/A,FALSE,"Tabl. G1";#N/A,#N/A,FALSE,"Tabl. G2"}</definedName>
    <definedName name="ddd" localSheetId="5" hidden="1">{#N/A,#N/A,FALSE,"Tabl. G1";#N/A,#N/A,FALSE,"Tabl. G2"}</definedName>
    <definedName name="ddd" localSheetId="6" hidden="1">{#N/A,#N/A,FALSE,"Tabl. G1";#N/A,#N/A,FALSE,"Tabl. G2"}</definedName>
    <definedName name="ddd" localSheetId="7" hidden="1">{#N/A,#N/A,FALSE,"Tabl. G1";#N/A,#N/A,FALSE,"Tabl. G2"}</definedName>
    <definedName name="ddd" localSheetId="9" hidden="1">{#N/A,#N/A,FALSE,"Tabl. G1";#N/A,#N/A,FALSE,"Tabl. G2"}</definedName>
    <definedName name="ddd" localSheetId="10" hidden="1">{#N/A,#N/A,FALSE,"Tabl. G1";#N/A,#N/A,FALSE,"Tabl. G2"}</definedName>
    <definedName name="ddd" localSheetId="11" hidden="1">{#N/A,#N/A,FALSE,"Tabl. G1";#N/A,#N/A,FALSE,"Tabl. G2"}</definedName>
    <definedName name="ddd" localSheetId="12" hidden="1">{#N/A,#N/A,FALSE,"Tabl. G1";#N/A,#N/A,FALSE,"Tabl. G2"}</definedName>
    <definedName name="ddd" localSheetId="13" hidden="1">{#N/A,#N/A,FALSE,"Tabl. G1";#N/A,#N/A,FALSE,"Tabl. G2"}</definedName>
    <definedName name="ddd" localSheetId="14" hidden="1">{#N/A,#N/A,FALSE,"Tabl. G1";#N/A,#N/A,FALSE,"Tabl. G2"}</definedName>
    <definedName name="ddd" localSheetId="15" hidden="1">{#N/A,#N/A,FALSE,"Tabl. G1";#N/A,#N/A,FALSE,"Tabl. G2"}</definedName>
    <definedName name="ddd" localSheetId="20" hidden="1">{#N/A,#N/A,FALSE,"Tabl. G1";#N/A,#N/A,FALSE,"Tabl. G2"}</definedName>
    <definedName name="ddd" localSheetId="21" hidden="1">{#N/A,#N/A,FALSE,"Tabl. G1";#N/A,#N/A,FALSE,"Tabl. G2"}</definedName>
    <definedName name="ddd" localSheetId="22" hidden="1">{#N/A,#N/A,FALSE,"Tabl. G1";#N/A,#N/A,FALSE,"Tabl. G2"}</definedName>
    <definedName name="ddd" localSheetId="23" hidden="1">{#N/A,#N/A,FALSE,"Tabl. G1";#N/A,#N/A,FALSE,"Tabl. G2"}</definedName>
    <definedName name="ddd" localSheetId="24" hidden="1">{#N/A,#N/A,FALSE,"Tabl. G1";#N/A,#N/A,FALSE,"Tabl. G2"}</definedName>
    <definedName name="ddd" localSheetId="25" hidden="1">{#N/A,#N/A,FALSE,"Tabl. G1";#N/A,#N/A,FALSE,"Tabl. G2"}</definedName>
    <definedName name="ddd" localSheetId="26" hidden="1">{#N/A,#N/A,FALSE,"Tabl. G1";#N/A,#N/A,FALSE,"Tabl. G2"}</definedName>
    <definedName name="ddd" localSheetId="27" hidden="1">{#N/A,#N/A,FALSE,"Tabl. G1";#N/A,#N/A,FALSE,"Tabl. G2"}</definedName>
    <definedName name="ddd" localSheetId="28" hidden="1">{#N/A,#N/A,FALSE,"Tabl. G1";#N/A,#N/A,FALSE,"Tabl. G2"}</definedName>
    <definedName name="ddd" localSheetId="29" hidden="1">{#N/A,#N/A,FALSE,"Tabl. G1";#N/A,#N/A,FALSE,"Tabl. G2"}</definedName>
    <definedName name="ddd" localSheetId="30" hidden="1">{#N/A,#N/A,FALSE,"Tabl. G1";#N/A,#N/A,FALSE,"Tabl. G2"}</definedName>
    <definedName name="ddd" localSheetId="31" hidden="1">{#N/A,#N/A,FALSE,"Tabl. G1";#N/A,#N/A,FALSE,"Tabl. G2"}</definedName>
    <definedName name="ddd" localSheetId="32" hidden="1">{#N/A,#N/A,FALSE,"Tabl. G1";#N/A,#N/A,FALSE,"Tabl. G2"}</definedName>
    <definedName name="ddd" hidden="1">{#N/A,#N/A,FALSE,"Tabl. G1";#N/A,#N/A,FALSE,"Tabl. G2"}</definedName>
    <definedName name="dddddd" localSheetId="3" hidden="1">{#N/A,#N/A,FALSE,"Tabl. FB300";#N/A,#N/A,FALSE,"Tabl. FB350";#N/A,#N/A,FALSE,"Tabl. FB400";#N/A,#N/A,FALSE,"Tabl. FB500";#N/A,#N/A,FALSE,"Tabl. FS090"}</definedName>
    <definedName name="dddddd" localSheetId="5" hidden="1">{#N/A,#N/A,FALSE,"Tabl. FB300";#N/A,#N/A,FALSE,"Tabl. FB350";#N/A,#N/A,FALSE,"Tabl. FB400";#N/A,#N/A,FALSE,"Tabl. FB500";#N/A,#N/A,FALSE,"Tabl. FS090"}</definedName>
    <definedName name="dddddd" localSheetId="6" hidden="1">{#N/A,#N/A,FALSE,"Tabl. FB300";#N/A,#N/A,FALSE,"Tabl. FB350";#N/A,#N/A,FALSE,"Tabl. FB400";#N/A,#N/A,FALSE,"Tabl. FB500";#N/A,#N/A,FALSE,"Tabl. FS090"}</definedName>
    <definedName name="dddddd" localSheetId="7" hidden="1">{#N/A,#N/A,FALSE,"Tabl. FB300";#N/A,#N/A,FALSE,"Tabl. FB350";#N/A,#N/A,FALSE,"Tabl. FB400";#N/A,#N/A,FALSE,"Tabl. FB500";#N/A,#N/A,FALSE,"Tabl. FS090"}</definedName>
    <definedName name="dddddd" localSheetId="9" hidden="1">{#N/A,#N/A,FALSE,"Tabl. FB300";#N/A,#N/A,FALSE,"Tabl. FB350";#N/A,#N/A,FALSE,"Tabl. FB400";#N/A,#N/A,FALSE,"Tabl. FB500";#N/A,#N/A,FALSE,"Tabl. FS090"}</definedName>
    <definedName name="dddddd" localSheetId="10" hidden="1">{#N/A,#N/A,FALSE,"Tabl. FB300";#N/A,#N/A,FALSE,"Tabl. FB350";#N/A,#N/A,FALSE,"Tabl. FB400";#N/A,#N/A,FALSE,"Tabl. FB500";#N/A,#N/A,FALSE,"Tabl. FS090"}</definedName>
    <definedName name="dddddd" localSheetId="11" hidden="1">{#N/A,#N/A,FALSE,"Tabl. FB300";#N/A,#N/A,FALSE,"Tabl. FB350";#N/A,#N/A,FALSE,"Tabl. FB400";#N/A,#N/A,FALSE,"Tabl. FB500";#N/A,#N/A,FALSE,"Tabl. FS090"}</definedName>
    <definedName name="dddddd" localSheetId="12" hidden="1">{#N/A,#N/A,FALSE,"Tabl. FB300";#N/A,#N/A,FALSE,"Tabl. FB350";#N/A,#N/A,FALSE,"Tabl. FB400";#N/A,#N/A,FALSE,"Tabl. FB500";#N/A,#N/A,FALSE,"Tabl. FS090"}</definedName>
    <definedName name="dddddd" localSheetId="13" hidden="1">{#N/A,#N/A,FALSE,"Tabl. FB300";#N/A,#N/A,FALSE,"Tabl. FB350";#N/A,#N/A,FALSE,"Tabl. FB400";#N/A,#N/A,FALSE,"Tabl. FB500";#N/A,#N/A,FALSE,"Tabl. FS090"}</definedName>
    <definedName name="dddddd" localSheetId="14" hidden="1">{#N/A,#N/A,FALSE,"Tabl. FB300";#N/A,#N/A,FALSE,"Tabl. FB350";#N/A,#N/A,FALSE,"Tabl. FB400";#N/A,#N/A,FALSE,"Tabl. FB500";#N/A,#N/A,FALSE,"Tabl. FS090"}</definedName>
    <definedName name="dddddd" localSheetId="15" hidden="1">{#N/A,#N/A,FALSE,"Tabl. FB300";#N/A,#N/A,FALSE,"Tabl. FB350";#N/A,#N/A,FALSE,"Tabl. FB400";#N/A,#N/A,FALSE,"Tabl. FB500";#N/A,#N/A,FALSE,"Tabl. FS090"}</definedName>
    <definedName name="dddddd" localSheetId="20" hidden="1">{#N/A,#N/A,FALSE,"Tabl. FB300";#N/A,#N/A,FALSE,"Tabl. FB350";#N/A,#N/A,FALSE,"Tabl. FB400";#N/A,#N/A,FALSE,"Tabl. FB500";#N/A,#N/A,FALSE,"Tabl. FS090"}</definedName>
    <definedName name="dddddd" localSheetId="21" hidden="1">{#N/A,#N/A,FALSE,"Tabl. FB300";#N/A,#N/A,FALSE,"Tabl. FB350";#N/A,#N/A,FALSE,"Tabl. FB400";#N/A,#N/A,FALSE,"Tabl. FB500";#N/A,#N/A,FALSE,"Tabl. FS090"}</definedName>
    <definedName name="dddddd" localSheetId="22" hidden="1">{#N/A,#N/A,FALSE,"Tabl. FB300";#N/A,#N/A,FALSE,"Tabl. FB350";#N/A,#N/A,FALSE,"Tabl. FB400";#N/A,#N/A,FALSE,"Tabl. FB500";#N/A,#N/A,FALSE,"Tabl. FS090"}</definedName>
    <definedName name="dddddd" localSheetId="23" hidden="1">{#N/A,#N/A,FALSE,"Tabl. FB300";#N/A,#N/A,FALSE,"Tabl. FB350";#N/A,#N/A,FALSE,"Tabl. FB400";#N/A,#N/A,FALSE,"Tabl. FB500";#N/A,#N/A,FALSE,"Tabl. FS090"}</definedName>
    <definedName name="dddddd" localSheetId="24" hidden="1">{#N/A,#N/A,FALSE,"Tabl. FB300";#N/A,#N/A,FALSE,"Tabl. FB350";#N/A,#N/A,FALSE,"Tabl. FB400";#N/A,#N/A,FALSE,"Tabl. FB500";#N/A,#N/A,FALSE,"Tabl. FS090"}</definedName>
    <definedName name="dddddd" localSheetId="25" hidden="1">{#N/A,#N/A,FALSE,"Tabl. FB300";#N/A,#N/A,FALSE,"Tabl. FB350";#N/A,#N/A,FALSE,"Tabl. FB400";#N/A,#N/A,FALSE,"Tabl. FB500";#N/A,#N/A,FALSE,"Tabl. FS090"}</definedName>
    <definedName name="dddddd" localSheetId="26" hidden="1">{#N/A,#N/A,FALSE,"Tabl. FB300";#N/A,#N/A,FALSE,"Tabl. FB350";#N/A,#N/A,FALSE,"Tabl. FB400";#N/A,#N/A,FALSE,"Tabl. FB500";#N/A,#N/A,FALSE,"Tabl. FS090"}</definedName>
    <definedName name="dddddd" localSheetId="27" hidden="1">{#N/A,#N/A,FALSE,"Tabl. FB300";#N/A,#N/A,FALSE,"Tabl. FB350";#N/A,#N/A,FALSE,"Tabl. FB400";#N/A,#N/A,FALSE,"Tabl. FB500";#N/A,#N/A,FALSE,"Tabl. FS090"}</definedName>
    <definedName name="dddddd" localSheetId="28" hidden="1">{#N/A,#N/A,FALSE,"Tabl. FB300";#N/A,#N/A,FALSE,"Tabl. FB350";#N/A,#N/A,FALSE,"Tabl. FB400";#N/A,#N/A,FALSE,"Tabl. FB500";#N/A,#N/A,FALSE,"Tabl. FS090"}</definedName>
    <definedName name="dddddd" localSheetId="29" hidden="1">{#N/A,#N/A,FALSE,"Tabl. FB300";#N/A,#N/A,FALSE,"Tabl. FB350";#N/A,#N/A,FALSE,"Tabl. FB400";#N/A,#N/A,FALSE,"Tabl. FB500";#N/A,#N/A,FALSE,"Tabl. FS090"}</definedName>
    <definedName name="dddddd" localSheetId="30" hidden="1">{#N/A,#N/A,FALSE,"Tabl. FB300";#N/A,#N/A,FALSE,"Tabl. FB350";#N/A,#N/A,FALSE,"Tabl. FB400";#N/A,#N/A,FALSE,"Tabl. FB500";#N/A,#N/A,FALSE,"Tabl. FS090"}</definedName>
    <definedName name="dddddd" localSheetId="31" hidden="1">{#N/A,#N/A,FALSE,"Tabl. FB300";#N/A,#N/A,FALSE,"Tabl. FB350";#N/A,#N/A,FALSE,"Tabl. FB400";#N/A,#N/A,FALSE,"Tabl. FB500";#N/A,#N/A,FALSE,"Tabl. FS090"}</definedName>
    <definedName name="dddddd" localSheetId="32" hidden="1">{#N/A,#N/A,FALSE,"Tabl. FB300";#N/A,#N/A,FALSE,"Tabl. FB350";#N/A,#N/A,FALSE,"Tabl. FB400";#N/A,#N/A,FALSE,"Tabl. FB500";#N/A,#N/A,FALSE,"Tabl. FS090"}</definedName>
    <definedName name="dddddd" hidden="1">{#N/A,#N/A,FALSE,"Tabl. FB300";#N/A,#N/A,FALSE,"Tabl. FB350";#N/A,#N/A,FALSE,"Tabl. FB400";#N/A,#N/A,FALSE,"Tabl. FB500";#N/A,#N/A,FALSE,"Tabl. FS090"}</definedName>
    <definedName name="DEIP_Atual" localSheetId="3" hidden="1">{"'RR'!$A$2:$E$81"}</definedName>
    <definedName name="DEIP_Atual" localSheetId="5" hidden="1">{"'RR'!$A$2:$E$81"}</definedName>
    <definedName name="DEIP_Atual" localSheetId="6" hidden="1">{"'RR'!$A$2:$E$81"}</definedName>
    <definedName name="DEIP_Atual" localSheetId="7" hidden="1">{"'RR'!$A$2:$E$81"}</definedName>
    <definedName name="DEIP_Atual" localSheetId="9" hidden="1">{"'RR'!$A$2:$E$81"}</definedName>
    <definedName name="DEIP_Atual" localSheetId="10" hidden="1">{"'RR'!$A$2:$E$81"}</definedName>
    <definedName name="DEIP_Atual" localSheetId="11" hidden="1">{"'RR'!$A$2:$E$81"}</definedName>
    <definedName name="DEIP_Atual" localSheetId="12" hidden="1">{"'RR'!$A$2:$E$81"}</definedName>
    <definedName name="DEIP_Atual" localSheetId="13" hidden="1">{"'RR'!$A$2:$E$81"}</definedName>
    <definedName name="DEIP_Atual" localSheetId="14" hidden="1">{"'RR'!$A$2:$E$81"}</definedName>
    <definedName name="DEIP_Atual" localSheetId="15" hidden="1">{"'RR'!$A$2:$E$81"}</definedName>
    <definedName name="DEIP_Atual" localSheetId="20" hidden="1">{"'RR'!$A$2:$E$81"}</definedName>
    <definedName name="DEIP_Atual" localSheetId="21" hidden="1">{"'RR'!$A$2:$E$81"}</definedName>
    <definedName name="DEIP_Atual" localSheetId="22" hidden="1">{"'RR'!$A$2:$E$81"}</definedName>
    <definedName name="DEIP_Atual" localSheetId="23" hidden="1">{"'RR'!$A$2:$E$81"}</definedName>
    <definedName name="DEIP_Atual" localSheetId="24" hidden="1">{"'RR'!$A$2:$E$81"}</definedName>
    <definedName name="DEIP_Atual" localSheetId="25" hidden="1">{"'RR'!$A$2:$E$81"}</definedName>
    <definedName name="DEIP_Atual" localSheetId="26" hidden="1">{"'RR'!$A$2:$E$81"}</definedName>
    <definedName name="DEIP_Atual" localSheetId="27" hidden="1">{"'RR'!$A$2:$E$81"}</definedName>
    <definedName name="DEIP_Atual" localSheetId="28" hidden="1">{"'RR'!$A$2:$E$81"}</definedName>
    <definedName name="DEIP_Atual" localSheetId="29" hidden="1">{"'RR'!$A$2:$E$81"}</definedName>
    <definedName name="DEIP_Atual" localSheetId="30" hidden="1">{"'RR'!$A$2:$E$81"}</definedName>
    <definedName name="DEIP_Atual" localSheetId="31" hidden="1">{"'RR'!$A$2:$E$81"}</definedName>
    <definedName name="DEIP_Atual" localSheetId="32" hidden="1">{"'RR'!$A$2:$E$81"}</definedName>
    <definedName name="DEIP_Atual" hidden="1">{"'RR'!$A$2:$E$81"}</definedName>
    <definedName name="DESVIOMETA_FM_CRU_IJC" localSheetId="3" hidden="1">{#N/A,#N/A,FALSE,"RAINHA TOPPER CONSOL 16";#N/A,#N/A,FALSE,"BOLAS 17";#N/A,#N/A,FALSE,"VESTUÁRIO 18";#N/A,#N/A,FALSE,"Rainha Topper Mês e Acum 19";#N/A,#N/A,FALSE,"Rainha Topper Acum 20"}</definedName>
    <definedName name="DESVIOMETA_FM_CRU_IJC" localSheetId="5" hidden="1">{#N/A,#N/A,FALSE,"RAINHA TOPPER CONSOL 16";#N/A,#N/A,FALSE,"BOLAS 17";#N/A,#N/A,FALSE,"VESTUÁRIO 18";#N/A,#N/A,FALSE,"Rainha Topper Mês e Acum 19";#N/A,#N/A,FALSE,"Rainha Topper Acum 20"}</definedName>
    <definedName name="DESVIOMETA_FM_CRU_IJC" localSheetId="6" hidden="1">{#N/A,#N/A,FALSE,"RAINHA TOPPER CONSOL 16";#N/A,#N/A,FALSE,"BOLAS 17";#N/A,#N/A,FALSE,"VESTUÁRIO 18";#N/A,#N/A,FALSE,"Rainha Topper Mês e Acum 19";#N/A,#N/A,FALSE,"Rainha Topper Acum 20"}</definedName>
    <definedName name="DESVIOMETA_FM_CRU_IJC" localSheetId="7" hidden="1">{#N/A,#N/A,FALSE,"RAINHA TOPPER CONSOL 16";#N/A,#N/A,FALSE,"BOLAS 17";#N/A,#N/A,FALSE,"VESTUÁRIO 18";#N/A,#N/A,FALSE,"Rainha Topper Mês e Acum 19";#N/A,#N/A,FALSE,"Rainha Topper Acum 20"}</definedName>
    <definedName name="DESVIOMETA_FM_CRU_IJC" localSheetId="9" hidden="1">{#N/A,#N/A,FALSE,"RAINHA TOPPER CONSOL 16";#N/A,#N/A,FALSE,"BOLAS 17";#N/A,#N/A,FALSE,"VESTUÁRIO 18";#N/A,#N/A,FALSE,"Rainha Topper Mês e Acum 19";#N/A,#N/A,FALSE,"Rainha Topper Acum 20"}</definedName>
    <definedName name="DESVIOMETA_FM_CRU_IJC" localSheetId="10" hidden="1">{#N/A,#N/A,FALSE,"RAINHA TOPPER CONSOL 16";#N/A,#N/A,FALSE,"BOLAS 17";#N/A,#N/A,FALSE,"VESTUÁRIO 18";#N/A,#N/A,FALSE,"Rainha Topper Mês e Acum 19";#N/A,#N/A,FALSE,"Rainha Topper Acum 20"}</definedName>
    <definedName name="DESVIOMETA_FM_CRU_IJC" localSheetId="11" hidden="1">{#N/A,#N/A,FALSE,"RAINHA TOPPER CONSOL 16";#N/A,#N/A,FALSE,"BOLAS 17";#N/A,#N/A,FALSE,"VESTUÁRIO 18";#N/A,#N/A,FALSE,"Rainha Topper Mês e Acum 19";#N/A,#N/A,FALSE,"Rainha Topper Acum 20"}</definedName>
    <definedName name="DESVIOMETA_FM_CRU_IJC" localSheetId="12" hidden="1">{#N/A,#N/A,FALSE,"RAINHA TOPPER CONSOL 16";#N/A,#N/A,FALSE,"BOLAS 17";#N/A,#N/A,FALSE,"VESTUÁRIO 18";#N/A,#N/A,FALSE,"Rainha Topper Mês e Acum 19";#N/A,#N/A,FALSE,"Rainha Topper Acum 20"}</definedName>
    <definedName name="DESVIOMETA_FM_CRU_IJC" localSheetId="13" hidden="1">{#N/A,#N/A,FALSE,"RAINHA TOPPER CONSOL 16";#N/A,#N/A,FALSE,"BOLAS 17";#N/A,#N/A,FALSE,"VESTUÁRIO 18";#N/A,#N/A,FALSE,"Rainha Topper Mês e Acum 19";#N/A,#N/A,FALSE,"Rainha Topper Acum 20"}</definedName>
    <definedName name="DESVIOMETA_FM_CRU_IJC" localSheetId="14" hidden="1">{#N/A,#N/A,FALSE,"RAINHA TOPPER CONSOL 16";#N/A,#N/A,FALSE,"BOLAS 17";#N/A,#N/A,FALSE,"VESTUÁRIO 18";#N/A,#N/A,FALSE,"Rainha Topper Mês e Acum 19";#N/A,#N/A,FALSE,"Rainha Topper Acum 20"}</definedName>
    <definedName name="DESVIOMETA_FM_CRU_IJC" localSheetId="15" hidden="1">{#N/A,#N/A,FALSE,"RAINHA TOPPER CONSOL 16";#N/A,#N/A,FALSE,"BOLAS 17";#N/A,#N/A,FALSE,"VESTUÁRIO 18";#N/A,#N/A,FALSE,"Rainha Topper Mês e Acum 19";#N/A,#N/A,FALSE,"Rainha Topper Acum 20"}</definedName>
    <definedName name="DESVIOMETA_FM_CRU_IJC" localSheetId="20" hidden="1">{#N/A,#N/A,FALSE,"RAINHA TOPPER CONSOL 16";#N/A,#N/A,FALSE,"BOLAS 17";#N/A,#N/A,FALSE,"VESTUÁRIO 18";#N/A,#N/A,FALSE,"Rainha Topper Mês e Acum 19";#N/A,#N/A,FALSE,"Rainha Topper Acum 20"}</definedName>
    <definedName name="DESVIOMETA_FM_CRU_IJC" localSheetId="21" hidden="1">{#N/A,#N/A,FALSE,"RAINHA TOPPER CONSOL 16";#N/A,#N/A,FALSE,"BOLAS 17";#N/A,#N/A,FALSE,"VESTUÁRIO 18";#N/A,#N/A,FALSE,"Rainha Topper Mês e Acum 19";#N/A,#N/A,FALSE,"Rainha Topper Acum 20"}</definedName>
    <definedName name="DESVIOMETA_FM_CRU_IJC" localSheetId="22" hidden="1">{#N/A,#N/A,FALSE,"RAINHA TOPPER CONSOL 16";#N/A,#N/A,FALSE,"BOLAS 17";#N/A,#N/A,FALSE,"VESTUÁRIO 18";#N/A,#N/A,FALSE,"Rainha Topper Mês e Acum 19";#N/A,#N/A,FALSE,"Rainha Topper Acum 20"}</definedName>
    <definedName name="DESVIOMETA_FM_CRU_IJC" localSheetId="23" hidden="1">{#N/A,#N/A,FALSE,"RAINHA TOPPER CONSOL 16";#N/A,#N/A,FALSE,"BOLAS 17";#N/A,#N/A,FALSE,"VESTUÁRIO 18";#N/A,#N/A,FALSE,"Rainha Topper Mês e Acum 19";#N/A,#N/A,FALSE,"Rainha Topper Acum 20"}</definedName>
    <definedName name="DESVIOMETA_FM_CRU_IJC" localSheetId="24" hidden="1">{#N/A,#N/A,FALSE,"RAINHA TOPPER CONSOL 16";#N/A,#N/A,FALSE,"BOLAS 17";#N/A,#N/A,FALSE,"VESTUÁRIO 18";#N/A,#N/A,FALSE,"Rainha Topper Mês e Acum 19";#N/A,#N/A,FALSE,"Rainha Topper Acum 20"}</definedName>
    <definedName name="DESVIOMETA_FM_CRU_IJC" localSheetId="25" hidden="1">{#N/A,#N/A,FALSE,"RAINHA TOPPER CONSOL 16";#N/A,#N/A,FALSE,"BOLAS 17";#N/A,#N/A,FALSE,"VESTUÁRIO 18";#N/A,#N/A,FALSE,"Rainha Topper Mês e Acum 19";#N/A,#N/A,FALSE,"Rainha Topper Acum 20"}</definedName>
    <definedName name="DESVIOMETA_FM_CRU_IJC" localSheetId="26" hidden="1">{#N/A,#N/A,FALSE,"RAINHA TOPPER CONSOL 16";#N/A,#N/A,FALSE,"BOLAS 17";#N/A,#N/A,FALSE,"VESTUÁRIO 18";#N/A,#N/A,FALSE,"Rainha Topper Mês e Acum 19";#N/A,#N/A,FALSE,"Rainha Topper Acum 20"}</definedName>
    <definedName name="DESVIOMETA_FM_CRU_IJC" localSheetId="27" hidden="1">{#N/A,#N/A,FALSE,"RAINHA TOPPER CONSOL 16";#N/A,#N/A,FALSE,"BOLAS 17";#N/A,#N/A,FALSE,"VESTUÁRIO 18";#N/A,#N/A,FALSE,"Rainha Topper Mês e Acum 19";#N/A,#N/A,FALSE,"Rainha Topper Acum 20"}</definedName>
    <definedName name="DESVIOMETA_FM_CRU_IJC" localSheetId="28" hidden="1">{#N/A,#N/A,FALSE,"RAINHA TOPPER CONSOL 16";#N/A,#N/A,FALSE,"BOLAS 17";#N/A,#N/A,FALSE,"VESTUÁRIO 18";#N/A,#N/A,FALSE,"Rainha Topper Mês e Acum 19";#N/A,#N/A,FALSE,"Rainha Topper Acum 20"}</definedName>
    <definedName name="DESVIOMETA_FM_CRU_IJC" localSheetId="29" hidden="1">{#N/A,#N/A,FALSE,"RAINHA TOPPER CONSOL 16";#N/A,#N/A,FALSE,"BOLAS 17";#N/A,#N/A,FALSE,"VESTUÁRIO 18";#N/A,#N/A,FALSE,"Rainha Topper Mês e Acum 19";#N/A,#N/A,FALSE,"Rainha Topper Acum 20"}</definedName>
    <definedName name="DESVIOMETA_FM_CRU_IJC" localSheetId="30" hidden="1">{#N/A,#N/A,FALSE,"RAINHA TOPPER CONSOL 16";#N/A,#N/A,FALSE,"BOLAS 17";#N/A,#N/A,FALSE,"VESTUÁRIO 18";#N/A,#N/A,FALSE,"Rainha Topper Mês e Acum 19";#N/A,#N/A,FALSE,"Rainha Topper Acum 20"}</definedName>
    <definedName name="DESVIOMETA_FM_CRU_IJC" localSheetId="31" hidden="1">{#N/A,#N/A,FALSE,"RAINHA TOPPER CONSOL 16";#N/A,#N/A,FALSE,"BOLAS 17";#N/A,#N/A,FALSE,"VESTUÁRIO 18";#N/A,#N/A,FALSE,"Rainha Topper Mês e Acum 19";#N/A,#N/A,FALSE,"Rainha Topper Acum 20"}</definedName>
    <definedName name="DESVIOMETA_FM_CRU_IJC" localSheetId="32" hidden="1">{#N/A,#N/A,FALSE,"RAINHA TOPPER CONSOL 16";#N/A,#N/A,FALSE,"BOLAS 17";#N/A,#N/A,FALSE,"VESTUÁRIO 18";#N/A,#N/A,FALSE,"Rainha Topper Mês e Acum 19";#N/A,#N/A,FALSE,"Rainha Topper Acum 20"}</definedName>
    <definedName name="DESVIOMETA_FM_CRU_IJC" hidden="1">{#N/A,#N/A,FALSE,"RAINHA TOPPER CONSOL 16";#N/A,#N/A,FALSE,"BOLAS 17";#N/A,#N/A,FALSE,"VESTUÁRIO 18";#N/A,#N/A,FALSE,"Rainha Topper Mês e Acum 19";#N/A,#N/A,FALSE,"Rainha Topper Acum 20"}</definedName>
    <definedName name="e.3.1.a" localSheetId="3" hidden="1">{#N/A,#N/A,FALSE,"Tabl. G1";#N/A,#N/A,FALSE,"Tabl. G2"}</definedName>
    <definedName name="e.3.1.a" localSheetId="5" hidden="1">{#N/A,#N/A,FALSE,"Tabl. G1";#N/A,#N/A,FALSE,"Tabl. G2"}</definedName>
    <definedName name="e.3.1.a" localSheetId="6" hidden="1">{#N/A,#N/A,FALSE,"Tabl. G1";#N/A,#N/A,FALSE,"Tabl. G2"}</definedName>
    <definedName name="e.3.1.a" localSheetId="7" hidden="1">{#N/A,#N/A,FALSE,"Tabl. G1";#N/A,#N/A,FALSE,"Tabl. G2"}</definedName>
    <definedName name="e.3.1.a" localSheetId="9" hidden="1">{#N/A,#N/A,FALSE,"Tabl. G1";#N/A,#N/A,FALSE,"Tabl. G2"}</definedName>
    <definedName name="e.3.1.a" localSheetId="10" hidden="1">{#N/A,#N/A,FALSE,"Tabl. G1";#N/A,#N/A,FALSE,"Tabl. G2"}</definedName>
    <definedName name="e.3.1.a" localSheetId="11" hidden="1">{#N/A,#N/A,FALSE,"Tabl. G1";#N/A,#N/A,FALSE,"Tabl. G2"}</definedName>
    <definedName name="e.3.1.a" localSheetId="12" hidden="1">{#N/A,#N/A,FALSE,"Tabl. G1";#N/A,#N/A,FALSE,"Tabl. G2"}</definedName>
    <definedName name="e.3.1.a" localSheetId="13" hidden="1">{#N/A,#N/A,FALSE,"Tabl. G1";#N/A,#N/A,FALSE,"Tabl. G2"}</definedName>
    <definedName name="e.3.1.a" localSheetId="14" hidden="1">{#N/A,#N/A,FALSE,"Tabl. G1";#N/A,#N/A,FALSE,"Tabl. G2"}</definedName>
    <definedName name="e.3.1.a" localSheetId="15" hidden="1">{#N/A,#N/A,FALSE,"Tabl. G1";#N/A,#N/A,FALSE,"Tabl. G2"}</definedName>
    <definedName name="e.3.1.a" localSheetId="20" hidden="1">{#N/A,#N/A,FALSE,"Tabl. G1";#N/A,#N/A,FALSE,"Tabl. G2"}</definedName>
    <definedName name="e.3.1.a" localSheetId="21" hidden="1">{#N/A,#N/A,FALSE,"Tabl. G1";#N/A,#N/A,FALSE,"Tabl. G2"}</definedName>
    <definedName name="e.3.1.a" localSheetId="22" hidden="1">{#N/A,#N/A,FALSE,"Tabl. G1";#N/A,#N/A,FALSE,"Tabl. G2"}</definedName>
    <definedName name="e.3.1.a" localSheetId="23" hidden="1">{#N/A,#N/A,FALSE,"Tabl. G1";#N/A,#N/A,FALSE,"Tabl. G2"}</definedName>
    <definedName name="e.3.1.a" localSheetId="24" hidden="1">{#N/A,#N/A,FALSE,"Tabl. G1";#N/A,#N/A,FALSE,"Tabl. G2"}</definedName>
    <definedName name="e.3.1.a" localSheetId="25" hidden="1">{#N/A,#N/A,FALSE,"Tabl. G1";#N/A,#N/A,FALSE,"Tabl. G2"}</definedName>
    <definedName name="e.3.1.a" localSheetId="26" hidden="1">{#N/A,#N/A,FALSE,"Tabl. G1";#N/A,#N/A,FALSE,"Tabl. G2"}</definedName>
    <definedName name="e.3.1.a" localSheetId="27" hidden="1">{#N/A,#N/A,FALSE,"Tabl. G1";#N/A,#N/A,FALSE,"Tabl. G2"}</definedName>
    <definedName name="e.3.1.a" localSheetId="28" hidden="1">{#N/A,#N/A,FALSE,"Tabl. G1";#N/A,#N/A,FALSE,"Tabl. G2"}</definedName>
    <definedName name="e.3.1.a" localSheetId="29" hidden="1">{#N/A,#N/A,FALSE,"Tabl. G1";#N/A,#N/A,FALSE,"Tabl. G2"}</definedName>
    <definedName name="e.3.1.a" localSheetId="30" hidden="1">{#N/A,#N/A,FALSE,"Tabl. G1";#N/A,#N/A,FALSE,"Tabl. G2"}</definedName>
    <definedName name="e.3.1.a" localSheetId="31" hidden="1">{#N/A,#N/A,FALSE,"Tabl. G1";#N/A,#N/A,FALSE,"Tabl. G2"}</definedName>
    <definedName name="e.3.1.a" localSheetId="32" hidden="1">{#N/A,#N/A,FALSE,"Tabl. G1";#N/A,#N/A,FALSE,"Tabl. G2"}</definedName>
    <definedName name="e.3.1.a" hidden="1">{#N/A,#N/A,FALSE,"Tabl. G1";#N/A,#N/A,FALSE,"Tabl. G2"}</definedName>
    <definedName name="eee" localSheetId="3" hidden="1">{#N/A,#N/A,FALSE,"Tabl. H1";#N/A,#N/A,FALSE,"Tabl. H2"}</definedName>
    <definedName name="eee" localSheetId="5" hidden="1">{#N/A,#N/A,FALSE,"Tabl. H1";#N/A,#N/A,FALSE,"Tabl. H2"}</definedName>
    <definedName name="eee" localSheetId="6" hidden="1">{#N/A,#N/A,FALSE,"Tabl. H1";#N/A,#N/A,FALSE,"Tabl. H2"}</definedName>
    <definedName name="eee" localSheetId="7" hidden="1">{#N/A,#N/A,FALSE,"Tabl. H1";#N/A,#N/A,FALSE,"Tabl. H2"}</definedName>
    <definedName name="eee" localSheetId="9" hidden="1">{#N/A,#N/A,FALSE,"Tabl. H1";#N/A,#N/A,FALSE,"Tabl. H2"}</definedName>
    <definedName name="eee" localSheetId="10" hidden="1">{#N/A,#N/A,FALSE,"Tabl. H1";#N/A,#N/A,FALSE,"Tabl. H2"}</definedName>
    <definedName name="eee" localSheetId="11" hidden="1">{#N/A,#N/A,FALSE,"Tabl. H1";#N/A,#N/A,FALSE,"Tabl. H2"}</definedName>
    <definedName name="eee" localSheetId="12" hidden="1">{#N/A,#N/A,FALSE,"Tabl. H1";#N/A,#N/A,FALSE,"Tabl. H2"}</definedName>
    <definedName name="eee" localSheetId="13" hidden="1">{#N/A,#N/A,FALSE,"Tabl. H1";#N/A,#N/A,FALSE,"Tabl. H2"}</definedName>
    <definedName name="eee" localSheetId="14" hidden="1">{#N/A,#N/A,FALSE,"Tabl. H1";#N/A,#N/A,FALSE,"Tabl. H2"}</definedName>
    <definedName name="eee" localSheetId="15" hidden="1">{#N/A,#N/A,FALSE,"Tabl. H1";#N/A,#N/A,FALSE,"Tabl. H2"}</definedName>
    <definedName name="eee" localSheetId="20" hidden="1">{#N/A,#N/A,FALSE,"Tabl. H1";#N/A,#N/A,FALSE,"Tabl. H2"}</definedName>
    <definedName name="eee" localSheetId="21" hidden="1">{#N/A,#N/A,FALSE,"Tabl. H1";#N/A,#N/A,FALSE,"Tabl. H2"}</definedName>
    <definedName name="eee" localSheetId="22" hidden="1">{#N/A,#N/A,FALSE,"Tabl. H1";#N/A,#N/A,FALSE,"Tabl. H2"}</definedName>
    <definedName name="eee" localSheetId="23" hidden="1">{#N/A,#N/A,FALSE,"Tabl. H1";#N/A,#N/A,FALSE,"Tabl. H2"}</definedName>
    <definedName name="eee" localSheetId="24" hidden="1">{#N/A,#N/A,FALSE,"Tabl. H1";#N/A,#N/A,FALSE,"Tabl. H2"}</definedName>
    <definedName name="eee" localSheetId="25" hidden="1">{#N/A,#N/A,FALSE,"Tabl. H1";#N/A,#N/A,FALSE,"Tabl. H2"}</definedName>
    <definedName name="eee" localSheetId="26" hidden="1">{#N/A,#N/A,FALSE,"Tabl. H1";#N/A,#N/A,FALSE,"Tabl. H2"}</definedName>
    <definedName name="eee" localSheetId="27" hidden="1">{#N/A,#N/A,FALSE,"Tabl. H1";#N/A,#N/A,FALSE,"Tabl. H2"}</definedName>
    <definedName name="eee" localSheetId="28" hidden="1">{#N/A,#N/A,FALSE,"Tabl. H1";#N/A,#N/A,FALSE,"Tabl. H2"}</definedName>
    <definedName name="eee" localSheetId="29" hidden="1">{#N/A,#N/A,FALSE,"Tabl. H1";#N/A,#N/A,FALSE,"Tabl. H2"}</definedName>
    <definedName name="eee" localSheetId="30" hidden="1">{#N/A,#N/A,FALSE,"Tabl. H1";#N/A,#N/A,FALSE,"Tabl. H2"}</definedName>
    <definedName name="eee" localSheetId="31" hidden="1">{#N/A,#N/A,FALSE,"Tabl. H1";#N/A,#N/A,FALSE,"Tabl. H2"}</definedName>
    <definedName name="eee" localSheetId="32" hidden="1">{#N/A,#N/A,FALSE,"Tabl. H1";#N/A,#N/A,FALSE,"Tabl. H2"}</definedName>
    <definedName name="eee" hidden="1">{#N/A,#N/A,FALSE,"Tabl. H1";#N/A,#N/A,FALSE,"Tabl. H2"}</definedName>
    <definedName name="eeeeee" localSheetId="3" hidden="1">{#N/A,#N/A,FALSE,"SGP";#N/A,#N/A,FALSE,"SGI";#N/A,#N/A,FALSE,"SGC";#N/A,#N/A,FALSE,"SGS";#N/A,#N/A,FALSE,"SGB"}</definedName>
    <definedName name="eeeeee" localSheetId="5" hidden="1">{#N/A,#N/A,FALSE,"SGP";#N/A,#N/A,FALSE,"SGI";#N/A,#N/A,FALSE,"SGC";#N/A,#N/A,FALSE,"SGS";#N/A,#N/A,FALSE,"SGB"}</definedName>
    <definedName name="eeeeee" localSheetId="6" hidden="1">{#N/A,#N/A,FALSE,"SGP";#N/A,#N/A,FALSE,"SGI";#N/A,#N/A,FALSE,"SGC";#N/A,#N/A,FALSE,"SGS";#N/A,#N/A,FALSE,"SGB"}</definedName>
    <definedName name="eeeeee" localSheetId="7" hidden="1">{#N/A,#N/A,FALSE,"SGP";#N/A,#N/A,FALSE,"SGI";#N/A,#N/A,FALSE,"SGC";#N/A,#N/A,FALSE,"SGS";#N/A,#N/A,FALSE,"SGB"}</definedName>
    <definedName name="eeeeee" localSheetId="9" hidden="1">{#N/A,#N/A,FALSE,"SGP";#N/A,#N/A,FALSE,"SGI";#N/A,#N/A,FALSE,"SGC";#N/A,#N/A,FALSE,"SGS";#N/A,#N/A,FALSE,"SGB"}</definedName>
    <definedName name="eeeeee" localSheetId="10" hidden="1">{#N/A,#N/A,FALSE,"SGP";#N/A,#N/A,FALSE,"SGI";#N/A,#N/A,FALSE,"SGC";#N/A,#N/A,FALSE,"SGS";#N/A,#N/A,FALSE,"SGB"}</definedName>
    <definedName name="eeeeee" localSheetId="11" hidden="1">{#N/A,#N/A,FALSE,"SGP";#N/A,#N/A,FALSE,"SGI";#N/A,#N/A,FALSE,"SGC";#N/A,#N/A,FALSE,"SGS";#N/A,#N/A,FALSE,"SGB"}</definedName>
    <definedName name="eeeeee" localSheetId="12" hidden="1">{#N/A,#N/A,FALSE,"SGP";#N/A,#N/A,FALSE,"SGI";#N/A,#N/A,FALSE,"SGC";#N/A,#N/A,FALSE,"SGS";#N/A,#N/A,FALSE,"SGB"}</definedName>
    <definedName name="eeeeee" localSheetId="13" hidden="1">{#N/A,#N/A,FALSE,"SGP";#N/A,#N/A,FALSE,"SGI";#N/A,#N/A,FALSE,"SGC";#N/A,#N/A,FALSE,"SGS";#N/A,#N/A,FALSE,"SGB"}</definedName>
    <definedName name="eeeeee" localSheetId="14" hidden="1">{#N/A,#N/A,FALSE,"SGP";#N/A,#N/A,FALSE,"SGI";#N/A,#N/A,FALSE,"SGC";#N/A,#N/A,FALSE,"SGS";#N/A,#N/A,FALSE,"SGB"}</definedName>
    <definedName name="eeeeee" localSheetId="15" hidden="1">{#N/A,#N/A,FALSE,"SGP";#N/A,#N/A,FALSE,"SGI";#N/A,#N/A,FALSE,"SGC";#N/A,#N/A,FALSE,"SGS";#N/A,#N/A,FALSE,"SGB"}</definedName>
    <definedName name="eeeeee" localSheetId="20" hidden="1">{#N/A,#N/A,FALSE,"SGP";#N/A,#N/A,FALSE,"SGI";#N/A,#N/A,FALSE,"SGC";#N/A,#N/A,FALSE,"SGS";#N/A,#N/A,FALSE,"SGB"}</definedName>
    <definedName name="eeeeee" localSheetId="21" hidden="1">{#N/A,#N/A,FALSE,"SGP";#N/A,#N/A,FALSE,"SGI";#N/A,#N/A,FALSE,"SGC";#N/A,#N/A,FALSE,"SGS";#N/A,#N/A,FALSE,"SGB"}</definedName>
    <definedName name="eeeeee" localSheetId="22" hidden="1">{#N/A,#N/A,FALSE,"SGP";#N/A,#N/A,FALSE,"SGI";#N/A,#N/A,FALSE,"SGC";#N/A,#N/A,FALSE,"SGS";#N/A,#N/A,FALSE,"SGB"}</definedName>
    <definedName name="eeeeee" localSheetId="23" hidden="1">{#N/A,#N/A,FALSE,"SGP";#N/A,#N/A,FALSE,"SGI";#N/A,#N/A,FALSE,"SGC";#N/A,#N/A,FALSE,"SGS";#N/A,#N/A,FALSE,"SGB"}</definedName>
    <definedName name="eeeeee" localSheetId="24" hidden="1">{#N/A,#N/A,FALSE,"SGP";#N/A,#N/A,FALSE,"SGI";#N/A,#N/A,FALSE,"SGC";#N/A,#N/A,FALSE,"SGS";#N/A,#N/A,FALSE,"SGB"}</definedName>
    <definedName name="eeeeee" localSheetId="25" hidden="1">{#N/A,#N/A,FALSE,"SGP";#N/A,#N/A,FALSE,"SGI";#N/A,#N/A,FALSE,"SGC";#N/A,#N/A,FALSE,"SGS";#N/A,#N/A,FALSE,"SGB"}</definedName>
    <definedName name="eeeeee" localSheetId="26" hidden="1">{#N/A,#N/A,FALSE,"SGP";#N/A,#N/A,FALSE,"SGI";#N/A,#N/A,FALSE,"SGC";#N/A,#N/A,FALSE,"SGS";#N/A,#N/A,FALSE,"SGB"}</definedName>
    <definedName name="eeeeee" localSheetId="27" hidden="1">{#N/A,#N/A,FALSE,"SGP";#N/A,#N/A,FALSE,"SGI";#N/A,#N/A,FALSE,"SGC";#N/A,#N/A,FALSE,"SGS";#N/A,#N/A,FALSE,"SGB"}</definedName>
    <definedName name="eeeeee" localSheetId="28" hidden="1">{#N/A,#N/A,FALSE,"SGP";#N/A,#N/A,FALSE,"SGI";#N/A,#N/A,FALSE,"SGC";#N/A,#N/A,FALSE,"SGS";#N/A,#N/A,FALSE,"SGB"}</definedName>
    <definedName name="eeeeee" localSheetId="29" hidden="1">{#N/A,#N/A,FALSE,"SGP";#N/A,#N/A,FALSE,"SGI";#N/A,#N/A,FALSE,"SGC";#N/A,#N/A,FALSE,"SGS";#N/A,#N/A,FALSE,"SGB"}</definedName>
    <definedName name="eeeeee" localSheetId="30" hidden="1">{#N/A,#N/A,FALSE,"SGP";#N/A,#N/A,FALSE,"SGI";#N/A,#N/A,FALSE,"SGC";#N/A,#N/A,FALSE,"SGS";#N/A,#N/A,FALSE,"SGB"}</definedName>
    <definedName name="eeeeee" localSheetId="31" hidden="1">{#N/A,#N/A,FALSE,"SGP";#N/A,#N/A,FALSE,"SGI";#N/A,#N/A,FALSE,"SGC";#N/A,#N/A,FALSE,"SGS";#N/A,#N/A,FALSE,"SGB"}</definedName>
    <definedName name="eeeeee" localSheetId="32" hidden="1">{#N/A,#N/A,FALSE,"SGP";#N/A,#N/A,FALSE,"SGI";#N/A,#N/A,FALSE,"SGC";#N/A,#N/A,FALSE,"SGS";#N/A,#N/A,FALSE,"SGB"}</definedName>
    <definedName name="eeeeee" hidden="1">{#N/A,#N/A,FALSE,"SGP";#N/A,#N/A,FALSE,"SGI";#N/A,#N/A,FALSE,"SGC";#N/A,#N/A,FALSE,"SGS";#N/A,#N/A,FALSE,"SGB"}</definedName>
    <definedName name="Estrat" localSheetId="5" hidden="1">#REF!</definedName>
    <definedName name="Estrat" localSheetId="6" hidden="1">#REF!</definedName>
    <definedName name="Estrat" localSheetId="9" hidden="1">#REF!</definedName>
    <definedName name="Estrat" localSheetId="10" hidden="1">#REF!</definedName>
    <definedName name="Estrat" localSheetId="11" hidden="1">#REF!</definedName>
    <definedName name="Estrat" localSheetId="12" hidden="1">#REF!</definedName>
    <definedName name="Estrat" localSheetId="13" hidden="1">#REF!</definedName>
    <definedName name="Estrat" localSheetId="22" hidden="1">#REF!</definedName>
    <definedName name="Estrat" localSheetId="23" hidden="1">#REF!</definedName>
    <definedName name="Estrat" localSheetId="25" hidden="1">#REF!</definedName>
    <definedName name="Estrat" localSheetId="26" hidden="1">#REF!</definedName>
    <definedName name="Estrat" localSheetId="27" hidden="1">#REF!</definedName>
    <definedName name="Estrat" localSheetId="28" hidden="1">#REF!</definedName>
    <definedName name="Estrat" localSheetId="32" hidden="1">#REF!</definedName>
    <definedName name="Estrat" hidden="1">#REF!</definedName>
    <definedName name="FD" localSheetId="3" hidden="1">{#N/A,#N/A,FALSE,"HAVAIANAS 24";#N/A,#N/A,FALSE,"Havaianas Mês e Acum 25";#N/A,#N/A,FALSE,"Havaianas Acum 26";#N/A,#N/A,FALSE,"GRANDES VOLUMES 27";#N/A,#N/A,FALSE,"GDV Mês e Acum 28";#N/A,#N/A,FALSE,"GDV Acum 29"}</definedName>
    <definedName name="FD" localSheetId="5" hidden="1">{#N/A,#N/A,FALSE,"HAVAIANAS 24";#N/A,#N/A,FALSE,"Havaianas Mês e Acum 25";#N/A,#N/A,FALSE,"Havaianas Acum 26";#N/A,#N/A,FALSE,"GRANDES VOLUMES 27";#N/A,#N/A,FALSE,"GDV Mês e Acum 28";#N/A,#N/A,FALSE,"GDV Acum 29"}</definedName>
    <definedName name="FD" localSheetId="6" hidden="1">{#N/A,#N/A,FALSE,"HAVAIANAS 24";#N/A,#N/A,FALSE,"Havaianas Mês e Acum 25";#N/A,#N/A,FALSE,"Havaianas Acum 26";#N/A,#N/A,FALSE,"GRANDES VOLUMES 27";#N/A,#N/A,FALSE,"GDV Mês e Acum 28";#N/A,#N/A,FALSE,"GDV Acum 29"}</definedName>
    <definedName name="FD" localSheetId="7" hidden="1">{#N/A,#N/A,FALSE,"HAVAIANAS 24";#N/A,#N/A,FALSE,"Havaianas Mês e Acum 25";#N/A,#N/A,FALSE,"Havaianas Acum 26";#N/A,#N/A,FALSE,"GRANDES VOLUMES 27";#N/A,#N/A,FALSE,"GDV Mês e Acum 28";#N/A,#N/A,FALSE,"GDV Acum 29"}</definedName>
    <definedName name="FD" localSheetId="9" hidden="1">{#N/A,#N/A,FALSE,"HAVAIANAS 24";#N/A,#N/A,FALSE,"Havaianas Mês e Acum 25";#N/A,#N/A,FALSE,"Havaianas Acum 26";#N/A,#N/A,FALSE,"GRANDES VOLUMES 27";#N/A,#N/A,FALSE,"GDV Mês e Acum 28";#N/A,#N/A,FALSE,"GDV Acum 29"}</definedName>
    <definedName name="FD" localSheetId="10" hidden="1">{#N/A,#N/A,FALSE,"HAVAIANAS 24";#N/A,#N/A,FALSE,"Havaianas Mês e Acum 25";#N/A,#N/A,FALSE,"Havaianas Acum 26";#N/A,#N/A,FALSE,"GRANDES VOLUMES 27";#N/A,#N/A,FALSE,"GDV Mês e Acum 28";#N/A,#N/A,FALSE,"GDV Acum 29"}</definedName>
    <definedName name="FD" localSheetId="11" hidden="1">{#N/A,#N/A,FALSE,"HAVAIANAS 24";#N/A,#N/A,FALSE,"Havaianas Mês e Acum 25";#N/A,#N/A,FALSE,"Havaianas Acum 26";#N/A,#N/A,FALSE,"GRANDES VOLUMES 27";#N/A,#N/A,FALSE,"GDV Mês e Acum 28";#N/A,#N/A,FALSE,"GDV Acum 29"}</definedName>
    <definedName name="FD" localSheetId="12" hidden="1">{#N/A,#N/A,FALSE,"HAVAIANAS 24";#N/A,#N/A,FALSE,"Havaianas Mês e Acum 25";#N/A,#N/A,FALSE,"Havaianas Acum 26";#N/A,#N/A,FALSE,"GRANDES VOLUMES 27";#N/A,#N/A,FALSE,"GDV Mês e Acum 28";#N/A,#N/A,FALSE,"GDV Acum 29"}</definedName>
    <definedName name="FD" localSheetId="13" hidden="1">{#N/A,#N/A,FALSE,"HAVAIANAS 24";#N/A,#N/A,FALSE,"Havaianas Mês e Acum 25";#N/A,#N/A,FALSE,"Havaianas Acum 26";#N/A,#N/A,FALSE,"GRANDES VOLUMES 27";#N/A,#N/A,FALSE,"GDV Mês e Acum 28";#N/A,#N/A,FALSE,"GDV Acum 29"}</definedName>
    <definedName name="FD" localSheetId="14" hidden="1">{#N/A,#N/A,FALSE,"HAVAIANAS 24";#N/A,#N/A,FALSE,"Havaianas Mês e Acum 25";#N/A,#N/A,FALSE,"Havaianas Acum 26";#N/A,#N/A,FALSE,"GRANDES VOLUMES 27";#N/A,#N/A,FALSE,"GDV Mês e Acum 28";#N/A,#N/A,FALSE,"GDV Acum 29"}</definedName>
    <definedName name="FD" localSheetId="15" hidden="1">{#N/A,#N/A,FALSE,"HAVAIANAS 24";#N/A,#N/A,FALSE,"Havaianas Mês e Acum 25";#N/A,#N/A,FALSE,"Havaianas Acum 26";#N/A,#N/A,FALSE,"GRANDES VOLUMES 27";#N/A,#N/A,FALSE,"GDV Mês e Acum 28";#N/A,#N/A,FALSE,"GDV Acum 29"}</definedName>
    <definedName name="FD" localSheetId="20" hidden="1">{#N/A,#N/A,FALSE,"HAVAIANAS 24";#N/A,#N/A,FALSE,"Havaianas Mês e Acum 25";#N/A,#N/A,FALSE,"Havaianas Acum 26";#N/A,#N/A,FALSE,"GRANDES VOLUMES 27";#N/A,#N/A,FALSE,"GDV Mês e Acum 28";#N/A,#N/A,FALSE,"GDV Acum 29"}</definedName>
    <definedName name="FD" localSheetId="21" hidden="1">{#N/A,#N/A,FALSE,"HAVAIANAS 24";#N/A,#N/A,FALSE,"Havaianas Mês e Acum 25";#N/A,#N/A,FALSE,"Havaianas Acum 26";#N/A,#N/A,FALSE,"GRANDES VOLUMES 27";#N/A,#N/A,FALSE,"GDV Mês e Acum 28";#N/A,#N/A,FALSE,"GDV Acum 29"}</definedName>
    <definedName name="FD" localSheetId="22" hidden="1">{#N/A,#N/A,FALSE,"HAVAIANAS 24";#N/A,#N/A,FALSE,"Havaianas Mês e Acum 25";#N/A,#N/A,FALSE,"Havaianas Acum 26";#N/A,#N/A,FALSE,"GRANDES VOLUMES 27";#N/A,#N/A,FALSE,"GDV Mês e Acum 28";#N/A,#N/A,FALSE,"GDV Acum 29"}</definedName>
    <definedName name="FD" localSheetId="23" hidden="1">{#N/A,#N/A,FALSE,"HAVAIANAS 24";#N/A,#N/A,FALSE,"Havaianas Mês e Acum 25";#N/A,#N/A,FALSE,"Havaianas Acum 26";#N/A,#N/A,FALSE,"GRANDES VOLUMES 27";#N/A,#N/A,FALSE,"GDV Mês e Acum 28";#N/A,#N/A,FALSE,"GDV Acum 29"}</definedName>
    <definedName name="FD" localSheetId="24" hidden="1">{#N/A,#N/A,FALSE,"HAVAIANAS 24";#N/A,#N/A,FALSE,"Havaianas Mês e Acum 25";#N/A,#N/A,FALSE,"Havaianas Acum 26";#N/A,#N/A,FALSE,"GRANDES VOLUMES 27";#N/A,#N/A,FALSE,"GDV Mês e Acum 28";#N/A,#N/A,FALSE,"GDV Acum 29"}</definedName>
    <definedName name="FD" localSheetId="25" hidden="1">{#N/A,#N/A,FALSE,"HAVAIANAS 24";#N/A,#N/A,FALSE,"Havaianas Mês e Acum 25";#N/A,#N/A,FALSE,"Havaianas Acum 26";#N/A,#N/A,FALSE,"GRANDES VOLUMES 27";#N/A,#N/A,FALSE,"GDV Mês e Acum 28";#N/A,#N/A,FALSE,"GDV Acum 29"}</definedName>
    <definedName name="FD" localSheetId="26" hidden="1">{#N/A,#N/A,FALSE,"HAVAIANAS 24";#N/A,#N/A,FALSE,"Havaianas Mês e Acum 25";#N/A,#N/A,FALSE,"Havaianas Acum 26";#N/A,#N/A,FALSE,"GRANDES VOLUMES 27";#N/A,#N/A,FALSE,"GDV Mês e Acum 28";#N/A,#N/A,FALSE,"GDV Acum 29"}</definedName>
    <definedName name="FD" localSheetId="27" hidden="1">{#N/A,#N/A,FALSE,"HAVAIANAS 24";#N/A,#N/A,FALSE,"Havaianas Mês e Acum 25";#N/A,#N/A,FALSE,"Havaianas Acum 26";#N/A,#N/A,FALSE,"GRANDES VOLUMES 27";#N/A,#N/A,FALSE,"GDV Mês e Acum 28";#N/A,#N/A,FALSE,"GDV Acum 29"}</definedName>
    <definedName name="FD" localSheetId="28" hidden="1">{#N/A,#N/A,FALSE,"HAVAIANAS 24";#N/A,#N/A,FALSE,"Havaianas Mês e Acum 25";#N/A,#N/A,FALSE,"Havaianas Acum 26";#N/A,#N/A,FALSE,"GRANDES VOLUMES 27";#N/A,#N/A,FALSE,"GDV Mês e Acum 28";#N/A,#N/A,FALSE,"GDV Acum 29"}</definedName>
    <definedName name="FD" localSheetId="29" hidden="1">{#N/A,#N/A,FALSE,"HAVAIANAS 24";#N/A,#N/A,FALSE,"Havaianas Mês e Acum 25";#N/A,#N/A,FALSE,"Havaianas Acum 26";#N/A,#N/A,FALSE,"GRANDES VOLUMES 27";#N/A,#N/A,FALSE,"GDV Mês e Acum 28";#N/A,#N/A,FALSE,"GDV Acum 29"}</definedName>
    <definedName name="FD" localSheetId="30" hidden="1">{#N/A,#N/A,FALSE,"HAVAIANAS 24";#N/A,#N/A,FALSE,"Havaianas Mês e Acum 25";#N/A,#N/A,FALSE,"Havaianas Acum 26";#N/A,#N/A,FALSE,"GRANDES VOLUMES 27";#N/A,#N/A,FALSE,"GDV Mês e Acum 28";#N/A,#N/A,FALSE,"GDV Acum 29"}</definedName>
    <definedName name="FD" localSheetId="31" hidden="1">{#N/A,#N/A,FALSE,"HAVAIANAS 24";#N/A,#N/A,FALSE,"Havaianas Mês e Acum 25";#N/A,#N/A,FALSE,"Havaianas Acum 26";#N/A,#N/A,FALSE,"GRANDES VOLUMES 27";#N/A,#N/A,FALSE,"GDV Mês e Acum 28";#N/A,#N/A,FALSE,"GDV Acum 29"}</definedName>
    <definedName name="FD" localSheetId="32" hidden="1">{#N/A,#N/A,FALSE,"HAVAIANAS 24";#N/A,#N/A,FALSE,"Havaianas Mês e Acum 25";#N/A,#N/A,FALSE,"Havaianas Acum 26";#N/A,#N/A,FALSE,"GRANDES VOLUMES 27";#N/A,#N/A,FALSE,"GDV Mês e Acum 28";#N/A,#N/A,FALSE,"GDV Acum 29"}</definedName>
    <definedName name="FD" hidden="1">{#N/A,#N/A,FALSE,"HAVAIANAS 24";#N/A,#N/A,FALSE,"Havaianas Mês e Acum 25";#N/A,#N/A,FALSE,"Havaianas Acum 26";#N/A,#N/A,FALSE,"GRANDES VOLUMES 27";#N/A,#N/A,FALSE,"GDV Mês e Acum 28";#N/A,#N/A,FALSE,"GDV Acum 29"}</definedName>
    <definedName name="fluxo" localSheetId="3" hidden="1">{"'RR'!$A$2:$E$81"}</definedName>
    <definedName name="fluxo" localSheetId="5" hidden="1">{"'RR'!$A$2:$E$81"}</definedName>
    <definedName name="fluxo" localSheetId="6" hidden="1">{"'RR'!$A$2:$E$81"}</definedName>
    <definedName name="fluxo" localSheetId="7" hidden="1">{"'RR'!$A$2:$E$81"}</definedName>
    <definedName name="fluxo" localSheetId="9" hidden="1">{"'RR'!$A$2:$E$81"}</definedName>
    <definedName name="fluxo" localSheetId="10" hidden="1">{"'RR'!$A$2:$E$81"}</definedName>
    <definedName name="fluxo" localSheetId="11" hidden="1">{"'RR'!$A$2:$E$81"}</definedName>
    <definedName name="fluxo" localSheetId="12" hidden="1">{"'RR'!$A$2:$E$81"}</definedName>
    <definedName name="fluxo" localSheetId="13" hidden="1">{"'RR'!$A$2:$E$81"}</definedName>
    <definedName name="fluxo" localSheetId="14" hidden="1">{"'RR'!$A$2:$E$81"}</definedName>
    <definedName name="fluxo" localSheetId="15" hidden="1">{"'RR'!$A$2:$E$81"}</definedName>
    <definedName name="fluxo" localSheetId="20" hidden="1">{"'RR'!$A$2:$E$81"}</definedName>
    <definedName name="fluxo" localSheetId="21" hidden="1">{"'RR'!$A$2:$E$81"}</definedName>
    <definedName name="fluxo" localSheetId="22" hidden="1">{"'RR'!$A$2:$E$81"}</definedName>
    <definedName name="fluxo" localSheetId="23" hidden="1">{"'RR'!$A$2:$E$81"}</definedName>
    <definedName name="fluxo" localSheetId="24" hidden="1">{"'RR'!$A$2:$E$81"}</definedName>
    <definedName name="fluxo" localSheetId="25" hidden="1">{"'RR'!$A$2:$E$81"}</definedName>
    <definedName name="fluxo" localSheetId="26" hidden="1">{"'RR'!$A$2:$E$81"}</definedName>
    <definedName name="fluxo" localSheetId="27" hidden="1">{"'RR'!$A$2:$E$81"}</definedName>
    <definedName name="fluxo" localSheetId="28" hidden="1">{"'RR'!$A$2:$E$81"}</definedName>
    <definedName name="fluxo" localSheetId="29" hidden="1">{"'RR'!$A$2:$E$81"}</definedName>
    <definedName name="fluxo" localSheetId="30" hidden="1">{"'RR'!$A$2:$E$81"}</definedName>
    <definedName name="fluxo" localSheetId="31" hidden="1">{"'RR'!$A$2:$E$81"}</definedName>
    <definedName name="fluxo" localSheetId="32" hidden="1">{"'RR'!$A$2:$E$81"}</definedName>
    <definedName name="fluxo" hidden="1">{"'RR'!$A$2:$E$81"}</definedName>
    <definedName name="Fluxo_Atual_1" localSheetId="3" hidden="1">{#N/A,#N/A,FALSE,"O&amp;I Worksheet"}</definedName>
    <definedName name="Fluxo_Atual_1" localSheetId="5" hidden="1">{#N/A,#N/A,FALSE,"O&amp;I Worksheet"}</definedName>
    <definedName name="Fluxo_Atual_1" localSheetId="6" hidden="1">{#N/A,#N/A,FALSE,"O&amp;I Worksheet"}</definedName>
    <definedName name="Fluxo_Atual_1" localSheetId="7" hidden="1">{#N/A,#N/A,FALSE,"O&amp;I Worksheet"}</definedName>
    <definedName name="Fluxo_Atual_1" localSheetId="9" hidden="1">{#N/A,#N/A,FALSE,"O&amp;I Worksheet"}</definedName>
    <definedName name="Fluxo_Atual_1" localSheetId="10" hidden="1">{#N/A,#N/A,FALSE,"O&amp;I Worksheet"}</definedName>
    <definedName name="Fluxo_Atual_1" localSheetId="11" hidden="1">{#N/A,#N/A,FALSE,"O&amp;I Worksheet"}</definedName>
    <definedName name="Fluxo_Atual_1" localSheetId="12" hidden="1">{#N/A,#N/A,FALSE,"O&amp;I Worksheet"}</definedName>
    <definedName name="Fluxo_Atual_1" localSheetId="13" hidden="1">{#N/A,#N/A,FALSE,"O&amp;I Worksheet"}</definedName>
    <definedName name="Fluxo_Atual_1" localSheetId="14" hidden="1">{#N/A,#N/A,FALSE,"O&amp;I Worksheet"}</definedName>
    <definedName name="Fluxo_Atual_1" localSheetId="15" hidden="1">{#N/A,#N/A,FALSE,"O&amp;I Worksheet"}</definedName>
    <definedName name="Fluxo_Atual_1" localSheetId="20" hidden="1">{#N/A,#N/A,FALSE,"O&amp;I Worksheet"}</definedName>
    <definedName name="Fluxo_Atual_1" localSheetId="21" hidden="1">{#N/A,#N/A,FALSE,"O&amp;I Worksheet"}</definedName>
    <definedName name="Fluxo_Atual_1" localSheetId="22" hidden="1">{#N/A,#N/A,FALSE,"O&amp;I Worksheet"}</definedName>
    <definedName name="Fluxo_Atual_1" localSheetId="23" hidden="1">{#N/A,#N/A,FALSE,"O&amp;I Worksheet"}</definedName>
    <definedName name="Fluxo_Atual_1" localSheetId="24" hidden="1">{#N/A,#N/A,FALSE,"O&amp;I Worksheet"}</definedName>
    <definedName name="Fluxo_Atual_1" localSheetId="25" hidden="1">{#N/A,#N/A,FALSE,"O&amp;I Worksheet"}</definedName>
    <definedName name="Fluxo_Atual_1" localSheetId="26" hidden="1">{#N/A,#N/A,FALSE,"O&amp;I Worksheet"}</definedName>
    <definedName name="Fluxo_Atual_1" localSheetId="27" hidden="1">{#N/A,#N/A,FALSE,"O&amp;I Worksheet"}</definedName>
    <definedName name="Fluxo_Atual_1" localSheetId="28" hidden="1">{#N/A,#N/A,FALSE,"O&amp;I Worksheet"}</definedName>
    <definedName name="Fluxo_Atual_1" localSheetId="29" hidden="1">{#N/A,#N/A,FALSE,"O&amp;I Worksheet"}</definedName>
    <definedName name="Fluxo_Atual_1" localSheetId="30" hidden="1">{#N/A,#N/A,FALSE,"O&amp;I Worksheet"}</definedName>
    <definedName name="Fluxo_Atual_1" localSheetId="31" hidden="1">{#N/A,#N/A,FALSE,"O&amp;I Worksheet"}</definedName>
    <definedName name="Fluxo_Atual_1" localSheetId="32" hidden="1">{#N/A,#N/A,FALSE,"O&amp;I Worksheet"}</definedName>
    <definedName name="Fluxo_Atual_1" hidden="1">{#N/A,#N/A,FALSE,"O&amp;I Worksheet"}</definedName>
    <definedName name="Fluxo_elaborado" localSheetId="3" hidden="1">{#N/A,#N/A,FALSE,"HAVAIANAS 24";#N/A,#N/A,FALSE,"Havaianas Mês e Acum 25";#N/A,#N/A,FALSE,"Havaianas Acum 26";#N/A,#N/A,FALSE,"GRANDES VOLUMES 27";#N/A,#N/A,FALSE,"GDV Mês e Acum 28";#N/A,#N/A,FALSE,"GDV Acum 29"}</definedName>
    <definedName name="Fluxo_elaborado" localSheetId="5" hidden="1">{#N/A,#N/A,FALSE,"HAVAIANAS 24";#N/A,#N/A,FALSE,"Havaianas Mês e Acum 25";#N/A,#N/A,FALSE,"Havaianas Acum 26";#N/A,#N/A,FALSE,"GRANDES VOLUMES 27";#N/A,#N/A,FALSE,"GDV Mês e Acum 28";#N/A,#N/A,FALSE,"GDV Acum 29"}</definedName>
    <definedName name="Fluxo_elaborado" localSheetId="6" hidden="1">{#N/A,#N/A,FALSE,"HAVAIANAS 24";#N/A,#N/A,FALSE,"Havaianas Mês e Acum 25";#N/A,#N/A,FALSE,"Havaianas Acum 26";#N/A,#N/A,FALSE,"GRANDES VOLUMES 27";#N/A,#N/A,FALSE,"GDV Mês e Acum 28";#N/A,#N/A,FALSE,"GDV Acum 29"}</definedName>
    <definedName name="Fluxo_elaborado" localSheetId="7" hidden="1">{#N/A,#N/A,FALSE,"HAVAIANAS 24";#N/A,#N/A,FALSE,"Havaianas Mês e Acum 25";#N/A,#N/A,FALSE,"Havaianas Acum 26";#N/A,#N/A,FALSE,"GRANDES VOLUMES 27";#N/A,#N/A,FALSE,"GDV Mês e Acum 28";#N/A,#N/A,FALSE,"GDV Acum 29"}</definedName>
    <definedName name="Fluxo_elaborado" localSheetId="9" hidden="1">{#N/A,#N/A,FALSE,"HAVAIANAS 24";#N/A,#N/A,FALSE,"Havaianas Mês e Acum 25";#N/A,#N/A,FALSE,"Havaianas Acum 26";#N/A,#N/A,FALSE,"GRANDES VOLUMES 27";#N/A,#N/A,FALSE,"GDV Mês e Acum 28";#N/A,#N/A,FALSE,"GDV Acum 29"}</definedName>
    <definedName name="Fluxo_elaborado" localSheetId="10" hidden="1">{#N/A,#N/A,FALSE,"HAVAIANAS 24";#N/A,#N/A,FALSE,"Havaianas Mês e Acum 25";#N/A,#N/A,FALSE,"Havaianas Acum 26";#N/A,#N/A,FALSE,"GRANDES VOLUMES 27";#N/A,#N/A,FALSE,"GDV Mês e Acum 28";#N/A,#N/A,FALSE,"GDV Acum 29"}</definedName>
    <definedName name="Fluxo_elaborado" localSheetId="11" hidden="1">{#N/A,#N/A,FALSE,"HAVAIANAS 24";#N/A,#N/A,FALSE,"Havaianas Mês e Acum 25";#N/A,#N/A,FALSE,"Havaianas Acum 26";#N/A,#N/A,FALSE,"GRANDES VOLUMES 27";#N/A,#N/A,FALSE,"GDV Mês e Acum 28";#N/A,#N/A,FALSE,"GDV Acum 29"}</definedName>
    <definedName name="Fluxo_elaborado" localSheetId="12" hidden="1">{#N/A,#N/A,FALSE,"HAVAIANAS 24";#N/A,#N/A,FALSE,"Havaianas Mês e Acum 25";#N/A,#N/A,FALSE,"Havaianas Acum 26";#N/A,#N/A,FALSE,"GRANDES VOLUMES 27";#N/A,#N/A,FALSE,"GDV Mês e Acum 28";#N/A,#N/A,FALSE,"GDV Acum 29"}</definedName>
    <definedName name="Fluxo_elaborado" localSheetId="13" hidden="1">{#N/A,#N/A,FALSE,"HAVAIANAS 24";#N/A,#N/A,FALSE,"Havaianas Mês e Acum 25";#N/A,#N/A,FALSE,"Havaianas Acum 26";#N/A,#N/A,FALSE,"GRANDES VOLUMES 27";#N/A,#N/A,FALSE,"GDV Mês e Acum 28";#N/A,#N/A,FALSE,"GDV Acum 29"}</definedName>
    <definedName name="Fluxo_elaborado" localSheetId="14" hidden="1">{#N/A,#N/A,FALSE,"HAVAIANAS 24";#N/A,#N/A,FALSE,"Havaianas Mês e Acum 25";#N/A,#N/A,FALSE,"Havaianas Acum 26";#N/A,#N/A,FALSE,"GRANDES VOLUMES 27";#N/A,#N/A,FALSE,"GDV Mês e Acum 28";#N/A,#N/A,FALSE,"GDV Acum 29"}</definedName>
    <definedName name="Fluxo_elaborado" localSheetId="15" hidden="1">{#N/A,#N/A,FALSE,"HAVAIANAS 24";#N/A,#N/A,FALSE,"Havaianas Mês e Acum 25";#N/A,#N/A,FALSE,"Havaianas Acum 26";#N/A,#N/A,FALSE,"GRANDES VOLUMES 27";#N/A,#N/A,FALSE,"GDV Mês e Acum 28";#N/A,#N/A,FALSE,"GDV Acum 29"}</definedName>
    <definedName name="Fluxo_elaborado" localSheetId="20" hidden="1">{#N/A,#N/A,FALSE,"HAVAIANAS 24";#N/A,#N/A,FALSE,"Havaianas Mês e Acum 25";#N/A,#N/A,FALSE,"Havaianas Acum 26";#N/A,#N/A,FALSE,"GRANDES VOLUMES 27";#N/A,#N/A,FALSE,"GDV Mês e Acum 28";#N/A,#N/A,FALSE,"GDV Acum 29"}</definedName>
    <definedName name="Fluxo_elaborado" localSheetId="21" hidden="1">{#N/A,#N/A,FALSE,"HAVAIANAS 24";#N/A,#N/A,FALSE,"Havaianas Mês e Acum 25";#N/A,#N/A,FALSE,"Havaianas Acum 26";#N/A,#N/A,FALSE,"GRANDES VOLUMES 27";#N/A,#N/A,FALSE,"GDV Mês e Acum 28";#N/A,#N/A,FALSE,"GDV Acum 29"}</definedName>
    <definedName name="Fluxo_elaborado" localSheetId="22" hidden="1">{#N/A,#N/A,FALSE,"HAVAIANAS 24";#N/A,#N/A,FALSE,"Havaianas Mês e Acum 25";#N/A,#N/A,FALSE,"Havaianas Acum 26";#N/A,#N/A,FALSE,"GRANDES VOLUMES 27";#N/A,#N/A,FALSE,"GDV Mês e Acum 28";#N/A,#N/A,FALSE,"GDV Acum 29"}</definedName>
    <definedName name="Fluxo_elaborado" localSheetId="23" hidden="1">{#N/A,#N/A,FALSE,"HAVAIANAS 24";#N/A,#N/A,FALSE,"Havaianas Mês e Acum 25";#N/A,#N/A,FALSE,"Havaianas Acum 26";#N/A,#N/A,FALSE,"GRANDES VOLUMES 27";#N/A,#N/A,FALSE,"GDV Mês e Acum 28";#N/A,#N/A,FALSE,"GDV Acum 29"}</definedName>
    <definedName name="Fluxo_elaborado" localSheetId="24" hidden="1">{#N/A,#N/A,FALSE,"HAVAIANAS 24";#N/A,#N/A,FALSE,"Havaianas Mês e Acum 25";#N/A,#N/A,FALSE,"Havaianas Acum 26";#N/A,#N/A,FALSE,"GRANDES VOLUMES 27";#N/A,#N/A,FALSE,"GDV Mês e Acum 28";#N/A,#N/A,FALSE,"GDV Acum 29"}</definedName>
    <definedName name="Fluxo_elaborado" localSheetId="25" hidden="1">{#N/A,#N/A,FALSE,"HAVAIANAS 24";#N/A,#N/A,FALSE,"Havaianas Mês e Acum 25";#N/A,#N/A,FALSE,"Havaianas Acum 26";#N/A,#N/A,FALSE,"GRANDES VOLUMES 27";#N/A,#N/A,FALSE,"GDV Mês e Acum 28";#N/A,#N/A,FALSE,"GDV Acum 29"}</definedName>
    <definedName name="Fluxo_elaborado" localSheetId="26" hidden="1">{#N/A,#N/A,FALSE,"HAVAIANAS 24";#N/A,#N/A,FALSE,"Havaianas Mês e Acum 25";#N/A,#N/A,FALSE,"Havaianas Acum 26";#N/A,#N/A,FALSE,"GRANDES VOLUMES 27";#N/A,#N/A,FALSE,"GDV Mês e Acum 28";#N/A,#N/A,FALSE,"GDV Acum 29"}</definedName>
    <definedName name="Fluxo_elaborado" localSheetId="27" hidden="1">{#N/A,#N/A,FALSE,"HAVAIANAS 24";#N/A,#N/A,FALSE,"Havaianas Mês e Acum 25";#N/A,#N/A,FALSE,"Havaianas Acum 26";#N/A,#N/A,FALSE,"GRANDES VOLUMES 27";#N/A,#N/A,FALSE,"GDV Mês e Acum 28";#N/A,#N/A,FALSE,"GDV Acum 29"}</definedName>
    <definedName name="Fluxo_elaborado" localSheetId="28" hidden="1">{#N/A,#N/A,FALSE,"HAVAIANAS 24";#N/A,#N/A,FALSE,"Havaianas Mês e Acum 25";#N/A,#N/A,FALSE,"Havaianas Acum 26";#N/A,#N/A,FALSE,"GRANDES VOLUMES 27";#N/A,#N/A,FALSE,"GDV Mês e Acum 28";#N/A,#N/A,FALSE,"GDV Acum 29"}</definedName>
    <definedName name="Fluxo_elaborado" localSheetId="29" hidden="1">{#N/A,#N/A,FALSE,"HAVAIANAS 24";#N/A,#N/A,FALSE,"Havaianas Mês e Acum 25";#N/A,#N/A,FALSE,"Havaianas Acum 26";#N/A,#N/A,FALSE,"GRANDES VOLUMES 27";#N/A,#N/A,FALSE,"GDV Mês e Acum 28";#N/A,#N/A,FALSE,"GDV Acum 29"}</definedName>
    <definedName name="Fluxo_elaborado" localSheetId="30" hidden="1">{#N/A,#N/A,FALSE,"HAVAIANAS 24";#N/A,#N/A,FALSE,"Havaianas Mês e Acum 25";#N/A,#N/A,FALSE,"Havaianas Acum 26";#N/A,#N/A,FALSE,"GRANDES VOLUMES 27";#N/A,#N/A,FALSE,"GDV Mês e Acum 28";#N/A,#N/A,FALSE,"GDV Acum 29"}</definedName>
    <definedName name="Fluxo_elaborado" localSheetId="31" hidden="1">{#N/A,#N/A,FALSE,"HAVAIANAS 24";#N/A,#N/A,FALSE,"Havaianas Mês e Acum 25";#N/A,#N/A,FALSE,"Havaianas Acum 26";#N/A,#N/A,FALSE,"GRANDES VOLUMES 27";#N/A,#N/A,FALSE,"GDV Mês e Acum 28";#N/A,#N/A,FALSE,"GDV Acum 29"}</definedName>
    <definedName name="Fluxo_elaborado" localSheetId="32" hidden="1">{#N/A,#N/A,FALSE,"HAVAIANAS 24";#N/A,#N/A,FALSE,"Havaianas Mês e Acum 25";#N/A,#N/A,FALSE,"Havaianas Acum 26";#N/A,#N/A,FALSE,"GRANDES VOLUMES 27";#N/A,#N/A,FALSE,"GDV Mês e Acum 28";#N/A,#N/A,FALSE,"GDV Acum 29"}</definedName>
    <definedName name="Fluxo_elaborado" hidden="1">{#N/A,#N/A,FALSE,"HAVAIANAS 24";#N/A,#N/A,FALSE,"Havaianas Mês e Acum 25";#N/A,#N/A,FALSE,"Havaianas Acum 26";#N/A,#N/A,FALSE,"GRANDES VOLUMES 27";#N/A,#N/A,FALSE,"GDV Mês e Acum 28";#N/A,#N/A,FALSE,"GDV Acum 29"}</definedName>
    <definedName name="fluxoatual" localSheetId="3" hidden="1">{"'RR'!$A$2:$E$81"}</definedName>
    <definedName name="fluxoatual" localSheetId="5" hidden="1">{"'RR'!$A$2:$E$81"}</definedName>
    <definedName name="fluxoatual" localSheetId="6" hidden="1">{"'RR'!$A$2:$E$81"}</definedName>
    <definedName name="fluxoatual" localSheetId="7" hidden="1">{"'RR'!$A$2:$E$81"}</definedName>
    <definedName name="fluxoatual" localSheetId="9" hidden="1">{"'RR'!$A$2:$E$81"}</definedName>
    <definedName name="fluxoatual" localSheetId="10" hidden="1">{"'RR'!$A$2:$E$81"}</definedName>
    <definedName name="fluxoatual" localSheetId="11" hidden="1">{"'RR'!$A$2:$E$81"}</definedName>
    <definedName name="fluxoatual" localSheetId="12" hidden="1">{"'RR'!$A$2:$E$81"}</definedName>
    <definedName name="fluxoatual" localSheetId="13" hidden="1">{"'RR'!$A$2:$E$81"}</definedName>
    <definedName name="fluxoatual" localSheetId="14" hidden="1">{"'RR'!$A$2:$E$81"}</definedName>
    <definedName name="fluxoatual" localSheetId="15" hidden="1">{"'RR'!$A$2:$E$81"}</definedName>
    <definedName name="fluxoatual" localSheetId="20" hidden="1">{"'RR'!$A$2:$E$81"}</definedName>
    <definedName name="fluxoatual" localSheetId="21" hidden="1">{"'RR'!$A$2:$E$81"}</definedName>
    <definedName name="fluxoatual" localSheetId="22" hidden="1">{"'RR'!$A$2:$E$81"}</definedName>
    <definedName name="fluxoatual" localSheetId="23" hidden="1">{"'RR'!$A$2:$E$81"}</definedName>
    <definedName name="fluxoatual" localSheetId="24" hidden="1">{"'RR'!$A$2:$E$81"}</definedName>
    <definedName name="fluxoatual" localSheetId="25" hidden="1">{"'RR'!$A$2:$E$81"}</definedName>
    <definedName name="fluxoatual" localSheetId="26" hidden="1">{"'RR'!$A$2:$E$81"}</definedName>
    <definedName name="fluxoatual" localSheetId="27" hidden="1">{"'RR'!$A$2:$E$81"}</definedName>
    <definedName name="fluxoatual" localSheetId="28" hidden="1">{"'RR'!$A$2:$E$81"}</definedName>
    <definedName name="fluxoatual" localSheetId="29" hidden="1">{"'RR'!$A$2:$E$81"}</definedName>
    <definedName name="fluxoatual" localSheetId="30" hidden="1">{"'RR'!$A$2:$E$81"}</definedName>
    <definedName name="fluxoatual" localSheetId="31" hidden="1">{"'RR'!$A$2:$E$81"}</definedName>
    <definedName name="fluxoatual" localSheetId="32" hidden="1">{"'RR'!$A$2:$E$81"}</definedName>
    <definedName name="fluxoatual" hidden="1">{"'RR'!$A$2:$E$81"}</definedName>
    <definedName name="gfdgd"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g" localSheetId="3" hidden="1">{#N/A,#N/A,FALSE,"PREÇO.CPV.CA60";#N/A,#N/A,FALSE,"PREÇO.CPV.TREFILADOS";#N/A,#N/A,FALSE,"PREÇO.CPV.CA50";#N/A,#N/A,FALSE,"PREÇO.CPV.FM";#N/A,#N/A,FALSE,"PREÇO-FOB"}</definedName>
    <definedName name="gg" localSheetId="5" hidden="1">{#N/A,#N/A,FALSE,"PREÇO.CPV.CA60";#N/A,#N/A,FALSE,"PREÇO.CPV.TREFILADOS";#N/A,#N/A,FALSE,"PREÇO.CPV.CA50";#N/A,#N/A,FALSE,"PREÇO.CPV.FM";#N/A,#N/A,FALSE,"PREÇO-FOB"}</definedName>
    <definedName name="gg" localSheetId="6" hidden="1">{#N/A,#N/A,FALSE,"PREÇO.CPV.CA60";#N/A,#N/A,FALSE,"PREÇO.CPV.TREFILADOS";#N/A,#N/A,FALSE,"PREÇO.CPV.CA50";#N/A,#N/A,FALSE,"PREÇO.CPV.FM";#N/A,#N/A,FALSE,"PREÇO-FOB"}</definedName>
    <definedName name="gg" localSheetId="7" hidden="1">{#N/A,#N/A,FALSE,"PREÇO.CPV.CA60";#N/A,#N/A,FALSE,"PREÇO.CPV.TREFILADOS";#N/A,#N/A,FALSE,"PREÇO.CPV.CA50";#N/A,#N/A,FALSE,"PREÇO.CPV.FM";#N/A,#N/A,FALSE,"PREÇO-FOB"}</definedName>
    <definedName name="gg" localSheetId="9" hidden="1">{#N/A,#N/A,FALSE,"PREÇO.CPV.CA60";#N/A,#N/A,FALSE,"PREÇO.CPV.TREFILADOS";#N/A,#N/A,FALSE,"PREÇO.CPV.CA50";#N/A,#N/A,FALSE,"PREÇO.CPV.FM";#N/A,#N/A,FALSE,"PREÇO-FOB"}</definedName>
    <definedName name="gg" localSheetId="10" hidden="1">{#N/A,#N/A,FALSE,"PREÇO.CPV.CA60";#N/A,#N/A,FALSE,"PREÇO.CPV.TREFILADOS";#N/A,#N/A,FALSE,"PREÇO.CPV.CA50";#N/A,#N/A,FALSE,"PREÇO.CPV.FM";#N/A,#N/A,FALSE,"PREÇO-FOB"}</definedName>
    <definedName name="gg" localSheetId="11" hidden="1">{#N/A,#N/A,FALSE,"PREÇO.CPV.CA60";#N/A,#N/A,FALSE,"PREÇO.CPV.TREFILADOS";#N/A,#N/A,FALSE,"PREÇO.CPV.CA50";#N/A,#N/A,FALSE,"PREÇO.CPV.FM";#N/A,#N/A,FALSE,"PREÇO-FOB"}</definedName>
    <definedName name="gg" localSheetId="12" hidden="1">{#N/A,#N/A,FALSE,"PREÇO.CPV.CA60";#N/A,#N/A,FALSE,"PREÇO.CPV.TREFILADOS";#N/A,#N/A,FALSE,"PREÇO.CPV.CA50";#N/A,#N/A,FALSE,"PREÇO.CPV.FM";#N/A,#N/A,FALSE,"PREÇO-FOB"}</definedName>
    <definedName name="gg" localSheetId="13" hidden="1">{#N/A,#N/A,FALSE,"PREÇO.CPV.CA60";#N/A,#N/A,FALSE,"PREÇO.CPV.TREFILADOS";#N/A,#N/A,FALSE,"PREÇO.CPV.CA50";#N/A,#N/A,FALSE,"PREÇO.CPV.FM";#N/A,#N/A,FALSE,"PREÇO-FOB"}</definedName>
    <definedName name="gg" localSheetId="14" hidden="1">{#N/A,#N/A,FALSE,"PREÇO.CPV.CA60";#N/A,#N/A,FALSE,"PREÇO.CPV.TREFILADOS";#N/A,#N/A,FALSE,"PREÇO.CPV.CA50";#N/A,#N/A,FALSE,"PREÇO.CPV.FM";#N/A,#N/A,FALSE,"PREÇO-FOB"}</definedName>
    <definedName name="gg" localSheetId="15" hidden="1">{#N/A,#N/A,FALSE,"PREÇO.CPV.CA60";#N/A,#N/A,FALSE,"PREÇO.CPV.TREFILADOS";#N/A,#N/A,FALSE,"PREÇO.CPV.CA50";#N/A,#N/A,FALSE,"PREÇO.CPV.FM";#N/A,#N/A,FALSE,"PREÇO-FOB"}</definedName>
    <definedName name="gg" localSheetId="20" hidden="1">{#N/A,#N/A,FALSE,"PREÇO.CPV.CA60";#N/A,#N/A,FALSE,"PREÇO.CPV.TREFILADOS";#N/A,#N/A,FALSE,"PREÇO.CPV.CA50";#N/A,#N/A,FALSE,"PREÇO.CPV.FM";#N/A,#N/A,FALSE,"PREÇO-FOB"}</definedName>
    <definedName name="gg" localSheetId="21" hidden="1">{#N/A,#N/A,FALSE,"PREÇO.CPV.CA60";#N/A,#N/A,FALSE,"PREÇO.CPV.TREFILADOS";#N/A,#N/A,FALSE,"PREÇO.CPV.CA50";#N/A,#N/A,FALSE,"PREÇO.CPV.FM";#N/A,#N/A,FALSE,"PREÇO-FOB"}</definedName>
    <definedName name="gg" localSheetId="22" hidden="1">{#N/A,#N/A,FALSE,"PREÇO.CPV.CA60";#N/A,#N/A,FALSE,"PREÇO.CPV.TREFILADOS";#N/A,#N/A,FALSE,"PREÇO.CPV.CA50";#N/A,#N/A,FALSE,"PREÇO.CPV.FM";#N/A,#N/A,FALSE,"PREÇO-FOB"}</definedName>
    <definedName name="gg" localSheetId="23" hidden="1">{#N/A,#N/A,FALSE,"PREÇO.CPV.CA60";#N/A,#N/A,FALSE,"PREÇO.CPV.TREFILADOS";#N/A,#N/A,FALSE,"PREÇO.CPV.CA50";#N/A,#N/A,FALSE,"PREÇO.CPV.FM";#N/A,#N/A,FALSE,"PREÇO-FOB"}</definedName>
    <definedName name="gg" localSheetId="24" hidden="1">{#N/A,#N/A,FALSE,"PREÇO.CPV.CA60";#N/A,#N/A,FALSE,"PREÇO.CPV.TREFILADOS";#N/A,#N/A,FALSE,"PREÇO.CPV.CA50";#N/A,#N/A,FALSE,"PREÇO.CPV.FM";#N/A,#N/A,FALSE,"PREÇO-FOB"}</definedName>
    <definedName name="gg" localSheetId="25" hidden="1">{#N/A,#N/A,FALSE,"PREÇO.CPV.CA60";#N/A,#N/A,FALSE,"PREÇO.CPV.TREFILADOS";#N/A,#N/A,FALSE,"PREÇO.CPV.CA50";#N/A,#N/A,FALSE,"PREÇO.CPV.FM";#N/A,#N/A,FALSE,"PREÇO-FOB"}</definedName>
    <definedName name="gg" localSheetId="26" hidden="1">{#N/A,#N/A,FALSE,"PREÇO.CPV.CA60";#N/A,#N/A,FALSE,"PREÇO.CPV.TREFILADOS";#N/A,#N/A,FALSE,"PREÇO.CPV.CA50";#N/A,#N/A,FALSE,"PREÇO.CPV.FM";#N/A,#N/A,FALSE,"PREÇO-FOB"}</definedName>
    <definedName name="gg" localSheetId="27" hidden="1">{#N/A,#N/A,FALSE,"PREÇO.CPV.CA60";#N/A,#N/A,FALSE,"PREÇO.CPV.TREFILADOS";#N/A,#N/A,FALSE,"PREÇO.CPV.CA50";#N/A,#N/A,FALSE,"PREÇO.CPV.FM";#N/A,#N/A,FALSE,"PREÇO-FOB"}</definedName>
    <definedName name="gg" localSheetId="28" hidden="1">{#N/A,#N/A,FALSE,"PREÇO.CPV.CA60";#N/A,#N/A,FALSE,"PREÇO.CPV.TREFILADOS";#N/A,#N/A,FALSE,"PREÇO.CPV.CA50";#N/A,#N/A,FALSE,"PREÇO.CPV.FM";#N/A,#N/A,FALSE,"PREÇO-FOB"}</definedName>
    <definedName name="gg" localSheetId="29" hidden="1">{#N/A,#N/A,FALSE,"PREÇO.CPV.CA60";#N/A,#N/A,FALSE,"PREÇO.CPV.TREFILADOS";#N/A,#N/A,FALSE,"PREÇO.CPV.CA50";#N/A,#N/A,FALSE,"PREÇO.CPV.FM";#N/A,#N/A,FALSE,"PREÇO-FOB"}</definedName>
    <definedName name="gg" localSheetId="30" hidden="1">{#N/A,#N/A,FALSE,"PREÇO.CPV.CA60";#N/A,#N/A,FALSE,"PREÇO.CPV.TREFILADOS";#N/A,#N/A,FALSE,"PREÇO.CPV.CA50";#N/A,#N/A,FALSE,"PREÇO.CPV.FM";#N/A,#N/A,FALSE,"PREÇO-FOB"}</definedName>
    <definedName name="gg" localSheetId="31" hidden="1">{#N/A,#N/A,FALSE,"PREÇO.CPV.CA60";#N/A,#N/A,FALSE,"PREÇO.CPV.TREFILADOS";#N/A,#N/A,FALSE,"PREÇO.CPV.CA50";#N/A,#N/A,FALSE,"PREÇO.CPV.FM";#N/A,#N/A,FALSE,"PREÇO-FOB"}</definedName>
    <definedName name="gg" localSheetId="32" hidden="1">{#N/A,#N/A,FALSE,"PREÇO.CPV.CA60";#N/A,#N/A,FALSE,"PREÇO.CPV.TREFILADOS";#N/A,#N/A,FALSE,"PREÇO.CPV.CA50";#N/A,#N/A,FALSE,"PREÇO.CPV.FM";#N/A,#N/A,FALSE,"PREÇO-FOB"}</definedName>
    <definedName name="gg" hidden="1">{#N/A,#N/A,FALSE,"PREÇO.CPV.CA60";#N/A,#N/A,FALSE,"PREÇO.CPV.TREFILADOS";#N/A,#N/A,FALSE,"PREÇO.CPV.CA50";#N/A,#N/A,FALSE,"PREÇO.CPV.FM";#N/A,#N/A,FALSE,"PREÇO-FOB"}</definedName>
    <definedName name="GGF" localSheetId="3" hidden="1">{#N/A,#N/A,FALSE,"COBERTURAS 30";#N/A,#N/A,FALSE,"COBERTURAS Mês e Acum 31";#N/A,#N/A,FALSE,"COBERTURAS Acum 32"}</definedName>
    <definedName name="GGF" localSheetId="5" hidden="1">{#N/A,#N/A,FALSE,"COBERTURAS 30";#N/A,#N/A,FALSE,"COBERTURAS Mês e Acum 31";#N/A,#N/A,FALSE,"COBERTURAS Acum 32"}</definedName>
    <definedName name="GGF" localSheetId="6" hidden="1">{#N/A,#N/A,FALSE,"COBERTURAS 30";#N/A,#N/A,FALSE,"COBERTURAS Mês e Acum 31";#N/A,#N/A,FALSE,"COBERTURAS Acum 32"}</definedName>
    <definedName name="GGF" localSheetId="7" hidden="1">{#N/A,#N/A,FALSE,"COBERTURAS 30";#N/A,#N/A,FALSE,"COBERTURAS Mês e Acum 31";#N/A,#N/A,FALSE,"COBERTURAS Acum 32"}</definedName>
    <definedName name="GGF" localSheetId="9" hidden="1">{#N/A,#N/A,FALSE,"COBERTURAS 30";#N/A,#N/A,FALSE,"COBERTURAS Mês e Acum 31";#N/A,#N/A,FALSE,"COBERTURAS Acum 32"}</definedName>
    <definedName name="GGF" localSheetId="10" hidden="1">{#N/A,#N/A,FALSE,"COBERTURAS 30";#N/A,#N/A,FALSE,"COBERTURAS Mês e Acum 31";#N/A,#N/A,FALSE,"COBERTURAS Acum 32"}</definedName>
    <definedName name="GGF" localSheetId="11" hidden="1">{#N/A,#N/A,FALSE,"COBERTURAS 30";#N/A,#N/A,FALSE,"COBERTURAS Mês e Acum 31";#N/A,#N/A,FALSE,"COBERTURAS Acum 32"}</definedName>
    <definedName name="GGF" localSheetId="12" hidden="1">{#N/A,#N/A,FALSE,"COBERTURAS 30";#N/A,#N/A,FALSE,"COBERTURAS Mês e Acum 31";#N/A,#N/A,FALSE,"COBERTURAS Acum 32"}</definedName>
    <definedName name="GGF" localSheetId="13" hidden="1">{#N/A,#N/A,FALSE,"COBERTURAS 30";#N/A,#N/A,FALSE,"COBERTURAS Mês e Acum 31";#N/A,#N/A,FALSE,"COBERTURAS Acum 32"}</definedName>
    <definedName name="GGF" localSheetId="14" hidden="1">{#N/A,#N/A,FALSE,"COBERTURAS 30";#N/A,#N/A,FALSE,"COBERTURAS Mês e Acum 31";#N/A,#N/A,FALSE,"COBERTURAS Acum 32"}</definedName>
    <definedName name="GGF" localSheetId="15" hidden="1">{#N/A,#N/A,FALSE,"COBERTURAS 30";#N/A,#N/A,FALSE,"COBERTURAS Mês e Acum 31";#N/A,#N/A,FALSE,"COBERTURAS Acum 32"}</definedName>
    <definedName name="GGF" localSheetId="20" hidden="1">{#N/A,#N/A,FALSE,"COBERTURAS 30";#N/A,#N/A,FALSE,"COBERTURAS Mês e Acum 31";#N/A,#N/A,FALSE,"COBERTURAS Acum 32"}</definedName>
    <definedName name="GGF" localSheetId="21" hidden="1">{#N/A,#N/A,FALSE,"COBERTURAS 30";#N/A,#N/A,FALSE,"COBERTURAS Mês e Acum 31";#N/A,#N/A,FALSE,"COBERTURAS Acum 32"}</definedName>
    <definedName name="GGF" localSheetId="22" hidden="1">{#N/A,#N/A,FALSE,"COBERTURAS 30";#N/A,#N/A,FALSE,"COBERTURAS Mês e Acum 31";#N/A,#N/A,FALSE,"COBERTURAS Acum 32"}</definedName>
    <definedName name="GGF" localSheetId="23" hidden="1">{#N/A,#N/A,FALSE,"COBERTURAS 30";#N/A,#N/A,FALSE,"COBERTURAS Mês e Acum 31";#N/A,#N/A,FALSE,"COBERTURAS Acum 32"}</definedName>
    <definedName name="GGF" localSheetId="24" hidden="1">{#N/A,#N/A,FALSE,"COBERTURAS 30";#N/A,#N/A,FALSE,"COBERTURAS Mês e Acum 31";#N/A,#N/A,FALSE,"COBERTURAS Acum 32"}</definedName>
    <definedName name="GGF" localSheetId="25" hidden="1">{#N/A,#N/A,FALSE,"COBERTURAS 30";#N/A,#N/A,FALSE,"COBERTURAS Mês e Acum 31";#N/A,#N/A,FALSE,"COBERTURAS Acum 32"}</definedName>
    <definedName name="GGF" localSheetId="26" hidden="1">{#N/A,#N/A,FALSE,"COBERTURAS 30";#N/A,#N/A,FALSE,"COBERTURAS Mês e Acum 31";#N/A,#N/A,FALSE,"COBERTURAS Acum 32"}</definedName>
    <definedName name="GGF" localSheetId="27" hidden="1">{#N/A,#N/A,FALSE,"COBERTURAS 30";#N/A,#N/A,FALSE,"COBERTURAS Mês e Acum 31";#N/A,#N/A,FALSE,"COBERTURAS Acum 32"}</definedName>
    <definedName name="GGF" localSheetId="28" hidden="1">{#N/A,#N/A,FALSE,"COBERTURAS 30";#N/A,#N/A,FALSE,"COBERTURAS Mês e Acum 31";#N/A,#N/A,FALSE,"COBERTURAS Acum 32"}</definedName>
    <definedName name="GGF" localSheetId="29" hidden="1">{#N/A,#N/A,FALSE,"COBERTURAS 30";#N/A,#N/A,FALSE,"COBERTURAS Mês e Acum 31";#N/A,#N/A,FALSE,"COBERTURAS Acum 32"}</definedName>
    <definedName name="GGF" localSheetId="30" hidden="1">{#N/A,#N/A,FALSE,"COBERTURAS 30";#N/A,#N/A,FALSE,"COBERTURAS Mês e Acum 31";#N/A,#N/A,FALSE,"COBERTURAS Acum 32"}</definedName>
    <definedName name="GGF" localSheetId="31" hidden="1">{#N/A,#N/A,FALSE,"COBERTURAS 30";#N/A,#N/A,FALSE,"COBERTURAS Mês e Acum 31";#N/A,#N/A,FALSE,"COBERTURAS Acum 32"}</definedName>
    <definedName name="GGF" localSheetId="32" hidden="1">{#N/A,#N/A,FALSE,"COBERTURAS 30";#N/A,#N/A,FALSE,"COBERTURAS Mês e Acum 31";#N/A,#N/A,FALSE,"COBERTURAS Acum 32"}</definedName>
    <definedName name="GGF" hidden="1">{#N/A,#N/A,FALSE,"COBERTURAS 30";#N/A,#N/A,FALSE,"COBERTURAS Mês e Acum 31";#N/A,#N/A,FALSE,"COBERTURAS Acum 32"}</definedName>
    <definedName name="GGF." localSheetId="3" hidden="1">{#N/A,#N/A,FALSE,"MIZUNO 21";#N/A,#N/A,FALSE,"Mizuno Mês e Acum 22";#N/A,#N/A,FALSE,"Mizuno Acum 23"}</definedName>
    <definedName name="GGF." localSheetId="5" hidden="1">{#N/A,#N/A,FALSE,"MIZUNO 21";#N/A,#N/A,FALSE,"Mizuno Mês e Acum 22";#N/A,#N/A,FALSE,"Mizuno Acum 23"}</definedName>
    <definedName name="GGF." localSheetId="6" hidden="1">{#N/A,#N/A,FALSE,"MIZUNO 21";#N/A,#N/A,FALSE,"Mizuno Mês e Acum 22";#N/A,#N/A,FALSE,"Mizuno Acum 23"}</definedName>
    <definedName name="GGF." localSheetId="7" hidden="1">{#N/A,#N/A,FALSE,"MIZUNO 21";#N/A,#N/A,FALSE,"Mizuno Mês e Acum 22";#N/A,#N/A,FALSE,"Mizuno Acum 23"}</definedName>
    <definedName name="GGF." localSheetId="9" hidden="1">{#N/A,#N/A,FALSE,"MIZUNO 21";#N/A,#N/A,FALSE,"Mizuno Mês e Acum 22";#N/A,#N/A,FALSE,"Mizuno Acum 23"}</definedName>
    <definedName name="GGF." localSheetId="10" hidden="1">{#N/A,#N/A,FALSE,"MIZUNO 21";#N/A,#N/A,FALSE,"Mizuno Mês e Acum 22";#N/A,#N/A,FALSE,"Mizuno Acum 23"}</definedName>
    <definedName name="GGF." localSheetId="11" hidden="1">{#N/A,#N/A,FALSE,"MIZUNO 21";#N/A,#N/A,FALSE,"Mizuno Mês e Acum 22";#N/A,#N/A,FALSE,"Mizuno Acum 23"}</definedName>
    <definedName name="GGF." localSheetId="12" hidden="1">{#N/A,#N/A,FALSE,"MIZUNO 21";#N/A,#N/A,FALSE,"Mizuno Mês e Acum 22";#N/A,#N/A,FALSE,"Mizuno Acum 23"}</definedName>
    <definedName name="GGF." localSheetId="13" hidden="1">{#N/A,#N/A,FALSE,"MIZUNO 21";#N/A,#N/A,FALSE,"Mizuno Mês e Acum 22";#N/A,#N/A,FALSE,"Mizuno Acum 23"}</definedName>
    <definedName name="GGF." localSheetId="14" hidden="1">{#N/A,#N/A,FALSE,"MIZUNO 21";#N/A,#N/A,FALSE,"Mizuno Mês e Acum 22";#N/A,#N/A,FALSE,"Mizuno Acum 23"}</definedName>
    <definedName name="GGF." localSheetId="15" hidden="1">{#N/A,#N/A,FALSE,"MIZUNO 21";#N/A,#N/A,FALSE,"Mizuno Mês e Acum 22";#N/A,#N/A,FALSE,"Mizuno Acum 23"}</definedName>
    <definedName name="GGF." localSheetId="20" hidden="1">{#N/A,#N/A,FALSE,"MIZUNO 21";#N/A,#N/A,FALSE,"Mizuno Mês e Acum 22";#N/A,#N/A,FALSE,"Mizuno Acum 23"}</definedName>
    <definedName name="GGF." localSheetId="21" hidden="1">{#N/A,#N/A,FALSE,"MIZUNO 21";#N/A,#N/A,FALSE,"Mizuno Mês e Acum 22";#N/A,#N/A,FALSE,"Mizuno Acum 23"}</definedName>
    <definedName name="GGF." localSheetId="22" hidden="1">{#N/A,#N/A,FALSE,"MIZUNO 21";#N/A,#N/A,FALSE,"Mizuno Mês e Acum 22";#N/A,#N/A,FALSE,"Mizuno Acum 23"}</definedName>
    <definedName name="GGF." localSheetId="23" hidden="1">{#N/A,#N/A,FALSE,"MIZUNO 21";#N/A,#N/A,FALSE,"Mizuno Mês e Acum 22";#N/A,#N/A,FALSE,"Mizuno Acum 23"}</definedName>
    <definedName name="GGF." localSheetId="24" hidden="1">{#N/A,#N/A,FALSE,"MIZUNO 21";#N/A,#N/A,FALSE,"Mizuno Mês e Acum 22";#N/A,#N/A,FALSE,"Mizuno Acum 23"}</definedName>
    <definedName name="GGF." localSheetId="25" hidden="1">{#N/A,#N/A,FALSE,"MIZUNO 21";#N/A,#N/A,FALSE,"Mizuno Mês e Acum 22";#N/A,#N/A,FALSE,"Mizuno Acum 23"}</definedName>
    <definedName name="GGF." localSheetId="26" hidden="1">{#N/A,#N/A,FALSE,"MIZUNO 21";#N/A,#N/A,FALSE,"Mizuno Mês e Acum 22";#N/A,#N/A,FALSE,"Mizuno Acum 23"}</definedName>
    <definedName name="GGF." localSheetId="27" hidden="1">{#N/A,#N/A,FALSE,"MIZUNO 21";#N/A,#N/A,FALSE,"Mizuno Mês e Acum 22";#N/A,#N/A,FALSE,"Mizuno Acum 23"}</definedName>
    <definedName name="GGF." localSheetId="28" hidden="1">{#N/A,#N/A,FALSE,"MIZUNO 21";#N/A,#N/A,FALSE,"Mizuno Mês e Acum 22";#N/A,#N/A,FALSE,"Mizuno Acum 23"}</definedName>
    <definedName name="GGF." localSheetId="29" hidden="1">{#N/A,#N/A,FALSE,"MIZUNO 21";#N/A,#N/A,FALSE,"Mizuno Mês e Acum 22";#N/A,#N/A,FALSE,"Mizuno Acum 23"}</definedName>
    <definedName name="GGF." localSheetId="30" hidden="1">{#N/A,#N/A,FALSE,"MIZUNO 21";#N/A,#N/A,FALSE,"Mizuno Mês e Acum 22";#N/A,#N/A,FALSE,"Mizuno Acum 23"}</definedName>
    <definedName name="GGF." localSheetId="31" hidden="1">{#N/A,#N/A,FALSE,"MIZUNO 21";#N/A,#N/A,FALSE,"Mizuno Mês e Acum 22";#N/A,#N/A,FALSE,"Mizuno Acum 23"}</definedName>
    <definedName name="GGF." localSheetId="32" hidden="1">{#N/A,#N/A,FALSE,"MIZUNO 21";#N/A,#N/A,FALSE,"Mizuno Mês e Acum 22";#N/A,#N/A,FALSE,"Mizuno Acum 23"}</definedName>
    <definedName name="GGF." hidden="1">{#N/A,#N/A,FALSE,"MIZUNO 21";#N/A,#N/A,FALSE,"Mizuno Mês e Acum 22";#N/A,#N/A,FALSE,"Mizuno Acum 23"}</definedName>
    <definedName name="ggg" localSheetId="3" hidden="1">{#N/A,#N/A,FALSE,"Tabl. G1";#N/A,#N/A,FALSE,"Tabl. G2"}</definedName>
    <definedName name="ggg" localSheetId="5" hidden="1">{#N/A,#N/A,FALSE,"Tabl. G1";#N/A,#N/A,FALSE,"Tabl. G2"}</definedName>
    <definedName name="ggg" localSheetId="6" hidden="1">{#N/A,#N/A,FALSE,"Tabl. G1";#N/A,#N/A,FALSE,"Tabl. G2"}</definedName>
    <definedName name="ggg" localSheetId="7" hidden="1">{#N/A,#N/A,FALSE,"Tabl. G1";#N/A,#N/A,FALSE,"Tabl. G2"}</definedName>
    <definedName name="ggg" localSheetId="9" hidden="1">{#N/A,#N/A,FALSE,"Tabl. G1";#N/A,#N/A,FALSE,"Tabl. G2"}</definedName>
    <definedName name="ggg" localSheetId="10" hidden="1">{#N/A,#N/A,FALSE,"Tabl. G1";#N/A,#N/A,FALSE,"Tabl. G2"}</definedName>
    <definedName name="ggg" localSheetId="11" hidden="1">{#N/A,#N/A,FALSE,"Tabl. G1";#N/A,#N/A,FALSE,"Tabl. G2"}</definedName>
    <definedName name="ggg" localSheetId="12" hidden="1">{#N/A,#N/A,FALSE,"Tabl. G1";#N/A,#N/A,FALSE,"Tabl. G2"}</definedName>
    <definedName name="ggg" localSheetId="13" hidden="1">{#N/A,#N/A,FALSE,"Tabl. G1";#N/A,#N/A,FALSE,"Tabl. G2"}</definedName>
    <definedName name="ggg" localSheetId="14" hidden="1">{#N/A,#N/A,FALSE,"Tabl. G1";#N/A,#N/A,FALSE,"Tabl. G2"}</definedName>
    <definedName name="ggg" localSheetId="15" hidden="1">{#N/A,#N/A,FALSE,"Tabl. G1";#N/A,#N/A,FALSE,"Tabl. G2"}</definedName>
    <definedName name="ggg" localSheetId="20" hidden="1">{#N/A,#N/A,FALSE,"Tabl. G1";#N/A,#N/A,FALSE,"Tabl. G2"}</definedName>
    <definedName name="ggg" localSheetId="21" hidden="1">{#N/A,#N/A,FALSE,"Tabl. G1";#N/A,#N/A,FALSE,"Tabl. G2"}</definedName>
    <definedName name="ggg" localSheetId="22" hidden="1">{#N/A,#N/A,FALSE,"Tabl. G1";#N/A,#N/A,FALSE,"Tabl. G2"}</definedName>
    <definedName name="ggg" localSheetId="23" hidden="1">{#N/A,#N/A,FALSE,"Tabl. G1";#N/A,#N/A,FALSE,"Tabl. G2"}</definedName>
    <definedName name="ggg" localSheetId="24" hidden="1">{#N/A,#N/A,FALSE,"Tabl. G1";#N/A,#N/A,FALSE,"Tabl. G2"}</definedName>
    <definedName name="ggg" localSheetId="25" hidden="1">{#N/A,#N/A,FALSE,"Tabl. G1";#N/A,#N/A,FALSE,"Tabl. G2"}</definedName>
    <definedName name="ggg" localSheetId="26" hidden="1">{#N/A,#N/A,FALSE,"Tabl. G1";#N/A,#N/A,FALSE,"Tabl. G2"}</definedName>
    <definedName name="ggg" localSheetId="27" hidden="1">{#N/A,#N/A,FALSE,"Tabl. G1";#N/A,#N/A,FALSE,"Tabl. G2"}</definedName>
    <definedName name="ggg" localSheetId="28" hidden="1">{#N/A,#N/A,FALSE,"Tabl. G1";#N/A,#N/A,FALSE,"Tabl. G2"}</definedName>
    <definedName name="ggg" localSheetId="29" hidden="1">{#N/A,#N/A,FALSE,"Tabl. G1";#N/A,#N/A,FALSE,"Tabl. G2"}</definedName>
    <definedName name="ggg" localSheetId="30" hidden="1">{#N/A,#N/A,FALSE,"Tabl. G1";#N/A,#N/A,FALSE,"Tabl. G2"}</definedName>
    <definedName name="ggg" localSheetId="31" hidden="1">{#N/A,#N/A,FALSE,"Tabl. G1";#N/A,#N/A,FALSE,"Tabl. G2"}</definedName>
    <definedName name="ggg" localSheetId="32" hidden="1">{#N/A,#N/A,FALSE,"Tabl. G1";#N/A,#N/A,FALSE,"Tabl. G2"}</definedName>
    <definedName name="ggg" hidden="1">{#N/A,#N/A,FALSE,"Tabl. G1";#N/A,#N/A,FALSE,"Tabl. G2"}</definedName>
    <definedName name="hhh" localSheetId="3" hidden="1">{#N/A,#N/A,FALSE,"Tabl. D1";#N/A,#N/A,FALSE,"Tabl. D1 b";#N/A,#N/A,FALSE,"Tabl. D2";#N/A,#N/A,FALSE,"Tabl. D2 b";#N/A,#N/A,FALSE,"Tabl. D3";#N/A,#N/A,FALSE,"Tabl. D4";#N/A,#N/A,FALSE,"Tabl. D5"}</definedName>
    <definedName name="hhh" localSheetId="5" hidden="1">{#N/A,#N/A,FALSE,"Tabl. D1";#N/A,#N/A,FALSE,"Tabl. D1 b";#N/A,#N/A,FALSE,"Tabl. D2";#N/A,#N/A,FALSE,"Tabl. D2 b";#N/A,#N/A,FALSE,"Tabl. D3";#N/A,#N/A,FALSE,"Tabl. D4";#N/A,#N/A,FALSE,"Tabl. D5"}</definedName>
    <definedName name="hhh" localSheetId="6" hidden="1">{#N/A,#N/A,FALSE,"Tabl. D1";#N/A,#N/A,FALSE,"Tabl. D1 b";#N/A,#N/A,FALSE,"Tabl. D2";#N/A,#N/A,FALSE,"Tabl. D2 b";#N/A,#N/A,FALSE,"Tabl. D3";#N/A,#N/A,FALSE,"Tabl. D4";#N/A,#N/A,FALSE,"Tabl. D5"}</definedName>
    <definedName name="hhh" localSheetId="7" hidden="1">{#N/A,#N/A,FALSE,"Tabl. D1";#N/A,#N/A,FALSE,"Tabl. D1 b";#N/A,#N/A,FALSE,"Tabl. D2";#N/A,#N/A,FALSE,"Tabl. D2 b";#N/A,#N/A,FALSE,"Tabl. D3";#N/A,#N/A,FALSE,"Tabl. D4";#N/A,#N/A,FALSE,"Tabl. D5"}</definedName>
    <definedName name="hhh" localSheetId="9" hidden="1">{#N/A,#N/A,FALSE,"Tabl. D1";#N/A,#N/A,FALSE,"Tabl. D1 b";#N/A,#N/A,FALSE,"Tabl. D2";#N/A,#N/A,FALSE,"Tabl. D2 b";#N/A,#N/A,FALSE,"Tabl. D3";#N/A,#N/A,FALSE,"Tabl. D4";#N/A,#N/A,FALSE,"Tabl. D5"}</definedName>
    <definedName name="hhh" localSheetId="10" hidden="1">{#N/A,#N/A,FALSE,"Tabl. D1";#N/A,#N/A,FALSE,"Tabl. D1 b";#N/A,#N/A,FALSE,"Tabl. D2";#N/A,#N/A,FALSE,"Tabl. D2 b";#N/A,#N/A,FALSE,"Tabl. D3";#N/A,#N/A,FALSE,"Tabl. D4";#N/A,#N/A,FALSE,"Tabl. D5"}</definedName>
    <definedName name="hhh" localSheetId="11" hidden="1">{#N/A,#N/A,FALSE,"Tabl. D1";#N/A,#N/A,FALSE,"Tabl. D1 b";#N/A,#N/A,FALSE,"Tabl. D2";#N/A,#N/A,FALSE,"Tabl. D2 b";#N/A,#N/A,FALSE,"Tabl. D3";#N/A,#N/A,FALSE,"Tabl. D4";#N/A,#N/A,FALSE,"Tabl. D5"}</definedName>
    <definedName name="hhh" localSheetId="12" hidden="1">{#N/A,#N/A,FALSE,"Tabl. D1";#N/A,#N/A,FALSE,"Tabl. D1 b";#N/A,#N/A,FALSE,"Tabl. D2";#N/A,#N/A,FALSE,"Tabl. D2 b";#N/A,#N/A,FALSE,"Tabl. D3";#N/A,#N/A,FALSE,"Tabl. D4";#N/A,#N/A,FALSE,"Tabl. D5"}</definedName>
    <definedName name="hhh" localSheetId="13" hidden="1">{#N/A,#N/A,FALSE,"Tabl. D1";#N/A,#N/A,FALSE,"Tabl. D1 b";#N/A,#N/A,FALSE,"Tabl. D2";#N/A,#N/A,FALSE,"Tabl. D2 b";#N/A,#N/A,FALSE,"Tabl. D3";#N/A,#N/A,FALSE,"Tabl. D4";#N/A,#N/A,FALSE,"Tabl. D5"}</definedName>
    <definedName name="hhh" localSheetId="14" hidden="1">{#N/A,#N/A,FALSE,"Tabl. D1";#N/A,#N/A,FALSE,"Tabl. D1 b";#N/A,#N/A,FALSE,"Tabl. D2";#N/A,#N/A,FALSE,"Tabl. D2 b";#N/A,#N/A,FALSE,"Tabl. D3";#N/A,#N/A,FALSE,"Tabl. D4";#N/A,#N/A,FALSE,"Tabl. D5"}</definedName>
    <definedName name="hhh" localSheetId="15" hidden="1">{#N/A,#N/A,FALSE,"Tabl. D1";#N/A,#N/A,FALSE,"Tabl. D1 b";#N/A,#N/A,FALSE,"Tabl. D2";#N/A,#N/A,FALSE,"Tabl. D2 b";#N/A,#N/A,FALSE,"Tabl. D3";#N/A,#N/A,FALSE,"Tabl. D4";#N/A,#N/A,FALSE,"Tabl. D5"}</definedName>
    <definedName name="hhh" localSheetId="20" hidden="1">{#N/A,#N/A,FALSE,"Tabl. D1";#N/A,#N/A,FALSE,"Tabl. D1 b";#N/A,#N/A,FALSE,"Tabl. D2";#N/A,#N/A,FALSE,"Tabl. D2 b";#N/A,#N/A,FALSE,"Tabl. D3";#N/A,#N/A,FALSE,"Tabl. D4";#N/A,#N/A,FALSE,"Tabl. D5"}</definedName>
    <definedName name="hhh" localSheetId="21" hidden="1">{#N/A,#N/A,FALSE,"Tabl. D1";#N/A,#N/A,FALSE,"Tabl. D1 b";#N/A,#N/A,FALSE,"Tabl. D2";#N/A,#N/A,FALSE,"Tabl. D2 b";#N/A,#N/A,FALSE,"Tabl. D3";#N/A,#N/A,FALSE,"Tabl. D4";#N/A,#N/A,FALSE,"Tabl. D5"}</definedName>
    <definedName name="hhh" localSheetId="22" hidden="1">{#N/A,#N/A,FALSE,"Tabl. D1";#N/A,#N/A,FALSE,"Tabl. D1 b";#N/A,#N/A,FALSE,"Tabl. D2";#N/A,#N/A,FALSE,"Tabl. D2 b";#N/A,#N/A,FALSE,"Tabl. D3";#N/A,#N/A,FALSE,"Tabl. D4";#N/A,#N/A,FALSE,"Tabl. D5"}</definedName>
    <definedName name="hhh" localSheetId="23" hidden="1">{#N/A,#N/A,FALSE,"Tabl. D1";#N/A,#N/A,FALSE,"Tabl. D1 b";#N/A,#N/A,FALSE,"Tabl. D2";#N/A,#N/A,FALSE,"Tabl. D2 b";#N/A,#N/A,FALSE,"Tabl. D3";#N/A,#N/A,FALSE,"Tabl. D4";#N/A,#N/A,FALSE,"Tabl. D5"}</definedName>
    <definedName name="hhh" localSheetId="24" hidden="1">{#N/A,#N/A,FALSE,"Tabl. D1";#N/A,#N/A,FALSE,"Tabl. D1 b";#N/A,#N/A,FALSE,"Tabl. D2";#N/A,#N/A,FALSE,"Tabl. D2 b";#N/A,#N/A,FALSE,"Tabl. D3";#N/A,#N/A,FALSE,"Tabl. D4";#N/A,#N/A,FALSE,"Tabl. D5"}</definedName>
    <definedName name="hhh" localSheetId="25" hidden="1">{#N/A,#N/A,FALSE,"Tabl. D1";#N/A,#N/A,FALSE,"Tabl. D1 b";#N/A,#N/A,FALSE,"Tabl. D2";#N/A,#N/A,FALSE,"Tabl. D2 b";#N/A,#N/A,FALSE,"Tabl. D3";#N/A,#N/A,FALSE,"Tabl. D4";#N/A,#N/A,FALSE,"Tabl. D5"}</definedName>
    <definedName name="hhh" localSheetId="26" hidden="1">{#N/A,#N/A,FALSE,"Tabl. D1";#N/A,#N/A,FALSE,"Tabl. D1 b";#N/A,#N/A,FALSE,"Tabl. D2";#N/A,#N/A,FALSE,"Tabl. D2 b";#N/A,#N/A,FALSE,"Tabl. D3";#N/A,#N/A,FALSE,"Tabl. D4";#N/A,#N/A,FALSE,"Tabl. D5"}</definedName>
    <definedName name="hhh" localSheetId="27" hidden="1">{#N/A,#N/A,FALSE,"Tabl. D1";#N/A,#N/A,FALSE,"Tabl. D1 b";#N/A,#N/A,FALSE,"Tabl. D2";#N/A,#N/A,FALSE,"Tabl. D2 b";#N/A,#N/A,FALSE,"Tabl. D3";#N/A,#N/A,FALSE,"Tabl. D4";#N/A,#N/A,FALSE,"Tabl. D5"}</definedName>
    <definedName name="hhh" localSheetId="28" hidden="1">{#N/A,#N/A,FALSE,"Tabl. D1";#N/A,#N/A,FALSE,"Tabl. D1 b";#N/A,#N/A,FALSE,"Tabl. D2";#N/A,#N/A,FALSE,"Tabl. D2 b";#N/A,#N/A,FALSE,"Tabl. D3";#N/A,#N/A,FALSE,"Tabl. D4";#N/A,#N/A,FALSE,"Tabl. D5"}</definedName>
    <definedName name="hhh" localSheetId="29" hidden="1">{#N/A,#N/A,FALSE,"Tabl. D1";#N/A,#N/A,FALSE,"Tabl. D1 b";#N/A,#N/A,FALSE,"Tabl. D2";#N/A,#N/A,FALSE,"Tabl. D2 b";#N/A,#N/A,FALSE,"Tabl. D3";#N/A,#N/A,FALSE,"Tabl. D4";#N/A,#N/A,FALSE,"Tabl. D5"}</definedName>
    <definedName name="hhh" localSheetId="30" hidden="1">{#N/A,#N/A,FALSE,"Tabl. D1";#N/A,#N/A,FALSE,"Tabl. D1 b";#N/A,#N/A,FALSE,"Tabl. D2";#N/A,#N/A,FALSE,"Tabl. D2 b";#N/A,#N/A,FALSE,"Tabl. D3";#N/A,#N/A,FALSE,"Tabl. D4";#N/A,#N/A,FALSE,"Tabl. D5"}</definedName>
    <definedName name="hhh" localSheetId="31" hidden="1">{#N/A,#N/A,FALSE,"Tabl. D1";#N/A,#N/A,FALSE,"Tabl. D1 b";#N/A,#N/A,FALSE,"Tabl. D2";#N/A,#N/A,FALSE,"Tabl. D2 b";#N/A,#N/A,FALSE,"Tabl. D3";#N/A,#N/A,FALSE,"Tabl. D4";#N/A,#N/A,FALSE,"Tabl. D5"}</definedName>
    <definedName name="hhh" localSheetId="32" hidden="1">{#N/A,#N/A,FALSE,"Tabl. D1";#N/A,#N/A,FALSE,"Tabl. D1 b";#N/A,#N/A,FALSE,"Tabl. D2";#N/A,#N/A,FALSE,"Tabl. D2 b";#N/A,#N/A,FALSE,"Tabl. D3";#N/A,#N/A,FALSE,"Tabl. D4";#N/A,#N/A,FALSE,"Tabl. D5"}</definedName>
    <definedName name="hhh" hidden="1">{#N/A,#N/A,FALSE,"Tabl. D1";#N/A,#N/A,FALSE,"Tabl. D1 b";#N/A,#N/A,FALSE,"Tabl. D2";#N/A,#N/A,FALSE,"Tabl. D2 b";#N/A,#N/A,FALSE,"Tabl. D3";#N/A,#N/A,FALSE,"Tabl. D4";#N/A,#N/A,FALSE,"Tabl. D5"}</definedName>
    <definedName name="hkjhjkhkj" localSheetId="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8"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3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3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3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r_ini" localSheetId="5">#REF!</definedName>
    <definedName name="hr_ini" localSheetId="6">#REF!</definedName>
    <definedName name="hr_ini" localSheetId="9">#REF!</definedName>
    <definedName name="hr_ini" localSheetId="10">#REF!</definedName>
    <definedName name="hr_ini" localSheetId="11">#REF!</definedName>
    <definedName name="hr_ini" localSheetId="12">#REF!</definedName>
    <definedName name="hr_ini" localSheetId="13">#REF!</definedName>
    <definedName name="hr_ini" localSheetId="22">#REF!</definedName>
    <definedName name="hr_ini" localSheetId="23">#REF!</definedName>
    <definedName name="hr_ini" localSheetId="25">#REF!</definedName>
    <definedName name="hr_ini" localSheetId="26">#REF!</definedName>
    <definedName name="hr_ini" localSheetId="27">#REF!</definedName>
    <definedName name="hr_ini" localSheetId="28">#REF!</definedName>
    <definedName name="hr_ini" localSheetId="32">#REF!</definedName>
    <definedName name="hr_ini">#REF!</definedName>
    <definedName name="hr_limite" localSheetId="5">#REF!</definedName>
    <definedName name="hr_limite" localSheetId="6">#REF!</definedName>
    <definedName name="hr_limite" localSheetId="9">#REF!</definedName>
    <definedName name="hr_limite" localSheetId="10">#REF!</definedName>
    <definedName name="hr_limite" localSheetId="11">#REF!</definedName>
    <definedName name="hr_limite" localSheetId="12">#REF!</definedName>
    <definedName name="hr_limite" localSheetId="13">#REF!</definedName>
    <definedName name="hr_limite" localSheetId="22">#REF!</definedName>
    <definedName name="hr_limite" localSheetId="23">#REF!</definedName>
    <definedName name="hr_limite" localSheetId="25">#REF!</definedName>
    <definedName name="hr_limite" localSheetId="26">#REF!</definedName>
    <definedName name="hr_limite" localSheetId="27">#REF!</definedName>
    <definedName name="hr_limite" localSheetId="28">#REF!</definedName>
    <definedName name="hr_limite" localSheetId="32">#REF!</definedName>
    <definedName name="hr_limite">#REF!</definedName>
    <definedName name="HTML_CodePage" hidden="1">1252</definedName>
    <definedName name="HTML_Control" localSheetId="3" hidden="1">{"'RR'!$A$2:$E$81"}</definedName>
    <definedName name="HTML_Control" localSheetId="5" hidden="1">{"'RR'!$A$2:$E$81"}</definedName>
    <definedName name="HTML_Control" localSheetId="6" hidden="1">{"'RR'!$A$2:$E$81"}</definedName>
    <definedName name="HTML_Control" localSheetId="7" hidden="1">{"'RR'!$A$2:$E$81"}</definedName>
    <definedName name="HTML_Control" localSheetId="9" hidden="1">{"'RR'!$A$2:$E$81"}</definedName>
    <definedName name="HTML_Control" localSheetId="10" hidden="1">{"'RR'!$A$2:$E$81"}</definedName>
    <definedName name="HTML_Control" localSheetId="11" hidden="1">{"'RR'!$A$2:$E$81"}</definedName>
    <definedName name="HTML_Control" localSheetId="12" hidden="1">{"'RR'!$A$2:$E$81"}</definedName>
    <definedName name="HTML_Control" localSheetId="13" hidden="1">{"'RR'!$A$2:$E$81"}</definedName>
    <definedName name="HTML_Control" localSheetId="14" hidden="1">{"'RR'!$A$2:$E$81"}</definedName>
    <definedName name="HTML_Control" localSheetId="15" hidden="1">{"'RR'!$A$2:$E$81"}</definedName>
    <definedName name="HTML_Control" localSheetId="20" hidden="1">{"'RR'!$A$2:$E$81"}</definedName>
    <definedName name="HTML_Control" localSheetId="21" hidden="1">{"'RR'!$A$2:$E$81"}</definedName>
    <definedName name="HTML_Control" localSheetId="22" hidden="1">{"'RR'!$A$2:$E$81"}</definedName>
    <definedName name="HTML_Control" localSheetId="23" hidden="1">{"'RR'!$A$2:$E$81"}</definedName>
    <definedName name="HTML_Control" localSheetId="24" hidden="1">{"'RR'!$A$2:$E$81"}</definedName>
    <definedName name="HTML_Control" localSheetId="25" hidden="1">{"'RR'!$A$2:$E$81"}</definedName>
    <definedName name="HTML_Control" localSheetId="26" hidden="1">{"'RR'!$A$2:$E$81"}</definedName>
    <definedName name="HTML_Control" localSheetId="27" hidden="1">{"'RR'!$A$2:$E$81"}</definedName>
    <definedName name="HTML_Control" localSheetId="28" hidden="1">{"'RR'!$A$2:$E$81"}</definedName>
    <definedName name="HTML_Control" localSheetId="29" hidden="1">{"'RR'!$A$2:$E$81"}</definedName>
    <definedName name="HTML_Control" localSheetId="30" hidden="1">{"'RR'!$A$2:$E$81"}</definedName>
    <definedName name="HTML_Control" localSheetId="31" hidden="1">{"'RR'!$A$2:$E$81"}</definedName>
    <definedName name="HTML_Control" localSheetId="32" hidden="1">{"'RR'!$A$2:$E$81"}</definedName>
    <definedName name="HTML_Control" hidden="1">{"'RR'!$A$2:$E$81"}</definedName>
    <definedName name="HTML_Control2" localSheetId="3" hidden="1">{"'RR'!$A$2:$E$81"}</definedName>
    <definedName name="HTML_Control2" localSheetId="5" hidden="1">{"'RR'!$A$2:$E$81"}</definedName>
    <definedName name="HTML_Control2" localSheetId="6" hidden="1">{"'RR'!$A$2:$E$81"}</definedName>
    <definedName name="HTML_Control2" localSheetId="7" hidden="1">{"'RR'!$A$2:$E$81"}</definedName>
    <definedName name="HTML_Control2" localSheetId="9" hidden="1">{"'RR'!$A$2:$E$81"}</definedName>
    <definedName name="HTML_Control2" localSheetId="10" hidden="1">{"'RR'!$A$2:$E$81"}</definedName>
    <definedName name="HTML_Control2" localSheetId="11" hidden="1">{"'RR'!$A$2:$E$81"}</definedName>
    <definedName name="HTML_Control2" localSheetId="12" hidden="1">{"'RR'!$A$2:$E$81"}</definedName>
    <definedName name="HTML_Control2" localSheetId="13" hidden="1">{"'RR'!$A$2:$E$81"}</definedName>
    <definedName name="HTML_Control2" localSheetId="14" hidden="1">{"'RR'!$A$2:$E$81"}</definedName>
    <definedName name="HTML_Control2" localSheetId="15" hidden="1">{"'RR'!$A$2:$E$81"}</definedName>
    <definedName name="HTML_Control2" localSheetId="20" hidden="1">{"'RR'!$A$2:$E$81"}</definedName>
    <definedName name="HTML_Control2" localSheetId="21" hidden="1">{"'RR'!$A$2:$E$81"}</definedName>
    <definedName name="HTML_Control2" localSheetId="22" hidden="1">{"'RR'!$A$2:$E$81"}</definedName>
    <definedName name="HTML_Control2" localSheetId="23" hidden="1">{"'RR'!$A$2:$E$81"}</definedName>
    <definedName name="HTML_Control2" localSheetId="24" hidden="1">{"'RR'!$A$2:$E$81"}</definedName>
    <definedName name="HTML_Control2" localSheetId="25" hidden="1">{"'RR'!$A$2:$E$81"}</definedName>
    <definedName name="HTML_Control2" localSheetId="26" hidden="1">{"'RR'!$A$2:$E$81"}</definedName>
    <definedName name="HTML_Control2" localSheetId="27" hidden="1">{"'RR'!$A$2:$E$81"}</definedName>
    <definedName name="HTML_Control2" localSheetId="28" hidden="1">{"'RR'!$A$2:$E$81"}</definedName>
    <definedName name="HTML_Control2" localSheetId="29" hidden="1">{"'RR'!$A$2:$E$81"}</definedName>
    <definedName name="HTML_Control2" localSheetId="30" hidden="1">{"'RR'!$A$2:$E$81"}</definedName>
    <definedName name="HTML_Control2" localSheetId="31" hidden="1">{"'RR'!$A$2:$E$81"}</definedName>
    <definedName name="HTML_Control2" localSheetId="32" hidden="1">{"'RR'!$A$2:$E$81"}</definedName>
    <definedName name="HTML_Control2" hidden="1">{"'RR'!$A$2:$E$81"}</definedName>
    <definedName name="HTML_Description" hidden="1">""</definedName>
    <definedName name="HTML_Email" hidden="1">""</definedName>
    <definedName name="HTML_Header" hidden="1">"RR"</definedName>
    <definedName name="HTML_LastUpdate" hidden="1">"11/10/99"</definedName>
    <definedName name="HTML_LineAfter" hidden="1">FALSE</definedName>
    <definedName name="HTML_LineBefore" hidden="1">FALSE</definedName>
    <definedName name="HTML_Name" hidden="1">"Departamento de Informática"</definedName>
    <definedName name="HTML_OBDlg2" hidden="1">TRUE</definedName>
    <definedName name="HTML_OBDlg4" hidden="1">TRUE</definedName>
    <definedName name="HTML_OS" hidden="1">0</definedName>
    <definedName name="HTML_PathFile" hidden="1">"C:\Intranet\Todos os Indicadores\MeuHTML.htm"</definedName>
    <definedName name="HTML_Title" hidden="1">"Regional 4 SET99"</definedName>
    <definedName name="jjj" localSheetId="3" hidden="1">{#N/A,#N/A,FALSE,"Tabl. D1";#N/A,#N/A,FALSE,"Tabl. D1 b";#N/A,#N/A,FALSE,"Tabl. D2";#N/A,#N/A,FALSE,"Tabl. D2 b";#N/A,#N/A,FALSE,"Tabl. D3";#N/A,#N/A,FALSE,"Tabl. D4";#N/A,#N/A,FALSE,"Tabl. D5"}</definedName>
    <definedName name="jjj" localSheetId="5" hidden="1">{#N/A,#N/A,FALSE,"Tabl. D1";#N/A,#N/A,FALSE,"Tabl. D1 b";#N/A,#N/A,FALSE,"Tabl. D2";#N/A,#N/A,FALSE,"Tabl. D2 b";#N/A,#N/A,FALSE,"Tabl. D3";#N/A,#N/A,FALSE,"Tabl. D4";#N/A,#N/A,FALSE,"Tabl. D5"}</definedName>
    <definedName name="jjj" localSheetId="6" hidden="1">{#N/A,#N/A,FALSE,"Tabl. D1";#N/A,#N/A,FALSE,"Tabl. D1 b";#N/A,#N/A,FALSE,"Tabl. D2";#N/A,#N/A,FALSE,"Tabl. D2 b";#N/A,#N/A,FALSE,"Tabl. D3";#N/A,#N/A,FALSE,"Tabl. D4";#N/A,#N/A,FALSE,"Tabl. D5"}</definedName>
    <definedName name="jjj" localSheetId="7" hidden="1">{#N/A,#N/A,FALSE,"Tabl. D1";#N/A,#N/A,FALSE,"Tabl. D1 b";#N/A,#N/A,FALSE,"Tabl. D2";#N/A,#N/A,FALSE,"Tabl. D2 b";#N/A,#N/A,FALSE,"Tabl. D3";#N/A,#N/A,FALSE,"Tabl. D4";#N/A,#N/A,FALSE,"Tabl. D5"}</definedName>
    <definedName name="jjj" localSheetId="9" hidden="1">{#N/A,#N/A,FALSE,"Tabl. D1";#N/A,#N/A,FALSE,"Tabl. D1 b";#N/A,#N/A,FALSE,"Tabl. D2";#N/A,#N/A,FALSE,"Tabl. D2 b";#N/A,#N/A,FALSE,"Tabl. D3";#N/A,#N/A,FALSE,"Tabl. D4";#N/A,#N/A,FALSE,"Tabl. D5"}</definedName>
    <definedName name="jjj" localSheetId="10" hidden="1">{#N/A,#N/A,FALSE,"Tabl. D1";#N/A,#N/A,FALSE,"Tabl. D1 b";#N/A,#N/A,FALSE,"Tabl. D2";#N/A,#N/A,FALSE,"Tabl. D2 b";#N/A,#N/A,FALSE,"Tabl. D3";#N/A,#N/A,FALSE,"Tabl. D4";#N/A,#N/A,FALSE,"Tabl. D5"}</definedName>
    <definedName name="jjj" localSheetId="11" hidden="1">{#N/A,#N/A,FALSE,"Tabl. D1";#N/A,#N/A,FALSE,"Tabl. D1 b";#N/A,#N/A,FALSE,"Tabl. D2";#N/A,#N/A,FALSE,"Tabl. D2 b";#N/A,#N/A,FALSE,"Tabl. D3";#N/A,#N/A,FALSE,"Tabl. D4";#N/A,#N/A,FALSE,"Tabl. D5"}</definedName>
    <definedName name="jjj" localSheetId="12" hidden="1">{#N/A,#N/A,FALSE,"Tabl. D1";#N/A,#N/A,FALSE,"Tabl. D1 b";#N/A,#N/A,FALSE,"Tabl. D2";#N/A,#N/A,FALSE,"Tabl. D2 b";#N/A,#N/A,FALSE,"Tabl. D3";#N/A,#N/A,FALSE,"Tabl. D4";#N/A,#N/A,FALSE,"Tabl. D5"}</definedName>
    <definedName name="jjj" localSheetId="13" hidden="1">{#N/A,#N/A,FALSE,"Tabl. D1";#N/A,#N/A,FALSE,"Tabl. D1 b";#N/A,#N/A,FALSE,"Tabl. D2";#N/A,#N/A,FALSE,"Tabl. D2 b";#N/A,#N/A,FALSE,"Tabl. D3";#N/A,#N/A,FALSE,"Tabl. D4";#N/A,#N/A,FALSE,"Tabl. D5"}</definedName>
    <definedName name="jjj" localSheetId="14" hidden="1">{#N/A,#N/A,FALSE,"Tabl. D1";#N/A,#N/A,FALSE,"Tabl. D1 b";#N/A,#N/A,FALSE,"Tabl. D2";#N/A,#N/A,FALSE,"Tabl. D2 b";#N/A,#N/A,FALSE,"Tabl. D3";#N/A,#N/A,FALSE,"Tabl. D4";#N/A,#N/A,FALSE,"Tabl. D5"}</definedName>
    <definedName name="jjj" localSheetId="15" hidden="1">{#N/A,#N/A,FALSE,"Tabl. D1";#N/A,#N/A,FALSE,"Tabl. D1 b";#N/A,#N/A,FALSE,"Tabl. D2";#N/A,#N/A,FALSE,"Tabl. D2 b";#N/A,#N/A,FALSE,"Tabl. D3";#N/A,#N/A,FALSE,"Tabl. D4";#N/A,#N/A,FALSE,"Tabl. D5"}</definedName>
    <definedName name="jjj" localSheetId="20" hidden="1">{#N/A,#N/A,FALSE,"Tabl. D1";#N/A,#N/A,FALSE,"Tabl. D1 b";#N/A,#N/A,FALSE,"Tabl. D2";#N/A,#N/A,FALSE,"Tabl. D2 b";#N/A,#N/A,FALSE,"Tabl. D3";#N/A,#N/A,FALSE,"Tabl. D4";#N/A,#N/A,FALSE,"Tabl. D5"}</definedName>
    <definedName name="jjj" localSheetId="21" hidden="1">{#N/A,#N/A,FALSE,"Tabl. D1";#N/A,#N/A,FALSE,"Tabl. D1 b";#N/A,#N/A,FALSE,"Tabl. D2";#N/A,#N/A,FALSE,"Tabl. D2 b";#N/A,#N/A,FALSE,"Tabl. D3";#N/A,#N/A,FALSE,"Tabl. D4";#N/A,#N/A,FALSE,"Tabl. D5"}</definedName>
    <definedName name="jjj" localSheetId="22" hidden="1">{#N/A,#N/A,FALSE,"Tabl. D1";#N/A,#N/A,FALSE,"Tabl. D1 b";#N/A,#N/A,FALSE,"Tabl. D2";#N/A,#N/A,FALSE,"Tabl. D2 b";#N/A,#N/A,FALSE,"Tabl. D3";#N/A,#N/A,FALSE,"Tabl. D4";#N/A,#N/A,FALSE,"Tabl. D5"}</definedName>
    <definedName name="jjj" localSheetId="23" hidden="1">{#N/A,#N/A,FALSE,"Tabl. D1";#N/A,#N/A,FALSE,"Tabl. D1 b";#N/A,#N/A,FALSE,"Tabl. D2";#N/A,#N/A,FALSE,"Tabl. D2 b";#N/A,#N/A,FALSE,"Tabl. D3";#N/A,#N/A,FALSE,"Tabl. D4";#N/A,#N/A,FALSE,"Tabl. D5"}</definedName>
    <definedName name="jjj" localSheetId="24" hidden="1">{#N/A,#N/A,FALSE,"Tabl. D1";#N/A,#N/A,FALSE,"Tabl. D1 b";#N/A,#N/A,FALSE,"Tabl. D2";#N/A,#N/A,FALSE,"Tabl. D2 b";#N/A,#N/A,FALSE,"Tabl. D3";#N/A,#N/A,FALSE,"Tabl. D4";#N/A,#N/A,FALSE,"Tabl. D5"}</definedName>
    <definedName name="jjj" localSheetId="25" hidden="1">{#N/A,#N/A,FALSE,"Tabl. D1";#N/A,#N/A,FALSE,"Tabl. D1 b";#N/A,#N/A,FALSE,"Tabl. D2";#N/A,#N/A,FALSE,"Tabl. D2 b";#N/A,#N/A,FALSE,"Tabl. D3";#N/A,#N/A,FALSE,"Tabl. D4";#N/A,#N/A,FALSE,"Tabl. D5"}</definedName>
    <definedName name="jjj" localSheetId="26" hidden="1">{#N/A,#N/A,FALSE,"Tabl. D1";#N/A,#N/A,FALSE,"Tabl. D1 b";#N/A,#N/A,FALSE,"Tabl. D2";#N/A,#N/A,FALSE,"Tabl. D2 b";#N/A,#N/A,FALSE,"Tabl. D3";#N/A,#N/A,FALSE,"Tabl. D4";#N/A,#N/A,FALSE,"Tabl. D5"}</definedName>
    <definedName name="jjj" localSheetId="27" hidden="1">{#N/A,#N/A,FALSE,"Tabl. D1";#N/A,#N/A,FALSE,"Tabl. D1 b";#N/A,#N/A,FALSE,"Tabl. D2";#N/A,#N/A,FALSE,"Tabl. D2 b";#N/A,#N/A,FALSE,"Tabl. D3";#N/A,#N/A,FALSE,"Tabl. D4";#N/A,#N/A,FALSE,"Tabl. D5"}</definedName>
    <definedName name="jjj" localSheetId="28" hidden="1">{#N/A,#N/A,FALSE,"Tabl. D1";#N/A,#N/A,FALSE,"Tabl. D1 b";#N/A,#N/A,FALSE,"Tabl. D2";#N/A,#N/A,FALSE,"Tabl. D2 b";#N/A,#N/A,FALSE,"Tabl. D3";#N/A,#N/A,FALSE,"Tabl. D4";#N/A,#N/A,FALSE,"Tabl. D5"}</definedName>
    <definedName name="jjj" localSheetId="29" hidden="1">{#N/A,#N/A,FALSE,"Tabl. D1";#N/A,#N/A,FALSE,"Tabl. D1 b";#N/A,#N/A,FALSE,"Tabl. D2";#N/A,#N/A,FALSE,"Tabl. D2 b";#N/A,#N/A,FALSE,"Tabl. D3";#N/A,#N/A,FALSE,"Tabl. D4";#N/A,#N/A,FALSE,"Tabl. D5"}</definedName>
    <definedName name="jjj" localSheetId="30" hidden="1">{#N/A,#N/A,FALSE,"Tabl. D1";#N/A,#N/A,FALSE,"Tabl. D1 b";#N/A,#N/A,FALSE,"Tabl. D2";#N/A,#N/A,FALSE,"Tabl. D2 b";#N/A,#N/A,FALSE,"Tabl. D3";#N/A,#N/A,FALSE,"Tabl. D4";#N/A,#N/A,FALSE,"Tabl. D5"}</definedName>
    <definedName name="jjj" localSheetId="31" hidden="1">{#N/A,#N/A,FALSE,"Tabl. D1";#N/A,#N/A,FALSE,"Tabl. D1 b";#N/A,#N/A,FALSE,"Tabl. D2";#N/A,#N/A,FALSE,"Tabl. D2 b";#N/A,#N/A,FALSE,"Tabl. D3";#N/A,#N/A,FALSE,"Tabl. D4";#N/A,#N/A,FALSE,"Tabl. D5"}</definedName>
    <definedName name="jjj" localSheetId="32" hidden="1">{#N/A,#N/A,FALSE,"Tabl. D1";#N/A,#N/A,FALSE,"Tabl. D1 b";#N/A,#N/A,FALSE,"Tabl. D2";#N/A,#N/A,FALSE,"Tabl. D2 b";#N/A,#N/A,FALSE,"Tabl. D3";#N/A,#N/A,FALSE,"Tabl. D4";#N/A,#N/A,FALSE,"Tabl. D5"}</definedName>
    <definedName name="jjj" hidden="1">{#N/A,#N/A,FALSE,"Tabl. D1";#N/A,#N/A,FALSE,"Tabl. D1 b";#N/A,#N/A,FALSE,"Tabl. D2";#N/A,#N/A,FALSE,"Tabl. D2 b";#N/A,#N/A,FALSE,"Tabl. D3";#N/A,#N/A,FALSE,"Tabl. D4";#N/A,#N/A,FALSE,"Tabl. D5"}</definedName>
    <definedName name="KGIRO1" localSheetId="3" hidden="1">{#N/A,#N/A,FALSE,"Tabl. D1";#N/A,#N/A,FALSE,"Tabl. D1 b";#N/A,#N/A,FALSE,"Tabl. D2";#N/A,#N/A,FALSE,"Tabl. D2 b";#N/A,#N/A,FALSE,"Tabl. D3";#N/A,#N/A,FALSE,"Tabl. D4";#N/A,#N/A,FALSE,"Tabl. D5"}</definedName>
    <definedName name="KGIRO1" localSheetId="5" hidden="1">{#N/A,#N/A,FALSE,"Tabl. D1";#N/A,#N/A,FALSE,"Tabl. D1 b";#N/A,#N/A,FALSE,"Tabl. D2";#N/A,#N/A,FALSE,"Tabl. D2 b";#N/A,#N/A,FALSE,"Tabl. D3";#N/A,#N/A,FALSE,"Tabl. D4";#N/A,#N/A,FALSE,"Tabl. D5"}</definedName>
    <definedName name="KGIRO1" localSheetId="6" hidden="1">{#N/A,#N/A,FALSE,"Tabl. D1";#N/A,#N/A,FALSE,"Tabl. D1 b";#N/A,#N/A,FALSE,"Tabl. D2";#N/A,#N/A,FALSE,"Tabl. D2 b";#N/A,#N/A,FALSE,"Tabl. D3";#N/A,#N/A,FALSE,"Tabl. D4";#N/A,#N/A,FALSE,"Tabl. D5"}</definedName>
    <definedName name="KGIRO1" localSheetId="7" hidden="1">{#N/A,#N/A,FALSE,"Tabl. D1";#N/A,#N/A,FALSE,"Tabl. D1 b";#N/A,#N/A,FALSE,"Tabl. D2";#N/A,#N/A,FALSE,"Tabl. D2 b";#N/A,#N/A,FALSE,"Tabl. D3";#N/A,#N/A,FALSE,"Tabl. D4";#N/A,#N/A,FALSE,"Tabl. D5"}</definedName>
    <definedName name="KGIRO1" localSheetId="9" hidden="1">{#N/A,#N/A,FALSE,"Tabl. D1";#N/A,#N/A,FALSE,"Tabl. D1 b";#N/A,#N/A,FALSE,"Tabl. D2";#N/A,#N/A,FALSE,"Tabl. D2 b";#N/A,#N/A,FALSE,"Tabl. D3";#N/A,#N/A,FALSE,"Tabl. D4";#N/A,#N/A,FALSE,"Tabl. D5"}</definedName>
    <definedName name="KGIRO1" localSheetId="10" hidden="1">{#N/A,#N/A,FALSE,"Tabl. D1";#N/A,#N/A,FALSE,"Tabl. D1 b";#N/A,#N/A,FALSE,"Tabl. D2";#N/A,#N/A,FALSE,"Tabl. D2 b";#N/A,#N/A,FALSE,"Tabl. D3";#N/A,#N/A,FALSE,"Tabl. D4";#N/A,#N/A,FALSE,"Tabl. D5"}</definedName>
    <definedName name="KGIRO1" localSheetId="11" hidden="1">{#N/A,#N/A,FALSE,"Tabl. D1";#N/A,#N/A,FALSE,"Tabl. D1 b";#N/A,#N/A,FALSE,"Tabl. D2";#N/A,#N/A,FALSE,"Tabl. D2 b";#N/A,#N/A,FALSE,"Tabl. D3";#N/A,#N/A,FALSE,"Tabl. D4";#N/A,#N/A,FALSE,"Tabl. D5"}</definedName>
    <definedName name="KGIRO1" localSheetId="12" hidden="1">{#N/A,#N/A,FALSE,"Tabl. D1";#N/A,#N/A,FALSE,"Tabl. D1 b";#N/A,#N/A,FALSE,"Tabl. D2";#N/A,#N/A,FALSE,"Tabl. D2 b";#N/A,#N/A,FALSE,"Tabl. D3";#N/A,#N/A,FALSE,"Tabl. D4";#N/A,#N/A,FALSE,"Tabl. D5"}</definedName>
    <definedName name="KGIRO1" localSheetId="13" hidden="1">{#N/A,#N/A,FALSE,"Tabl. D1";#N/A,#N/A,FALSE,"Tabl. D1 b";#N/A,#N/A,FALSE,"Tabl. D2";#N/A,#N/A,FALSE,"Tabl. D2 b";#N/A,#N/A,FALSE,"Tabl. D3";#N/A,#N/A,FALSE,"Tabl. D4";#N/A,#N/A,FALSE,"Tabl. D5"}</definedName>
    <definedName name="KGIRO1" localSheetId="14" hidden="1">{#N/A,#N/A,FALSE,"Tabl. D1";#N/A,#N/A,FALSE,"Tabl. D1 b";#N/A,#N/A,FALSE,"Tabl. D2";#N/A,#N/A,FALSE,"Tabl. D2 b";#N/A,#N/A,FALSE,"Tabl. D3";#N/A,#N/A,FALSE,"Tabl. D4";#N/A,#N/A,FALSE,"Tabl. D5"}</definedName>
    <definedName name="KGIRO1" localSheetId="15" hidden="1">{#N/A,#N/A,FALSE,"Tabl. D1";#N/A,#N/A,FALSE,"Tabl. D1 b";#N/A,#N/A,FALSE,"Tabl. D2";#N/A,#N/A,FALSE,"Tabl. D2 b";#N/A,#N/A,FALSE,"Tabl. D3";#N/A,#N/A,FALSE,"Tabl. D4";#N/A,#N/A,FALSE,"Tabl. D5"}</definedName>
    <definedName name="KGIRO1" localSheetId="20" hidden="1">{#N/A,#N/A,FALSE,"Tabl. D1";#N/A,#N/A,FALSE,"Tabl. D1 b";#N/A,#N/A,FALSE,"Tabl. D2";#N/A,#N/A,FALSE,"Tabl. D2 b";#N/A,#N/A,FALSE,"Tabl. D3";#N/A,#N/A,FALSE,"Tabl. D4";#N/A,#N/A,FALSE,"Tabl. D5"}</definedName>
    <definedName name="KGIRO1" localSheetId="21" hidden="1">{#N/A,#N/A,FALSE,"Tabl. D1";#N/A,#N/A,FALSE,"Tabl. D1 b";#N/A,#N/A,FALSE,"Tabl. D2";#N/A,#N/A,FALSE,"Tabl. D2 b";#N/A,#N/A,FALSE,"Tabl. D3";#N/A,#N/A,FALSE,"Tabl. D4";#N/A,#N/A,FALSE,"Tabl. D5"}</definedName>
    <definedName name="KGIRO1" localSheetId="22" hidden="1">{#N/A,#N/A,FALSE,"Tabl. D1";#N/A,#N/A,FALSE,"Tabl. D1 b";#N/A,#N/A,FALSE,"Tabl. D2";#N/A,#N/A,FALSE,"Tabl. D2 b";#N/A,#N/A,FALSE,"Tabl. D3";#N/A,#N/A,FALSE,"Tabl. D4";#N/A,#N/A,FALSE,"Tabl. D5"}</definedName>
    <definedName name="KGIRO1" localSheetId="23" hidden="1">{#N/A,#N/A,FALSE,"Tabl. D1";#N/A,#N/A,FALSE,"Tabl. D1 b";#N/A,#N/A,FALSE,"Tabl. D2";#N/A,#N/A,FALSE,"Tabl. D2 b";#N/A,#N/A,FALSE,"Tabl. D3";#N/A,#N/A,FALSE,"Tabl. D4";#N/A,#N/A,FALSE,"Tabl. D5"}</definedName>
    <definedName name="KGIRO1" localSheetId="24" hidden="1">{#N/A,#N/A,FALSE,"Tabl. D1";#N/A,#N/A,FALSE,"Tabl. D1 b";#N/A,#N/A,FALSE,"Tabl. D2";#N/A,#N/A,FALSE,"Tabl. D2 b";#N/A,#N/A,FALSE,"Tabl. D3";#N/A,#N/A,FALSE,"Tabl. D4";#N/A,#N/A,FALSE,"Tabl. D5"}</definedName>
    <definedName name="KGIRO1" localSheetId="25" hidden="1">{#N/A,#N/A,FALSE,"Tabl. D1";#N/A,#N/A,FALSE,"Tabl. D1 b";#N/A,#N/A,FALSE,"Tabl. D2";#N/A,#N/A,FALSE,"Tabl. D2 b";#N/A,#N/A,FALSE,"Tabl. D3";#N/A,#N/A,FALSE,"Tabl. D4";#N/A,#N/A,FALSE,"Tabl. D5"}</definedName>
    <definedName name="KGIRO1" localSheetId="26" hidden="1">{#N/A,#N/A,FALSE,"Tabl. D1";#N/A,#N/A,FALSE,"Tabl. D1 b";#N/A,#N/A,FALSE,"Tabl. D2";#N/A,#N/A,FALSE,"Tabl. D2 b";#N/A,#N/A,FALSE,"Tabl. D3";#N/A,#N/A,FALSE,"Tabl. D4";#N/A,#N/A,FALSE,"Tabl. D5"}</definedName>
    <definedName name="KGIRO1" localSheetId="27" hidden="1">{#N/A,#N/A,FALSE,"Tabl. D1";#N/A,#N/A,FALSE,"Tabl. D1 b";#N/A,#N/A,FALSE,"Tabl. D2";#N/A,#N/A,FALSE,"Tabl. D2 b";#N/A,#N/A,FALSE,"Tabl. D3";#N/A,#N/A,FALSE,"Tabl. D4";#N/A,#N/A,FALSE,"Tabl. D5"}</definedName>
    <definedName name="KGIRO1" localSheetId="28" hidden="1">{#N/A,#N/A,FALSE,"Tabl. D1";#N/A,#N/A,FALSE,"Tabl. D1 b";#N/A,#N/A,FALSE,"Tabl. D2";#N/A,#N/A,FALSE,"Tabl. D2 b";#N/A,#N/A,FALSE,"Tabl. D3";#N/A,#N/A,FALSE,"Tabl. D4";#N/A,#N/A,FALSE,"Tabl. D5"}</definedName>
    <definedName name="KGIRO1" localSheetId="29" hidden="1">{#N/A,#N/A,FALSE,"Tabl. D1";#N/A,#N/A,FALSE,"Tabl. D1 b";#N/A,#N/A,FALSE,"Tabl. D2";#N/A,#N/A,FALSE,"Tabl. D2 b";#N/A,#N/A,FALSE,"Tabl. D3";#N/A,#N/A,FALSE,"Tabl. D4";#N/A,#N/A,FALSE,"Tabl. D5"}</definedName>
    <definedName name="KGIRO1" localSheetId="30" hidden="1">{#N/A,#N/A,FALSE,"Tabl. D1";#N/A,#N/A,FALSE,"Tabl. D1 b";#N/A,#N/A,FALSE,"Tabl. D2";#N/A,#N/A,FALSE,"Tabl. D2 b";#N/A,#N/A,FALSE,"Tabl. D3";#N/A,#N/A,FALSE,"Tabl. D4";#N/A,#N/A,FALSE,"Tabl. D5"}</definedName>
    <definedName name="KGIRO1" localSheetId="31" hidden="1">{#N/A,#N/A,FALSE,"Tabl. D1";#N/A,#N/A,FALSE,"Tabl. D1 b";#N/A,#N/A,FALSE,"Tabl. D2";#N/A,#N/A,FALSE,"Tabl. D2 b";#N/A,#N/A,FALSE,"Tabl. D3";#N/A,#N/A,FALSE,"Tabl. D4";#N/A,#N/A,FALSE,"Tabl. D5"}</definedName>
    <definedName name="KGIRO1" localSheetId="32" hidden="1">{#N/A,#N/A,FALSE,"Tabl. D1";#N/A,#N/A,FALSE,"Tabl. D1 b";#N/A,#N/A,FALSE,"Tabl. D2";#N/A,#N/A,FALSE,"Tabl. D2 b";#N/A,#N/A,FALSE,"Tabl. D3";#N/A,#N/A,FALSE,"Tabl. D4";#N/A,#N/A,FALSE,"Tabl. D5"}</definedName>
    <definedName name="KGIRO1" hidden="1">{#N/A,#N/A,FALSE,"Tabl. D1";#N/A,#N/A,FALSE,"Tabl. D1 b";#N/A,#N/A,FALSE,"Tabl. D2";#N/A,#N/A,FALSE,"Tabl. D2 b";#N/A,#N/A,FALSE,"Tabl. D3";#N/A,#N/A,FALSE,"Tabl. D4";#N/A,#N/A,FALSE,"Tabl. D5"}</definedName>
    <definedName name="kjkjkjkj" localSheetId="3" hidden="1">{#N/A,#N/A,FALSE,"Tabl. FB300";#N/A,#N/A,FALSE,"Tabl. FB350";#N/A,#N/A,FALSE,"Tabl. FB400";#N/A,#N/A,FALSE,"Tabl. FB500";#N/A,#N/A,FALSE,"Tabl. FS090"}</definedName>
    <definedName name="kjkjkjkj" localSheetId="5" hidden="1">{#N/A,#N/A,FALSE,"Tabl. FB300";#N/A,#N/A,FALSE,"Tabl. FB350";#N/A,#N/A,FALSE,"Tabl. FB400";#N/A,#N/A,FALSE,"Tabl. FB500";#N/A,#N/A,FALSE,"Tabl. FS090"}</definedName>
    <definedName name="kjkjkjkj" localSheetId="6" hidden="1">{#N/A,#N/A,FALSE,"Tabl. FB300";#N/A,#N/A,FALSE,"Tabl. FB350";#N/A,#N/A,FALSE,"Tabl. FB400";#N/A,#N/A,FALSE,"Tabl. FB500";#N/A,#N/A,FALSE,"Tabl. FS090"}</definedName>
    <definedName name="kjkjkjkj" localSheetId="7" hidden="1">{#N/A,#N/A,FALSE,"Tabl. FB300";#N/A,#N/A,FALSE,"Tabl. FB350";#N/A,#N/A,FALSE,"Tabl. FB400";#N/A,#N/A,FALSE,"Tabl. FB500";#N/A,#N/A,FALSE,"Tabl. FS090"}</definedName>
    <definedName name="kjkjkjkj" localSheetId="9" hidden="1">{#N/A,#N/A,FALSE,"Tabl. FB300";#N/A,#N/A,FALSE,"Tabl. FB350";#N/A,#N/A,FALSE,"Tabl. FB400";#N/A,#N/A,FALSE,"Tabl. FB500";#N/A,#N/A,FALSE,"Tabl. FS090"}</definedName>
    <definedName name="kjkjkjkj" localSheetId="10" hidden="1">{#N/A,#N/A,FALSE,"Tabl. FB300";#N/A,#N/A,FALSE,"Tabl. FB350";#N/A,#N/A,FALSE,"Tabl. FB400";#N/A,#N/A,FALSE,"Tabl. FB500";#N/A,#N/A,FALSE,"Tabl. FS090"}</definedName>
    <definedName name="kjkjkjkj" localSheetId="11" hidden="1">{#N/A,#N/A,FALSE,"Tabl. FB300";#N/A,#N/A,FALSE,"Tabl. FB350";#N/A,#N/A,FALSE,"Tabl. FB400";#N/A,#N/A,FALSE,"Tabl. FB500";#N/A,#N/A,FALSE,"Tabl. FS090"}</definedName>
    <definedName name="kjkjkjkj" localSheetId="12" hidden="1">{#N/A,#N/A,FALSE,"Tabl. FB300";#N/A,#N/A,FALSE,"Tabl. FB350";#N/A,#N/A,FALSE,"Tabl. FB400";#N/A,#N/A,FALSE,"Tabl. FB500";#N/A,#N/A,FALSE,"Tabl. FS090"}</definedName>
    <definedName name="kjkjkjkj" localSheetId="13" hidden="1">{#N/A,#N/A,FALSE,"Tabl. FB300";#N/A,#N/A,FALSE,"Tabl. FB350";#N/A,#N/A,FALSE,"Tabl. FB400";#N/A,#N/A,FALSE,"Tabl. FB500";#N/A,#N/A,FALSE,"Tabl. FS090"}</definedName>
    <definedName name="kjkjkjkj" localSheetId="14" hidden="1">{#N/A,#N/A,FALSE,"Tabl. FB300";#N/A,#N/A,FALSE,"Tabl. FB350";#N/A,#N/A,FALSE,"Tabl. FB400";#N/A,#N/A,FALSE,"Tabl. FB500";#N/A,#N/A,FALSE,"Tabl. FS090"}</definedName>
    <definedName name="kjkjkjkj" localSheetId="15" hidden="1">{#N/A,#N/A,FALSE,"Tabl. FB300";#N/A,#N/A,FALSE,"Tabl. FB350";#N/A,#N/A,FALSE,"Tabl. FB400";#N/A,#N/A,FALSE,"Tabl. FB500";#N/A,#N/A,FALSE,"Tabl. FS090"}</definedName>
    <definedName name="kjkjkjkj" localSheetId="20" hidden="1">{#N/A,#N/A,FALSE,"Tabl. FB300";#N/A,#N/A,FALSE,"Tabl. FB350";#N/A,#N/A,FALSE,"Tabl. FB400";#N/A,#N/A,FALSE,"Tabl. FB500";#N/A,#N/A,FALSE,"Tabl. FS090"}</definedName>
    <definedName name="kjkjkjkj" localSheetId="21" hidden="1">{#N/A,#N/A,FALSE,"Tabl. FB300";#N/A,#N/A,FALSE,"Tabl. FB350";#N/A,#N/A,FALSE,"Tabl. FB400";#N/A,#N/A,FALSE,"Tabl. FB500";#N/A,#N/A,FALSE,"Tabl. FS090"}</definedName>
    <definedName name="kjkjkjkj" localSheetId="22" hidden="1">{#N/A,#N/A,FALSE,"Tabl. FB300";#N/A,#N/A,FALSE,"Tabl. FB350";#N/A,#N/A,FALSE,"Tabl. FB400";#N/A,#N/A,FALSE,"Tabl. FB500";#N/A,#N/A,FALSE,"Tabl. FS090"}</definedName>
    <definedName name="kjkjkjkj" localSheetId="23" hidden="1">{#N/A,#N/A,FALSE,"Tabl. FB300";#N/A,#N/A,FALSE,"Tabl. FB350";#N/A,#N/A,FALSE,"Tabl. FB400";#N/A,#N/A,FALSE,"Tabl. FB500";#N/A,#N/A,FALSE,"Tabl. FS090"}</definedName>
    <definedName name="kjkjkjkj" localSheetId="24" hidden="1">{#N/A,#N/A,FALSE,"Tabl. FB300";#N/A,#N/A,FALSE,"Tabl. FB350";#N/A,#N/A,FALSE,"Tabl. FB400";#N/A,#N/A,FALSE,"Tabl. FB500";#N/A,#N/A,FALSE,"Tabl. FS090"}</definedName>
    <definedName name="kjkjkjkj" localSheetId="25" hidden="1">{#N/A,#N/A,FALSE,"Tabl. FB300";#N/A,#N/A,FALSE,"Tabl. FB350";#N/A,#N/A,FALSE,"Tabl. FB400";#N/A,#N/A,FALSE,"Tabl. FB500";#N/A,#N/A,FALSE,"Tabl. FS090"}</definedName>
    <definedName name="kjkjkjkj" localSheetId="26" hidden="1">{#N/A,#N/A,FALSE,"Tabl. FB300";#N/A,#N/A,FALSE,"Tabl. FB350";#N/A,#N/A,FALSE,"Tabl. FB400";#N/A,#N/A,FALSE,"Tabl. FB500";#N/A,#N/A,FALSE,"Tabl. FS090"}</definedName>
    <definedName name="kjkjkjkj" localSheetId="27" hidden="1">{#N/A,#N/A,FALSE,"Tabl. FB300";#N/A,#N/A,FALSE,"Tabl. FB350";#N/A,#N/A,FALSE,"Tabl. FB400";#N/A,#N/A,FALSE,"Tabl. FB500";#N/A,#N/A,FALSE,"Tabl. FS090"}</definedName>
    <definedName name="kjkjkjkj" localSheetId="28" hidden="1">{#N/A,#N/A,FALSE,"Tabl. FB300";#N/A,#N/A,FALSE,"Tabl. FB350";#N/A,#N/A,FALSE,"Tabl. FB400";#N/A,#N/A,FALSE,"Tabl. FB500";#N/A,#N/A,FALSE,"Tabl. FS090"}</definedName>
    <definedName name="kjkjkjkj" localSheetId="29" hidden="1">{#N/A,#N/A,FALSE,"Tabl. FB300";#N/A,#N/A,FALSE,"Tabl. FB350";#N/A,#N/A,FALSE,"Tabl. FB400";#N/A,#N/A,FALSE,"Tabl. FB500";#N/A,#N/A,FALSE,"Tabl. FS090"}</definedName>
    <definedName name="kjkjkjkj" localSheetId="30" hidden="1">{#N/A,#N/A,FALSE,"Tabl. FB300";#N/A,#N/A,FALSE,"Tabl. FB350";#N/A,#N/A,FALSE,"Tabl. FB400";#N/A,#N/A,FALSE,"Tabl. FB500";#N/A,#N/A,FALSE,"Tabl. FS090"}</definedName>
    <definedName name="kjkjkjkj" localSheetId="31" hidden="1">{#N/A,#N/A,FALSE,"Tabl. FB300";#N/A,#N/A,FALSE,"Tabl. FB350";#N/A,#N/A,FALSE,"Tabl. FB400";#N/A,#N/A,FALSE,"Tabl. FB500";#N/A,#N/A,FALSE,"Tabl. FS090"}</definedName>
    <definedName name="kjkjkjkj" localSheetId="32" hidden="1">{#N/A,#N/A,FALSE,"Tabl. FB300";#N/A,#N/A,FALSE,"Tabl. FB350";#N/A,#N/A,FALSE,"Tabl. FB400";#N/A,#N/A,FALSE,"Tabl. FB500";#N/A,#N/A,FALSE,"Tabl. FS090"}</definedName>
    <definedName name="kjkjkjkj" hidden="1">{#N/A,#N/A,FALSE,"Tabl. FB300";#N/A,#N/A,FALSE,"Tabl. FB350";#N/A,#N/A,FALSE,"Tabl. FB400";#N/A,#N/A,FALSE,"Tabl. FB500";#N/A,#N/A,FALSE,"Tabl. FS090"}</definedName>
    <definedName name="kkk" localSheetId="3" hidden="1">{#N/A,#N/A,FALSE,"Tabl. G1";#N/A,#N/A,FALSE,"Tabl. G2"}</definedName>
    <definedName name="kkk" localSheetId="5" hidden="1">{#N/A,#N/A,FALSE,"Tabl. G1";#N/A,#N/A,FALSE,"Tabl. G2"}</definedName>
    <definedName name="kkk" localSheetId="6" hidden="1">{#N/A,#N/A,FALSE,"Tabl. G1";#N/A,#N/A,FALSE,"Tabl. G2"}</definedName>
    <definedName name="kkk" localSheetId="7" hidden="1">{#N/A,#N/A,FALSE,"Tabl. G1";#N/A,#N/A,FALSE,"Tabl. G2"}</definedName>
    <definedName name="kkk" localSheetId="9" hidden="1">{#N/A,#N/A,FALSE,"Tabl. G1";#N/A,#N/A,FALSE,"Tabl. G2"}</definedName>
    <definedName name="kkk" localSheetId="10" hidden="1">{#N/A,#N/A,FALSE,"Tabl. G1";#N/A,#N/A,FALSE,"Tabl. G2"}</definedName>
    <definedName name="kkk" localSheetId="11" hidden="1">{#N/A,#N/A,FALSE,"Tabl. G1";#N/A,#N/A,FALSE,"Tabl. G2"}</definedName>
    <definedName name="kkk" localSheetId="12" hidden="1">{#N/A,#N/A,FALSE,"Tabl. G1";#N/A,#N/A,FALSE,"Tabl. G2"}</definedName>
    <definedName name="kkk" localSheetId="13" hidden="1">{#N/A,#N/A,FALSE,"Tabl. G1";#N/A,#N/A,FALSE,"Tabl. G2"}</definedName>
    <definedName name="kkk" localSheetId="14" hidden="1">{#N/A,#N/A,FALSE,"Tabl. G1";#N/A,#N/A,FALSE,"Tabl. G2"}</definedName>
    <definedName name="kkk" localSheetId="15" hidden="1">{#N/A,#N/A,FALSE,"Tabl. G1";#N/A,#N/A,FALSE,"Tabl. G2"}</definedName>
    <definedName name="kkk" localSheetId="20" hidden="1">{#N/A,#N/A,FALSE,"Tabl. G1";#N/A,#N/A,FALSE,"Tabl. G2"}</definedName>
    <definedName name="kkk" localSheetId="21" hidden="1">{#N/A,#N/A,FALSE,"Tabl. G1";#N/A,#N/A,FALSE,"Tabl. G2"}</definedName>
    <definedName name="kkk" localSheetId="22" hidden="1">{#N/A,#N/A,FALSE,"Tabl. G1";#N/A,#N/A,FALSE,"Tabl. G2"}</definedName>
    <definedName name="kkk" localSheetId="23" hidden="1">{#N/A,#N/A,FALSE,"Tabl. G1";#N/A,#N/A,FALSE,"Tabl. G2"}</definedName>
    <definedName name="kkk" localSheetId="24" hidden="1">{#N/A,#N/A,FALSE,"Tabl. G1";#N/A,#N/A,FALSE,"Tabl. G2"}</definedName>
    <definedName name="kkk" localSheetId="25" hidden="1">{#N/A,#N/A,FALSE,"Tabl. G1";#N/A,#N/A,FALSE,"Tabl. G2"}</definedName>
    <definedName name="kkk" localSheetId="26" hidden="1">{#N/A,#N/A,FALSE,"Tabl. G1";#N/A,#N/A,FALSE,"Tabl. G2"}</definedName>
    <definedName name="kkk" localSheetId="27" hidden="1">{#N/A,#N/A,FALSE,"Tabl. G1";#N/A,#N/A,FALSE,"Tabl. G2"}</definedName>
    <definedName name="kkk" localSheetId="28" hidden="1">{#N/A,#N/A,FALSE,"Tabl. G1";#N/A,#N/A,FALSE,"Tabl. G2"}</definedName>
    <definedName name="kkk" localSheetId="29" hidden="1">{#N/A,#N/A,FALSE,"Tabl. G1";#N/A,#N/A,FALSE,"Tabl. G2"}</definedName>
    <definedName name="kkk" localSheetId="30" hidden="1">{#N/A,#N/A,FALSE,"Tabl. G1";#N/A,#N/A,FALSE,"Tabl. G2"}</definedName>
    <definedName name="kkk" localSheetId="31" hidden="1">{#N/A,#N/A,FALSE,"Tabl. G1";#N/A,#N/A,FALSE,"Tabl. G2"}</definedName>
    <definedName name="kkk" localSheetId="32" hidden="1">{#N/A,#N/A,FALSE,"Tabl. G1";#N/A,#N/A,FALSE,"Tabl. G2"}</definedName>
    <definedName name="kkk" hidden="1">{#N/A,#N/A,FALSE,"Tabl. G1";#N/A,#N/A,FALSE,"Tabl. G2"}</definedName>
    <definedName name="lista_causa" localSheetId="7">[5]!causa_raiz[Causa Raiz]</definedName>
    <definedName name="lista_causa" localSheetId="9">[5]!causa_raiz[Causa Raiz]</definedName>
    <definedName name="lista_causa" localSheetId="10">[5]!causa_raiz[Causa Raiz]</definedName>
    <definedName name="lista_causa" localSheetId="11">[5]!causa_raiz[Causa Raiz]</definedName>
    <definedName name="lista_causa" localSheetId="12">[5]!causa_raiz[Causa Raiz]</definedName>
    <definedName name="lista_causa" localSheetId="13">[5]!causa_raiz[Causa Raiz]</definedName>
    <definedName name="lista_causa" localSheetId="14">[5]!causa_raiz[Causa Raiz]</definedName>
    <definedName name="lista_causa" localSheetId="15">[5]!causa_raiz[Causa Raiz]</definedName>
    <definedName name="lista_causa" localSheetId="20">#REF!</definedName>
    <definedName name="lista_causa" localSheetId="21">[5]!causa_raiz[Causa Raiz]</definedName>
    <definedName name="lista_causa" localSheetId="22">[5]!causa_raiz[Causa Raiz]</definedName>
    <definedName name="lista_causa" localSheetId="23">[5]!causa_raiz[Causa Raiz]</definedName>
    <definedName name="lista_causa" localSheetId="24">#REF!</definedName>
    <definedName name="lista_causa" localSheetId="25">[5]!causa_raiz[Causa Raiz]</definedName>
    <definedName name="lista_causa" localSheetId="26">[5]!causa_raiz[Causa Raiz]</definedName>
    <definedName name="lista_causa" localSheetId="27">[5]!causa_raiz[Causa Raiz]</definedName>
    <definedName name="lista_causa" localSheetId="28">[5]!causa_raiz[Causa Raiz]</definedName>
    <definedName name="lista_causa" localSheetId="29">#REF!</definedName>
    <definedName name="lista_causa" localSheetId="30">#REF!</definedName>
    <definedName name="lista_causa" localSheetId="31">#REF!</definedName>
    <definedName name="lista_causa">#REF!</definedName>
    <definedName name="lll" localSheetId="3" hidden="1">{#N/A,#N/A,FALSE,"Tabl. H1";#N/A,#N/A,FALSE,"Tabl. H2"}</definedName>
    <definedName name="lll" localSheetId="5" hidden="1">{#N/A,#N/A,FALSE,"Tabl. H1";#N/A,#N/A,FALSE,"Tabl. H2"}</definedName>
    <definedName name="lll" localSheetId="6" hidden="1">{#N/A,#N/A,FALSE,"Tabl. H1";#N/A,#N/A,FALSE,"Tabl. H2"}</definedName>
    <definedName name="lll" localSheetId="7" hidden="1">{#N/A,#N/A,FALSE,"Tabl. H1";#N/A,#N/A,FALSE,"Tabl. H2"}</definedName>
    <definedName name="lll" localSheetId="9" hidden="1">{#N/A,#N/A,FALSE,"Tabl. H1";#N/A,#N/A,FALSE,"Tabl. H2"}</definedName>
    <definedName name="lll" localSheetId="10" hidden="1">{#N/A,#N/A,FALSE,"Tabl. H1";#N/A,#N/A,FALSE,"Tabl. H2"}</definedName>
    <definedName name="lll" localSheetId="11" hidden="1">{#N/A,#N/A,FALSE,"Tabl. H1";#N/A,#N/A,FALSE,"Tabl. H2"}</definedName>
    <definedName name="lll" localSheetId="12" hidden="1">{#N/A,#N/A,FALSE,"Tabl. H1";#N/A,#N/A,FALSE,"Tabl. H2"}</definedName>
    <definedName name="lll" localSheetId="13" hidden="1">{#N/A,#N/A,FALSE,"Tabl. H1";#N/A,#N/A,FALSE,"Tabl. H2"}</definedName>
    <definedName name="lll" localSheetId="14" hidden="1">{#N/A,#N/A,FALSE,"Tabl. H1";#N/A,#N/A,FALSE,"Tabl. H2"}</definedName>
    <definedName name="lll" localSheetId="15" hidden="1">{#N/A,#N/A,FALSE,"Tabl. H1";#N/A,#N/A,FALSE,"Tabl. H2"}</definedName>
    <definedName name="lll" localSheetId="20" hidden="1">{#N/A,#N/A,FALSE,"Tabl. H1";#N/A,#N/A,FALSE,"Tabl. H2"}</definedName>
    <definedName name="lll" localSheetId="21" hidden="1">{#N/A,#N/A,FALSE,"Tabl. H1";#N/A,#N/A,FALSE,"Tabl. H2"}</definedName>
    <definedName name="lll" localSheetId="22" hidden="1">{#N/A,#N/A,FALSE,"Tabl. H1";#N/A,#N/A,FALSE,"Tabl. H2"}</definedName>
    <definedName name="lll" localSheetId="23" hidden="1">{#N/A,#N/A,FALSE,"Tabl. H1";#N/A,#N/A,FALSE,"Tabl. H2"}</definedName>
    <definedName name="lll" localSheetId="24" hidden="1">{#N/A,#N/A,FALSE,"Tabl. H1";#N/A,#N/A,FALSE,"Tabl. H2"}</definedName>
    <definedName name="lll" localSheetId="25" hidden="1">{#N/A,#N/A,FALSE,"Tabl. H1";#N/A,#N/A,FALSE,"Tabl. H2"}</definedName>
    <definedName name="lll" localSheetId="26" hidden="1">{#N/A,#N/A,FALSE,"Tabl. H1";#N/A,#N/A,FALSE,"Tabl. H2"}</definedName>
    <definedName name="lll" localSheetId="27" hidden="1">{#N/A,#N/A,FALSE,"Tabl. H1";#N/A,#N/A,FALSE,"Tabl. H2"}</definedName>
    <definedName name="lll" localSheetId="28" hidden="1">{#N/A,#N/A,FALSE,"Tabl. H1";#N/A,#N/A,FALSE,"Tabl. H2"}</definedName>
    <definedName name="lll" localSheetId="29" hidden="1">{#N/A,#N/A,FALSE,"Tabl. H1";#N/A,#N/A,FALSE,"Tabl. H2"}</definedName>
    <definedName name="lll" localSheetId="30" hidden="1">{#N/A,#N/A,FALSE,"Tabl. H1";#N/A,#N/A,FALSE,"Tabl. H2"}</definedName>
    <definedName name="lll" localSheetId="31" hidden="1">{#N/A,#N/A,FALSE,"Tabl. H1";#N/A,#N/A,FALSE,"Tabl. H2"}</definedName>
    <definedName name="lll" localSheetId="32" hidden="1">{#N/A,#N/A,FALSE,"Tabl. H1";#N/A,#N/A,FALSE,"Tabl. H2"}</definedName>
    <definedName name="lll" hidden="1">{#N/A,#N/A,FALSE,"Tabl. H1";#N/A,#N/A,FALSE,"Tabl. H2"}</definedName>
    <definedName name="logo" localSheetId="5">#REF!</definedName>
    <definedName name="logo" localSheetId="7">#REF!</definedName>
    <definedName name="logo" localSheetId="9">#REF!</definedName>
    <definedName name="logo" localSheetId="10">#REF!</definedName>
    <definedName name="logo" localSheetId="11">#REF!</definedName>
    <definedName name="logo" localSheetId="12">#REF!</definedName>
    <definedName name="logo" localSheetId="13">#REF!</definedName>
    <definedName name="logo" localSheetId="14">#REF!</definedName>
    <definedName name="logo" localSheetId="15">#REF!</definedName>
    <definedName name="logo" localSheetId="20">#REF!</definedName>
    <definedName name="logo" localSheetId="21">#REF!</definedName>
    <definedName name="logo" localSheetId="22">#REF!</definedName>
    <definedName name="logo" localSheetId="23">#REF!</definedName>
    <definedName name="logo" localSheetId="24">#REF!</definedName>
    <definedName name="logo" localSheetId="25">#REF!</definedName>
    <definedName name="logo" localSheetId="26">#REF!</definedName>
    <definedName name="logo" localSheetId="27">#REF!</definedName>
    <definedName name="logo" localSheetId="28">#REF!</definedName>
    <definedName name="logo" localSheetId="29">#REF!</definedName>
    <definedName name="logo" localSheetId="30">#REF!</definedName>
    <definedName name="logo" localSheetId="31">#REF!</definedName>
    <definedName name="logo" localSheetId="32">#REF!</definedName>
    <definedName name="logo">#REF!</definedName>
    <definedName name="Manutenção" localSheetId="3" hidden="1">{#N/A,#N/A,FALSE,"CONSOL. 5";#N/A,#N/A,FALSE,"CONSOL. ACUM. 6";#N/A,#N/A,FALSE,"CAP. EMPREG. 7";#N/A,#N/A,FALSE,"ORIGENS E APLICAÇÕES 9"}</definedName>
    <definedName name="Manutenção" localSheetId="5" hidden="1">{#N/A,#N/A,FALSE,"CONSOL. 5";#N/A,#N/A,FALSE,"CONSOL. ACUM. 6";#N/A,#N/A,FALSE,"CAP. EMPREG. 7";#N/A,#N/A,FALSE,"ORIGENS E APLICAÇÕES 9"}</definedName>
    <definedName name="Manutenção" localSheetId="6" hidden="1">{#N/A,#N/A,FALSE,"CONSOL. 5";#N/A,#N/A,FALSE,"CONSOL. ACUM. 6";#N/A,#N/A,FALSE,"CAP. EMPREG. 7";#N/A,#N/A,FALSE,"ORIGENS E APLICAÇÕES 9"}</definedName>
    <definedName name="Manutenção" localSheetId="7" hidden="1">{#N/A,#N/A,FALSE,"CONSOL. 5";#N/A,#N/A,FALSE,"CONSOL. ACUM. 6";#N/A,#N/A,FALSE,"CAP. EMPREG. 7";#N/A,#N/A,FALSE,"ORIGENS E APLICAÇÕES 9"}</definedName>
    <definedName name="Manutenção" localSheetId="9" hidden="1">{#N/A,#N/A,FALSE,"CONSOL. 5";#N/A,#N/A,FALSE,"CONSOL. ACUM. 6";#N/A,#N/A,FALSE,"CAP. EMPREG. 7";#N/A,#N/A,FALSE,"ORIGENS E APLICAÇÕES 9"}</definedName>
    <definedName name="Manutenção" localSheetId="10" hidden="1">{#N/A,#N/A,FALSE,"CONSOL. 5";#N/A,#N/A,FALSE,"CONSOL. ACUM. 6";#N/A,#N/A,FALSE,"CAP. EMPREG. 7";#N/A,#N/A,FALSE,"ORIGENS E APLICAÇÕES 9"}</definedName>
    <definedName name="Manutenção" localSheetId="11" hidden="1">{#N/A,#N/A,FALSE,"CONSOL. 5";#N/A,#N/A,FALSE,"CONSOL. ACUM. 6";#N/A,#N/A,FALSE,"CAP. EMPREG. 7";#N/A,#N/A,FALSE,"ORIGENS E APLICAÇÕES 9"}</definedName>
    <definedName name="Manutenção" localSheetId="12" hidden="1">{#N/A,#N/A,FALSE,"CONSOL. 5";#N/A,#N/A,FALSE,"CONSOL. ACUM. 6";#N/A,#N/A,FALSE,"CAP. EMPREG. 7";#N/A,#N/A,FALSE,"ORIGENS E APLICAÇÕES 9"}</definedName>
    <definedName name="Manutenção" localSheetId="13" hidden="1">{#N/A,#N/A,FALSE,"CONSOL. 5";#N/A,#N/A,FALSE,"CONSOL. ACUM. 6";#N/A,#N/A,FALSE,"CAP. EMPREG. 7";#N/A,#N/A,FALSE,"ORIGENS E APLICAÇÕES 9"}</definedName>
    <definedName name="Manutenção" localSheetId="14" hidden="1">{#N/A,#N/A,FALSE,"CONSOL. 5";#N/A,#N/A,FALSE,"CONSOL. ACUM. 6";#N/A,#N/A,FALSE,"CAP. EMPREG. 7";#N/A,#N/A,FALSE,"ORIGENS E APLICAÇÕES 9"}</definedName>
    <definedName name="Manutenção" localSheetId="15" hidden="1">{#N/A,#N/A,FALSE,"CONSOL. 5";#N/A,#N/A,FALSE,"CONSOL. ACUM. 6";#N/A,#N/A,FALSE,"CAP. EMPREG. 7";#N/A,#N/A,FALSE,"ORIGENS E APLICAÇÕES 9"}</definedName>
    <definedName name="Manutenção" localSheetId="20" hidden="1">{#N/A,#N/A,FALSE,"CONSOL. 5";#N/A,#N/A,FALSE,"CONSOL. ACUM. 6";#N/A,#N/A,FALSE,"CAP. EMPREG. 7";#N/A,#N/A,FALSE,"ORIGENS E APLICAÇÕES 9"}</definedName>
    <definedName name="Manutenção" localSheetId="21" hidden="1">{#N/A,#N/A,FALSE,"CONSOL. 5";#N/A,#N/A,FALSE,"CONSOL. ACUM. 6";#N/A,#N/A,FALSE,"CAP. EMPREG. 7";#N/A,#N/A,FALSE,"ORIGENS E APLICAÇÕES 9"}</definedName>
    <definedName name="Manutenção" localSheetId="22" hidden="1">{#N/A,#N/A,FALSE,"CONSOL. 5";#N/A,#N/A,FALSE,"CONSOL. ACUM. 6";#N/A,#N/A,FALSE,"CAP. EMPREG. 7";#N/A,#N/A,FALSE,"ORIGENS E APLICAÇÕES 9"}</definedName>
    <definedName name="Manutenção" localSheetId="23" hidden="1">{#N/A,#N/A,FALSE,"CONSOL. 5";#N/A,#N/A,FALSE,"CONSOL. ACUM. 6";#N/A,#N/A,FALSE,"CAP. EMPREG. 7";#N/A,#N/A,FALSE,"ORIGENS E APLICAÇÕES 9"}</definedName>
    <definedName name="Manutenção" localSheetId="24" hidden="1">{#N/A,#N/A,FALSE,"CONSOL. 5";#N/A,#N/A,FALSE,"CONSOL. ACUM. 6";#N/A,#N/A,FALSE,"CAP. EMPREG. 7";#N/A,#N/A,FALSE,"ORIGENS E APLICAÇÕES 9"}</definedName>
    <definedName name="Manutenção" localSheetId="25" hidden="1">{#N/A,#N/A,FALSE,"CONSOL. 5";#N/A,#N/A,FALSE,"CONSOL. ACUM. 6";#N/A,#N/A,FALSE,"CAP. EMPREG. 7";#N/A,#N/A,FALSE,"ORIGENS E APLICAÇÕES 9"}</definedName>
    <definedName name="Manutenção" localSheetId="26" hidden="1">{#N/A,#N/A,FALSE,"CONSOL. 5";#N/A,#N/A,FALSE,"CONSOL. ACUM. 6";#N/A,#N/A,FALSE,"CAP. EMPREG. 7";#N/A,#N/A,FALSE,"ORIGENS E APLICAÇÕES 9"}</definedName>
    <definedName name="Manutenção" localSheetId="27" hidden="1">{#N/A,#N/A,FALSE,"CONSOL. 5";#N/A,#N/A,FALSE,"CONSOL. ACUM. 6";#N/A,#N/A,FALSE,"CAP. EMPREG. 7";#N/A,#N/A,FALSE,"ORIGENS E APLICAÇÕES 9"}</definedName>
    <definedName name="Manutenção" localSheetId="28" hidden="1">{#N/A,#N/A,FALSE,"CONSOL. 5";#N/A,#N/A,FALSE,"CONSOL. ACUM. 6";#N/A,#N/A,FALSE,"CAP. EMPREG. 7";#N/A,#N/A,FALSE,"ORIGENS E APLICAÇÕES 9"}</definedName>
    <definedName name="Manutenção" localSheetId="29" hidden="1">{#N/A,#N/A,FALSE,"CONSOL. 5";#N/A,#N/A,FALSE,"CONSOL. ACUM. 6";#N/A,#N/A,FALSE,"CAP. EMPREG. 7";#N/A,#N/A,FALSE,"ORIGENS E APLICAÇÕES 9"}</definedName>
    <definedName name="Manutenção" localSheetId="30" hidden="1">{#N/A,#N/A,FALSE,"CONSOL. 5";#N/A,#N/A,FALSE,"CONSOL. ACUM. 6";#N/A,#N/A,FALSE,"CAP. EMPREG. 7";#N/A,#N/A,FALSE,"ORIGENS E APLICAÇÕES 9"}</definedName>
    <definedName name="Manutenção" localSheetId="31" hidden="1">{#N/A,#N/A,FALSE,"CONSOL. 5";#N/A,#N/A,FALSE,"CONSOL. ACUM. 6";#N/A,#N/A,FALSE,"CAP. EMPREG. 7";#N/A,#N/A,FALSE,"ORIGENS E APLICAÇÕES 9"}</definedName>
    <definedName name="Manutenção" localSheetId="32" hidden="1">{#N/A,#N/A,FALSE,"CONSOL. 5";#N/A,#N/A,FALSE,"CONSOL. ACUM. 6";#N/A,#N/A,FALSE,"CAP. EMPREG. 7";#N/A,#N/A,FALSE,"ORIGENS E APLICAÇÕES 9"}</definedName>
    <definedName name="Manutenção" hidden="1">{#N/A,#N/A,FALSE,"CONSOL. 5";#N/A,#N/A,FALSE,"CONSOL. ACUM. 6";#N/A,#N/A,FALSE,"CAP. EMPREG. 7";#N/A,#N/A,FALSE,"ORIGENS E APLICAÇÕES 9"}</definedName>
    <definedName name="mmm" localSheetId="3" hidden="1">{#N/A,#N/A,FALSE,"Tabl. A1";#N/A,#N/A,FALSE,"Tabl. A1 b";#N/A,#N/A,FALSE,"Tabl. A2";#N/A,#N/A,FALSE,"Tabl. A2-1";#N/A,#N/A,FALSE,"Tabl. A2-2"}</definedName>
    <definedName name="mmm" localSheetId="5" hidden="1">{#N/A,#N/A,FALSE,"Tabl. A1";#N/A,#N/A,FALSE,"Tabl. A1 b";#N/A,#N/A,FALSE,"Tabl. A2";#N/A,#N/A,FALSE,"Tabl. A2-1";#N/A,#N/A,FALSE,"Tabl. A2-2"}</definedName>
    <definedName name="mmm" localSheetId="6" hidden="1">{#N/A,#N/A,FALSE,"Tabl. A1";#N/A,#N/A,FALSE,"Tabl. A1 b";#N/A,#N/A,FALSE,"Tabl. A2";#N/A,#N/A,FALSE,"Tabl. A2-1";#N/A,#N/A,FALSE,"Tabl. A2-2"}</definedName>
    <definedName name="mmm" localSheetId="7" hidden="1">{#N/A,#N/A,FALSE,"Tabl. A1";#N/A,#N/A,FALSE,"Tabl. A1 b";#N/A,#N/A,FALSE,"Tabl. A2";#N/A,#N/A,FALSE,"Tabl. A2-1";#N/A,#N/A,FALSE,"Tabl. A2-2"}</definedName>
    <definedName name="mmm" localSheetId="9" hidden="1">{#N/A,#N/A,FALSE,"Tabl. A1";#N/A,#N/A,FALSE,"Tabl. A1 b";#N/A,#N/A,FALSE,"Tabl. A2";#N/A,#N/A,FALSE,"Tabl. A2-1";#N/A,#N/A,FALSE,"Tabl. A2-2"}</definedName>
    <definedName name="mmm" localSheetId="10" hidden="1">{#N/A,#N/A,FALSE,"Tabl. A1";#N/A,#N/A,FALSE,"Tabl. A1 b";#N/A,#N/A,FALSE,"Tabl. A2";#N/A,#N/A,FALSE,"Tabl. A2-1";#N/A,#N/A,FALSE,"Tabl. A2-2"}</definedName>
    <definedName name="mmm" localSheetId="11" hidden="1">{#N/A,#N/A,FALSE,"Tabl. A1";#N/A,#N/A,FALSE,"Tabl. A1 b";#N/A,#N/A,FALSE,"Tabl. A2";#N/A,#N/A,FALSE,"Tabl. A2-1";#N/A,#N/A,FALSE,"Tabl. A2-2"}</definedName>
    <definedName name="mmm" localSheetId="12" hidden="1">{#N/A,#N/A,FALSE,"Tabl. A1";#N/A,#N/A,FALSE,"Tabl. A1 b";#N/A,#N/A,FALSE,"Tabl. A2";#N/A,#N/A,FALSE,"Tabl. A2-1";#N/A,#N/A,FALSE,"Tabl. A2-2"}</definedName>
    <definedName name="mmm" localSheetId="13" hidden="1">{#N/A,#N/A,FALSE,"Tabl. A1";#N/A,#N/A,FALSE,"Tabl. A1 b";#N/A,#N/A,FALSE,"Tabl. A2";#N/A,#N/A,FALSE,"Tabl. A2-1";#N/A,#N/A,FALSE,"Tabl. A2-2"}</definedName>
    <definedName name="mmm" localSheetId="14" hidden="1">{#N/A,#N/A,FALSE,"Tabl. A1";#N/A,#N/A,FALSE,"Tabl. A1 b";#N/A,#N/A,FALSE,"Tabl. A2";#N/A,#N/A,FALSE,"Tabl. A2-1";#N/A,#N/A,FALSE,"Tabl. A2-2"}</definedName>
    <definedName name="mmm" localSheetId="15" hidden="1">{#N/A,#N/A,FALSE,"Tabl. A1";#N/A,#N/A,FALSE,"Tabl. A1 b";#N/A,#N/A,FALSE,"Tabl. A2";#N/A,#N/A,FALSE,"Tabl. A2-1";#N/A,#N/A,FALSE,"Tabl. A2-2"}</definedName>
    <definedName name="mmm" localSheetId="20" hidden="1">{#N/A,#N/A,FALSE,"Tabl. A1";#N/A,#N/A,FALSE,"Tabl. A1 b";#N/A,#N/A,FALSE,"Tabl. A2";#N/A,#N/A,FALSE,"Tabl. A2-1";#N/A,#N/A,FALSE,"Tabl. A2-2"}</definedName>
    <definedName name="mmm" localSheetId="21" hidden="1">{#N/A,#N/A,FALSE,"Tabl. A1";#N/A,#N/A,FALSE,"Tabl. A1 b";#N/A,#N/A,FALSE,"Tabl. A2";#N/A,#N/A,FALSE,"Tabl. A2-1";#N/A,#N/A,FALSE,"Tabl. A2-2"}</definedName>
    <definedName name="mmm" localSheetId="22" hidden="1">{#N/A,#N/A,FALSE,"Tabl. A1";#N/A,#N/A,FALSE,"Tabl. A1 b";#N/A,#N/A,FALSE,"Tabl. A2";#N/A,#N/A,FALSE,"Tabl. A2-1";#N/A,#N/A,FALSE,"Tabl. A2-2"}</definedName>
    <definedName name="mmm" localSheetId="23" hidden="1">{#N/A,#N/A,FALSE,"Tabl. A1";#N/A,#N/A,FALSE,"Tabl. A1 b";#N/A,#N/A,FALSE,"Tabl. A2";#N/A,#N/A,FALSE,"Tabl. A2-1";#N/A,#N/A,FALSE,"Tabl. A2-2"}</definedName>
    <definedName name="mmm" localSheetId="24" hidden="1">{#N/A,#N/A,FALSE,"Tabl. A1";#N/A,#N/A,FALSE,"Tabl. A1 b";#N/A,#N/A,FALSE,"Tabl. A2";#N/A,#N/A,FALSE,"Tabl. A2-1";#N/A,#N/A,FALSE,"Tabl. A2-2"}</definedName>
    <definedName name="mmm" localSheetId="25" hidden="1">{#N/A,#N/A,FALSE,"Tabl. A1";#N/A,#N/A,FALSE,"Tabl. A1 b";#N/A,#N/A,FALSE,"Tabl. A2";#N/A,#N/A,FALSE,"Tabl. A2-1";#N/A,#N/A,FALSE,"Tabl. A2-2"}</definedName>
    <definedName name="mmm" localSheetId="26" hidden="1">{#N/A,#N/A,FALSE,"Tabl. A1";#N/A,#N/A,FALSE,"Tabl. A1 b";#N/A,#N/A,FALSE,"Tabl. A2";#N/A,#N/A,FALSE,"Tabl. A2-1";#N/A,#N/A,FALSE,"Tabl. A2-2"}</definedName>
    <definedName name="mmm" localSheetId="27" hidden="1">{#N/A,#N/A,FALSE,"Tabl. A1";#N/A,#N/A,FALSE,"Tabl. A1 b";#N/A,#N/A,FALSE,"Tabl. A2";#N/A,#N/A,FALSE,"Tabl. A2-1";#N/A,#N/A,FALSE,"Tabl. A2-2"}</definedName>
    <definedName name="mmm" localSheetId="28" hidden="1">{#N/A,#N/A,FALSE,"Tabl. A1";#N/A,#N/A,FALSE,"Tabl. A1 b";#N/A,#N/A,FALSE,"Tabl. A2";#N/A,#N/A,FALSE,"Tabl. A2-1";#N/A,#N/A,FALSE,"Tabl. A2-2"}</definedName>
    <definedName name="mmm" localSheetId="29" hidden="1">{#N/A,#N/A,FALSE,"Tabl. A1";#N/A,#N/A,FALSE,"Tabl. A1 b";#N/A,#N/A,FALSE,"Tabl. A2";#N/A,#N/A,FALSE,"Tabl. A2-1";#N/A,#N/A,FALSE,"Tabl. A2-2"}</definedName>
    <definedName name="mmm" localSheetId="30" hidden="1">{#N/A,#N/A,FALSE,"Tabl. A1";#N/A,#N/A,FALSE,"Tabl. A1 b";#N/A,#N/A,FALSE,"Tabl. A2";#N/A,#N/A,FALSE,"Tabl. A2-1";#N/A,#N/A,FALSE,"Tabl. A2-2"}</definedName>
    <definedName name="mmm" localSheetId="31" hidden="1">{#N/A,#N/A,FALSE,"Tabl. A1";#N/A,#N/A,FALSE,"Tabl. A1 b";#N/A,#N/A,FALSE,"Tabl. A2";#N/A,#N/A,FALSE,"Tabl. A2-1";#N/A,#N/A,FALSE,"Tabl. A2-2"}</definedName>
    <definedName name="mmm" localSheetId="32" hidden="1">{#N/A,#N/A,FALSE,"Tabl. A1";#N/A,#N/A,FALSE,"Tabl. A1 b";#N/A,#N/A,FALSE,"Tabl. A2";#N/A,#N/A,FALSE,"Tabl. A2-1";#N/A,#N/A,FALSE,"Tabl. A2-2"}</definedName>
    <definedName name="mmm" hidden="1">{#N/A,#N/A,FALSE,"Tabl. A1";#N/A,#N/A,FALSE,"Tabl. A1 b";#N/A,#N/A,FALSE,"Tabl. A2";#N/A,#N/A,FALSE,"Tabl. A2-1";#N/A,#N/A,FALSE,"Tabl. A2-2"}</definedName>
    <definedName name="mrn"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n" localSheetId="3" hidden="1">{"'Estimativa de Lançamento-JAN'!$A$1:$AI$85"}</definedName>
    <definedName name="n" localSheetId="5" hidden="1">{"'Estimativa de Lançamento-JAN'!$A$1:$AI$85"}</definedName>
    <definedName name="n" localSheetId="6" hidden="1">{"'Estimativa de Lançamento-JAN'!$A$1:$AI$85"}</definedName>
    <definedName name="n" localSheetId="7" hidden="1">{"'Estimativa de Lançamento-JAN'!$A$1:$AI$85"}</definedName>
    <definedName name="n" localSheetId="9" hidden="1">{"'Estimativa de Lançamento-JAN'!$A$1:$AI$85"}</definedName>
    <definedName name="n" localSheetId="10" hidden="1">{"'Estimativa de Lançamento-JAN'!$A$1:$AI$85"}</definedName>
    <definedName name="n" localSheetId="11" hidden="1">{"'Estimativa de Lançamento-JAN'!$A$1:$AI$85"}</definedName>
    <definedName name="n" localSheetId="12" hidden="1">{"'Estimativa de Lançamento-JAN'!$A$1:$AI$85"}</definedName>
    <definedName name="n" localSheetId="13" hidden="1">{"'Estimativa de Lançamento-JAN'!$A$1:$AI$85"}</definedName>
    <definedName name="n" localSheetId="14" hidden="1">{"'Estimativa de Lançamento-JAN'!$A$1:$AI$85"}</definedName>
    <definedName name="n" localSheetId="15" hidden="1">{"'Estimativa de Lançamento-JAN'!$A$1:$AI$85"}</definedName>
    <definedName name="n" localSheetId="20" hidden="1">{"'Estimativa de Lançamento-JAN'!$A$1:$AI$85"}</definedName>
    <definedName name="n" localSheetId="21" hidden="1">{"'Estimativa de Lançamento-JAN'!$A$1:$AI$85"}</definedName>
    <definedName name="n" localSheetId="22" hidden="1">{"'Estimativa de Lançamento-JAN'!$A$1:$AI$85"}</definedName>
    <definedName name="n" localSheetId="23" hidden="1">{"'Estimativa de Lançamento-JAN'!$A$1:$AI$85"}</definedName>
    <definedName name="n" localSheetId="24" hidden="1">{"'Estimativa de Lançamento-JAN'!$A$1:$AI$85"}</definedName>
    <definedName name="n" localSheetId="25" hidden="1">{"'Estimativa de Lançamento-JAN'!$A$1:$AI$85"}</definedName>
    <definedName name="n" localSheetId="26" hidden="1">{"'Estimativa de Lançamento-JAN'!$A$1:$AI$85"}</definedName>
    <definedName name="n" localSheetId="27" hidden="1">{"'Estimativa de Lançamento-JAN'!$A$1:$AI$85"}</definedName>
    <definedName name="n" localSheetId="28" hidden="1">{"'Estimativa de Lançamento-JAN'!$A$1:$AI$85"}</definedName>
    <definedName name="n" localSheetId="29" hidden="1">{"'Estimativa de Lançamento-JAN'!$A$1:$AI$85"}</definedName>
    <definedName name="n" localSheetId="30" hidden="1">{"'Estimativa de Lançamento-JAN'!$A$1:$AI$85"}</definedName>
    <definedName name="n" localSheetId="31" hidden="1">{"'Estimativa de Lançamento-JAN'!$A$1:$AI$85"}</definedName>
    <definedName name="n" localSheetId="32" hidden="1">{"'Estimativa de Lançamento-JAN'!$A$1:$AI$85"}</definedName>
    <definedName name="n" hidden="1">{"'Estimativa de Lançamento-JAN'!$A$1:$AI$85"}</definedName>
    <definedName name="nnn" localSheetId="3" hidden="1">{#N/A,#N/A,FALSE,"Tabl. FB300";#N/A,#N/A,FALSE,"Tabl. FB350";#N/A,#N/A,FALSE,"Tabl. FB400";#N/A,#N/A,FALSE,"Tabl. FB500";#N/A,#N/A,FALSE,"Tabl. FS090"}</definedName>
    <definedName name="nnn" localSheetId="5" hidden="1">{#N/A,#N/A,FALSE,"Tabl. FB300";#N/A,#N/A,FALSE,"Tabl. FB350";#N/A,#N/A,FALSE,"Tabl. FB400";#N/A,#N/A,FALSE,"Tabl. FB500";#N/A,#N/A,FALSE,"Tabl. FS090"}</definedName>
    <definedName name="nnn" localSheetId="6" hidden="1">{#N/A,#N/A,FALSE,"Tabl. FB300";#N/A,#N/A,FALSE,"Tabl. FB350";#N/A,#N/A,FALSE,"Tabl. FB400";#N/A,#N/A,FALSE,"Tabl. FB500";#N/A,#N/A,FALSE,"Tabl. FS090"}</definedName>
    <definedName name="nnn" localSheetId="7" hidden="1">{#N/A,#N/A,FALSE,"Tabl. FB300";#N/A,#N/A,FALSE,"Tabl. FB350";#N/A,#N/A,FALSE,"Tabl. FB400";#N/A,#N/A,FALSE,"Tabl. FB500";#N/A,#N/A,FALSE,"Tabl. FS090"}</definedName>
    <definedName name="nnn" localSheetId="9" hidden="1">{#N/A,#N/A,FALSE,"Tabl. FB300";#N/A,#N/A,FALSE,"Tabl. FB350";#N/A,#N/A,FALSE,"Tabl. FB400";#N/A,#N/A,FALSE,"Tabl. FB500";#N/A,#N/A,FALSE,"Tabl. FS090"}</definedName>
    <definedName name="nnn" localSheetId="10" hidden="1">{#N/A,#N/A,FALSE,"Tabl. FB300";#N/A,#N/A,FALSE,"Tabl. FB350";#N/A,#N/A,FALSE,"Tabl. FB400";#N/A,#N/A,FALSE,"Tabl. FB500";#N/A,#N/A,FALSE,"Tabl. FS090"}</definedName>
    <definedName name="nnn" localSheetId="11" hidden="1">{#N/A,#N/A,FALSE,"Tabl. FB300";#N/A,#N/A,FALSE,"Tabl. FB350";#N/A,#N/A,FALSE,"Tabl. FB400";#N/A,#N/A,FALSE,"Tabl. FB500";#N/A,#N/A,FALSE,"Tabl. FS090"}</definedName>
    <definedName name="nnn" localSheetId="12" hidden="1">{#N/A,#N/A,FALSE,"Tabl. FB300";#N/A,#N/A,FALSE,"Tabl. FB350";#N/A,#N/A,FALSE,"Tabl. FB400";#N/A,#N/A,FALSE,"Tabl. FB500";#N/A,#N/A,FALSE,"Tabl. FS090"}</definedName>
    <definedName name="nnn" localSheetId="13" hidden="1">{#N/A,#N/A,FALSE,"Tabl. FB300";#N/A,#N/A,FALSE,"Tabl. FB350";#N/A,#N/A,FALSE,"Tabl. FB400";#N/A,#N/A,FALSE,"Tabl. FB500";#N/A,#N/A,FALSE,"Tabl. FS090"}</definedName>
    <definedName name="nnn" localSheetId="14" hidden="1">{#N/A,#N/A,FALSE,"Tabl. FB300";#N/A,#N/A,FALSE,"Tabl. FB350";#N/A,#N/A,FALSE,"Tabl. FB400";#N/A,#N/A,FALSE,"Tabl. FB500";#N/A,#N/A,FALSE,"Tabl. FS090"}</definedName>
    <definedName name="nnn" localSheetId="15" hidden="1">{#N/A,#N/A,FALSE,"Tabl. FB300";#N/A,#N/A,FALSE,"Tabl. FB350";#N/A,#N/A,FALSE,"Tabl. FB400";#N/A,#N/A,FALSE,"Tabl. FB500";#N/A,#N/A,FALSE,"Tabl. FS090"}</definedName>
    <definedName name="nnn" localSheetId="20" hidden="1">{#N/A,#N/A,FALSE,"Tabl. FB300";#N/A,#N/A,FALSE,"Tabl. FB350";#N/A,#N/A,FALSE,"Tabl. FB400";#N/A,#N/A,FALSE,"Tabl. FB500";#N/A,#N/A,FALSE,"Tabl. FS090"}</definedName>
    <definedName name="nnn" localSheetId="21" hidden="1">{#N/A,#N/A,FALSE,"Tabl. FB300";#N/A,#N/A,FALSE,"Tabl. FB350";#N/A,#N/A,FALSE,"Tabl. FB400";#N/A,#N/A,FALSE,"Tabl. FB500";#N/A,#N/A,FALSE,"Tabl. FS090"}</definedName>
    <definedName name="nnn" localSheetId="22" hidden="1">{#N/A,#N/A,FALSE,"Tabl. FB300";#N/A,#N/A,FALSE,"Tabl. FB350";#N/A,#N/A,FALSE,"Tabl. FB400";#N/A,#N/A,FALSE,"Tabl. FB500";#N/A,#N/A,FALSE,"Tabl. FS090"}</definedName>
    <definedName name="nnn" localSheetId="23" hidden="1">{#N/A,#N/A,FALSE,"Tabl. FB300";#N/A,#N/A,FALSE,"Tabl. FB350";#N/A,#N/A,FALSE,"Tabl. FB400";#N/A,#N/A,FALSE,"Tabl. FB500";#N/A,#N/A,FALSE,"Tabl. FS090"}</definedName>
    <definedName name="nnn" localSheetId="24" hidden="1">{#N/A,#N/A,FALSE,"Tabl. FB300";#N/A,#N/A,FALSE,"Tabl. FB350";#N/A,#N/A,FALSE,"Tabl. FB400";#N/A,#N/A,FALSE,"Tabl. FB500";#N/A,#N/A,FALSE,"Tabl. FS090"}</definedName>
    <definedName name="nnn" localSheetId="25" hidden="1">{#N/A,#N/A,FALSE,"Tabl. FB300";#N/A,#N/A,FALSE,"Tabl. FB350";#N/A,#N/A,FALSE,"Tabl. FB400";#N/A,#N/A,FALSE,"Tabl. FB500";#N/A,#N/A,FALSE,"Tabl. FS090"}</definedName>
    <definedName name="nnn" localSheetId="26" hidden="1">{#N/A,#N/A,FALSE,"Tabl. FB300";#N/A,#N/A,FALSE,"Tabl. FB350";#N/A,#N/A,FALSE,"Tabl. FB400";#N/A,#N/A,FALSE,"Tabl. FB500";#N/A,#N/A,FALSE,"Tabl. FS090"}</definedName>
    <definedName name="nnn" localSheetId="27" hidden="1">{#N/A,#N/A,FALSE,"Tabl. FB300";#N/A,#N/A,FALSE,"Tabl. FB350";#N/A,#N/A,FALSE,"Tabl. FB400";#N/A,#N/A,FALSE,"Tabl. FB500";#N/A,#N/A,FALSE,"Tabl. FS090"}</definedName>
    <definedName name="nnn" localSheetId="28" hidden="1">{#N/A,#N/A,FALSE,"Tabl. FB300";#N/A,#N/A,FALSE,"Tabl. FB350";#N/A,#N/A,FALSE,"Tabl. FB400";#N/A,#N/A,FALSE,"Tabl. FB500";#N/A,#N/A,FALSE,"Tabl. FS090"}</definedName>
    <definedName name="nnn" localSheetId="29" hidden="1">{#N/A,#N/A,FALSE,"Tabl. FB300";#N/A,#N/A,FALSE,"Tabl. FB350";#N/A,#N/A,FALSE,"Tabl. FB400";#N/A,#N/A,FALSE,"Tabl. FB500";#N/A,#N/A,FALSE,"Tabl. FS090"}</definedName>
    <definedName name="nnn" localSheetId="30" hidden="1">{#N/A,#N/A,FALSE,"Tabl. FB300";#N/A,#N/A,FALSE,"Tabl. FB350";#N/A,#N/A,FALSE,"Tabl. FB400";#N/A,#N/A,FALSE,"Tabl. FB500";#N/A,#N/A,FALSE,"Tabl. FS090"}</definedName>
    <definedName name="nnn" localSheetId="31" hidden="1">{#N/A,#N/A,FALSE,"Tabl. FB300";#N/A,#N/A,FALSE,"Tabl. FB350";#N/A,#N/A,FALSE,"Tabl. FB400";#N/A,#N/A,FALSE,"Tabl. FB500";#N/A,#N/A,FALSE,"Tabl. FS090"}</definedName>
    <definedName name="nnn" localSheetId="32" hidden="1">{#N/A,#N/A,FALSE,"Tabl. FB300";#N/A,#N/A,FALSE,"Tabl. FB350";#N/A,#N/A,FALSE,"Tabl. FB400";#N/A,#N/A,FALSE,"Tabl. FB500";#N/A,#N/A,FALSE,"Tabl. FS090"}</definedName>
    <definedName name="nnn" hidden="1">{#N/A,#N/A,FALSE,"Tabl. FB300";#N/A,#N/A,FALSE,"Tabl. FB350";#N/A,#N/A,FALSE,"Tabl. FB400";#N/A,#N/A,FALSE,"Tabl. FB500";#N/A,#N/A,FALSE,"Tabl. FS090"}</definedName>
    <definedName name="nr_salas" localSheetId="5">#REF!</definedName>
    <definedName name="nr_salas" localSheetId="6">#REF!</definedName>
    <definedName name="nr_salas" localSheetId="9">#REF!</definedName>
    <definedName name="nr_salas" localSheetId="10">#REF!</definedName>
    <definedName name="nr_salas" localSheetId="11">#REF!</definedName>
    <definedName name="nr_salas" localSheetId="12">#REF!</definedName>
    <definedName name="nr_salas" localSheetId="13">#REF!</definedName>
    <definedName name="nr_salas" localSheetId="22">#REF!</definedName>
    <definedName name="nr_salas" localSheetId="23">#REF!</definedName>
    <definedName name="nr_salas" localSheetId="25">#REF!</definedName>
    <definedName name="nr_salas" localSheetId="26">#REF!</definedName>
    <definedName name="nr_salas" localSheetId="27">#REF!</definedName>
    <definedName name="nr_salas" localSheetId="28">#REF!</definedName>
    <definedName name="nr_salas" localSheetId="32">#REF!</definedName>
    <definedName name="nr_salas">#REF!</definedName>
    <definedName name="Página5" localSheetId="3" hidden="1">{#N/A,#N/A,FALSE,"O&amp;I Worksheet"}</definedName>
    <definedName name="Página5" localSheetId="5" hidden="1">{#N/A,#N/A,FALSE,"O&amp;I Worksheet"}</definedName>
    <definedName name="Página5" localSheetId="6" hidden="1">{#N/A,#N/A,FALSE,"O&amp;I Worksheet"}</definedName>
    <definedName name="Página5" localSheetId="7" hidden="1">{#N/A,#N/A,FALSE,"O&amp;I Worksheet"}</definedName>
    <definedName name="Página5" localSheetId="9" hidden="1">{#N/A,#N/A,FALSE,"O&amp;I Worksheet"}</definedName>
    <definedName name="Página5" localSheetId="10" hidden="1">{#N/A,#N/A,FALSE,"O&amp;I Worksheet"}</definedName>
    <definedName name="Página5" localSheetId="11" hidden="1">{#N/A,#N/A,FALSE,"O&amp;I Worksheet"}</definedName>
    <definedName name="Página5" localSheetId="12" hidden="1">{#N/A,#N/A,FALSE,"O&amp;I Worksheet"}</definedName>
    <definedName name="Página5" localSheetId="13" hidden="1">{#N/A,#N/A,FALSE,"O&amp;I Worksheet"}</definedName>
    <definedName name="Página5" localSheetId="14" hidden="1">{#N/A,#N/A,FALSE,"O&amp;I Worksheet"}</definedName>
    <definedName name="Página5" localSheetId="15" hidden="1">{#N/A,#N/A,FALSE,"O&amp;I Worksheet"}</definedName>
    <definedName name="Página5" localSheetId="20" hidden="1">{#N/A,#N/A,FALSE,"O&amp;I Worksheet"}</definedName>
    <definedName name="Página5" localSheetId="21" hidden="1">{#N/A,#N/A,FALSE,"O&amp;I Worksheet"}</definedName>
    <definedName name="Página5" localSheetId="22" hidden="1">{#N/A,#N/A,FALSE,"O&amp;I Worksheet"}</definedName>
    <definedName name="Página5" localSheetId="23" hidden="1">{#N/A,#N/A,FALSE,"O&amp;I Worksheet"}</definedName>
    <definedName name="Página5" localSheetId="24" hidden="1">{#N/A,#N/A,FALSE,"O&amp;I Worksheet"}</definedName>
    <definedName name="Página5" localSheetId="25" hidden="1">{#N/A,#N/A,FALSE,"O&amp;I Worksheet"}</definedName>
    <definedName name="Página5" localSheetId="26" hidden="1">{#N/A,#N/A,FALSE,"O&amp;I Worksheet"}</definedName>
    <definedName name="Página5" localSheetId="27" hidden="1">{#N/A,#N/A,FALSE,"O&amp;I Worksheet"}</definedName>
    <definedName name="Página5" localSheetId="28" hidden="1">{#N/A,#N/A,FALSE,"O&amp;I Worksheet"}</definedName>
    <definedName name="Página5" localSheetId="29" hidden="1">{#N/A,#N/A,FALSE,"O&amp;I Worksheet"}</definedName>
    <definedName name="Página5" localSheetId="30" hidden="1">{#N/A,#N/A,FALSE,"O&amp;I Worksheet"}</definedName>
    <definedName name="Página5" localSheetId="31" hidden="1">{#N/A,#N/A,FALSE,"O&amp;I Worksheet"}</definedName>
    <definedName name="Página5" localSheetId="32" hidden="1">{#N/A,#N/A,FALSE,"O&amp;I Worksheet"}</definedName>
    <definedName name="Página5" hidden="1">{#N/A,#N/A,FALSE,"O&amp;I Worksheet"}</definedName>
    <definedName name="Pasta" localSheetId="3" hidden="1">{#N/A,#N/A,FALSE,"CONSOL. 5";#N/A,#N/A,FALSE,"CONSOL. ACUM. 6";#N/A,#N/A,FALSE,"CAP. EMPREG. 7";#N/A,#N/A,FALSE,"ORIGENS E APLICAÇÕES 9"}</definedName>
    <definedName name="Pasta" localSheetId="5" hidden="1">{#N/A,#N/A,FALSE,"CONSOL. 5";#N/A,#N/A,FALSE,"CONSOL. ACUM. 6";#N/A,#N/A,FALSE,"CAP. EMPREG. 7";#N/A,#N/A,FALSE,"ORIGENS E APLICAÇÕES 9"}</definedName>
    <definedName name="Pasta" localSheetId="6" hidden="1">{#N/A,#N/A,FALSE,"CONSOL. 5";#N/A,#N/A,FALSE,"CONSOL. ACUM. 6";#N/A,#N/A,FALSE,"CAP. EMPREG. 7";#N/A,#N/A,FALSE,"ORIGENS E APLICAÇÕES 9"}</definedName>
    <definedName name="Pasta" localSheetId="7" hidden="1">{#N/A,#N/A,FALSE,"CONSOL. 5";#N/A,#N/A,FALSE,"CONSOL. ACUM. 6";#N/A,#N/A,FALSE,"CAP. EMPREG. 7";#N/A,#N/A,FALSE,"ORIGENS E APLICAÇÕES 9"}</definedName>
    <definedName name="Pasta" localSheetId="9" hidden="1">{#N/A,#N/A,FALSE,"CONSOL. 5";#N/A,#N/A,FALSE,"CONSOL. ACUM. 6";#N/A,#N/A,FALSE,"CAP. EMPREG. 7";#N/A,#N/A,FALSE,"ORIGENS E APLICAÇÕES 9"}</definedName>
    <definedName name="Pasta" localSheetId="10" hidden="1">{#N/A,#N/A,FALSE,"CONSOL. 5";#N/A,#N/A,FALSE,"CONSOL. ACUM. 6";#N/A,#N/A,FALSE,"CAP. EMPREG. 7";#N/A,#N/A,FALSE,"ORIGENS E APLICAÇÕES 9"}</definedName>
    <definedName name="Pasta" localSheetId="11" hidden="1">{#N/A,#N/A,FALSE,"CONSOL. 5";#N/A,#N/A,FALSE,"CONSOL. ACUM. 6";#N/A,#N/A,FALSE,"CAP. EMPREG. 7";#N/A,#N/A,FALSE,"ORIGENS E APLICAÇÕES 9"}</definedName>
    <definedName name="Pasta" localSheetId="12" hidden="1">{#N/A,#N/A,FALSE,"CONSOL. 5";#N/A,#N/A,FALSE,"CONSOL. ACUM. 6";#N/A,#N/A,FALSE,"CAP. EMPREG. 7";#N/A,#N/A,FALSE,"ORIGENS E APLICAÇÕES 9"}</definedName>
    <definedName name="Pasta" localSheetId="13" hidden="1">{#N/A,#N/A,FALSE,"CONSOL. 5";#N/A,#N/A,FALSE,"CONSOL. ACUM. 6";#N/A,#N/A,FALSE,"CAP. EMPREG. 7";#N/A,#N/A,FALSE,"ORIGENS E APLICAÇÕES 9"}</definedName>
    <definedName name="Pasta" localSheetId="14" hidden="1">{#N/A,#N/A,FALSE,"CONSOL. 5";#N/A,#N/A,FALSE,"CONSOL. ACUM. 6";#N/A,#N/A,FALSE,"CAP. EMPREG. 7";#N/A,#N/A,FALSE,"ORIGENS E APLICAÇÕES 9"}</definedName>
    <definedName name="Pasta" localSheetId="15" hidden="1">{#N/A,#N/A,FALSE,"CONSOL. 5";#N/A,#N/A,FALSE,"CONSOL. ACUM. 6";#N/A,#N/A,FALSE,"CAP. EMPREG. 7";#N/A,#N/A,FALSE,"ORIGENS E APLICAÇÕES 9"}</definedName>
    <definedName name="Pasta" localSheetId="20" hidden="1">{#N/A,#N/A,FALSE,"CONSOL. 5";#N/A,#N/A,FALSE,"CONSOL. ACUM. 6";#N/A,#N/A,FALSE,"CAP. EMPREG. 7";#N/A,#N/A,FALSE,"ORIGENS E APLICAÇÕES 9"}</definedName>
    <definedName name="Pasta" localSheetId="21" hidden="1">{#N/A,#N/A,FALSE,"CONSOL. 5";#N/A,#N/A,FALSE,"CONSOL. ACUM. 6";#N/A,#N/A,FALSE,"CAP. EMPREG. 7";#N/A,#N/A,FALSE,"ORIGENS E APLICAÇÕES 9"}</definedName>
    <definedName name="Pasta" localSheetId="22" hidden="1">{#N/A,#N/A,FALSE,"CONSOL. 5";#N/A,#N/A,FALSE,"CONSOL. ACUM. 6";#N/A,#N/A,FALSE,"CAP. EMPREG. 7";#N/A,#N/A,FALSE,"ORIGENS E APLICAÇÕES 9"}</definedName>
    <definedName name="Pasta" localSheetId="23" hidden="1">{#N/A,#N/A,FALSE,"CONSOL. 5";#N/A,#N/A,FALSE,"CONSOL. ACUM. 6";#N/A,#N/A,FALSE,"CAP. EMPREG. 7";#N/A,#N/A,FALSE,"ORIGENS E APLICAÇÕES 9"}</definedName>
    <definedName name="Pasta" localSheetId="24" hidden="1">{#N/A,#N/A,FALSE,"CONSOL. 5";#N/A,#N/A,FALSE,"CONSOL. ACUM. 6";#N/A,#N/A,FALSE,"CAP. EMPREG. 7";#N/A,#N/A,FALSE,"ORIGENS E APLICAÇÕES 9"}</definedName>
    <definedName name="Pasta" localSheetId="25" hidden="1">{#N/A,#N/A,FALSE,"CONSOL. 5";#N/A,#N/A,FALSE,"CONSOL. ACUM. 6";#N/A,#N/A,FALSE,"CAP. EMPREG. 7";#N/A,#N/A,FALSE,"ORIGENS E APLICAÇÕES 9"}</definedName>
    <definedName name="Pasta" localSheetId="26" hidden="1">{#N/A,#N/A,FALSE,"CONSOL. 5";#N/A,#N/A,FALSE,"CONSOL. ACUM. 6";#N/A,#N/A,FALSE,"CAP. EMPREG. 7";#N/A,#N/A,FALSE,"ORIGENS E APLICAÇÕES 9"}</definedName>
    <definedName name="Pasta" localSheetId="27" hidden="1">{#N/A,#N/A,FALSE,"CONSOL. 5";#N/A,#N/A,FALSE,"CONSOL. ACUM. 6";#N/A,#N/A,FALSE,"CAP. EMPREG. 7";#N/A,#N/A,FALSE,"ORIGENS E APLICAÇÕES 9"}</definedName>
    <definedName name="Pasta" localSheetId="28" hidden="1">{#N/A,#N/A,FALSE,"CONSOL. 5";#N/A,#N/A,FALSE,"CONSOL. ACUM. 6";#N/A,#N/A,FALSE,"CAP. EMPREG. 7";#N/A,#N/A,FALSE,"ORIGENS E APLICAÇÕES 9"}</definedName>
    <definedName name="Pasta" localSheetId="29" hidden="1">{#N/A,#N/A,FALSE,"CONSOL. 5";#N/A,#N/A,FALSE,"CONSOL. ACUM. 6";#N/A,#N/A,FALSE,"CAP. EMPREG. 7";#N/A,#N/A,FALSE,"ORIGENS E APLICAÇÕES 9"}</definedName>
    <definedName name="Pasta" localSheetId="30" hidden="1">{#N/A,#N/A,FALSE,"CONSOL. 5";#N/A,#N/A,FALSE,"CONSOL. ACUM. 6";#N/A,#N/A,FALSE,"CAP. EMPREG. 7";#N/A,#N/A,FALSE,"ORIGENS E APLICAÇÕES 9"}</definedName>
    <definedName name="Pasta" localSheetId="31" hidden="1">{#N/A,#N/A,FALSE,"CONSOL. 5";#N/A,#N/A,FALSE,"CONSOL. ACUM. 6";#N/A,#N/A,FALSE,"CAP. EMPREG. 7";#N/A,#N/A,FALSE,"ORIGENS E APLICAÇÕES 9"}</definedName>
    <definedName name="Pasta" localSheetId="32" hidden="1">{#N/A,#N/A,FALSE,"CONSOL. 5";#N/A,#N/A,FALSE,"CONSOL. ACUM. 6";#N/A,#N/A,FALSE,"CAP. EMPREG. 7";#N/A,#N/A,FALSE,"ORIGENS E APLICAÇÕES 9"}</definedName>
    <definedName name="Pasta" hidden="1">{#N/A,#N/A,FALSE,"CONSOL. 5";#N/A,#N/A,FALSE,"CONSOL. ACUM. 6";#N/A,#N/A,FALSE,"CAP. EMPREG. 7";#N/A,#N/A,FALSE,"ORIGENS E APLICAÇÕES 9"}</definedName>
    <definedName name="Plante" localSheetId="3" hidden="1">{#N/A,#N/A,FALSE,"Tabl. G1";#N/A,#N/A,FALSE,"Tabl. G2"}</definedName>
    <definedName name="Plante" localSheetId="5" hidden="1">{#N/A,#N/A,FALSE,"Tabl. G1";#N/A,#N/A,FALSE,"Tabl. G2"}</definedName>
    <definedName name="Plante" localSheetId="6" hidden="1">{#N/A,#N/A,FALSE,"Tabl. G1";#N/A,#N/A,FALSE,"Tabl. G2"}</definedName>
    <definedName name="Plante" localSheetId="7" hidden="1">{#N/A,#N/A,FALSE,"Tabl. G1";#N/A,#N/A,FALSE,"Tabl. G2"}</definedName>
    <definedName name="Plante" localSheetId="9" hidden="1">{#N/A,#N/A,FALSE,"Tabl. G1";#N/A,#N/A,FALSE,"Tabl. G2"}</definedName>
    <definedName name="Plante" localSheetId="10" hidden="1">{#N/A,#N/A,FALSE,"Tabl. G1";#N/A,#N/A,FALSE,"Tabl. G2"}</definedName>
    <definedName name="Plante" localSheetId="11" hidden="1">{#N/A,#N/A,FALSE,"Tabl. G1";#N/A,#N/A,FALSE,"Tabl. G2"}</definedName>
    <definedName name="Plante" localSheetId="12" hidden="1">{#N/A,#N/A,FALSE,"Tabl. G1";#N/A,#N/A,FALSE,"Tabl. G2"}</definedName>
    <definedName name="Plante" localSheetId="13" hidden="1">{#N/A,#N/A,FALSE,"Tabl. G1";#N/A,#N/A,FALSE,"Tabl. G2"}</definedName>
    <definedName name="Plante" localSheetId="14" hidden="1">{#N/A,#N/A,FALSE,"Tabl. G1";#N/A,#N/A,FALSE,"Tabl. G2"}</definedName>
    <definedName name="Plante" localSheetId="15" hidden="1">{#N/A,#N/A,FALSE,"Tabl. G1";#N/A,#N/A,FALSE,"Tabl. G2"}</definedName>
    <definedName name="Plante" localSheetId="20" hidden="1">{#N/A,#N/A,FALSE,"Tabl. G1";#N/A,#N/A,FALSE,"Tabl. G2"}</definedName>
    <definedName name="Plante" localSheetId="21" hidden="1">{#N/A,#N/A,FALSE,"Tabl. G1";#N/A,#N/A,FALSE,"Tabl. G2"}</definedName>
    <definedName name="Plante" localSheetId="22" hidden="1">{#N/A,#N/A,FALSE,"Tabl. G1";#N/A,#N/A,FALSE,"Tabl. G2"}</definedName>
    <definedName name="Plante" localSheetId="23" hidden="1">{#N/A,#N/A,FALSE,"Tabl. G1";#N/A,#N/A,FALSE,"Tabl. G2"}</definedName>
    <definedName name="Plante" localSheetId="24" hidden="1">{#N/A,#N/A,FALSE,"Tabl. G1";#N/A,#N/A,FALSE,"Tabl. G2"}</definedName>
    <definedName name="Plante" localSheetId="25" hidden="1">{#N/A,#N/A,FALSE,"Tabl. G1";#N/A,#N/A,FALSE,"Tabl. G2"}</definedName>
    <definedName name="Plante" localSheetId="26" hidden="1">{#N/A,#N/A,FALSE,"Tabl. G1";#N/A,#N/A,FALSE,"Tabl. G2"}</definedName>
    <definedName name="Plante" localSheetId="27" hidden="1">{#N/A,#N/A,FALSE,"Tabl. G1";#N/A,#N/A,FALSE,"Tabl. G2"}</definedName>
    <definedName name="Plante" localSheetId="28" hidden="1">{#N/A,#N/A,FALSE,"Tabl. G1";#N/A,#N/A,FALSE,"Tabl. G2"}</definedName>
    <definedName name="Plante" localSheetId="29" hidden="1">{#N/A,#N/A,FALSE,"Tabl. G1";#N/A,#N/A,FALSE,"Tabl. G2"}</definedName>
    <definedName name="Plante" localSheetId="30" hidden="1">{#N/A,#N/A,FALSE,"Tabl. G1";#N/A,#N/A,FALSE,"Tabl. G2"}</definedName>
    <definedName name="Plante" localSheetId="31" hidden="1">{#N/A,#N/A,FALSE,"Tabl. G1";#N/A,#N/A,FALSE,"Tabl. G2"}</definedName>
    <definedName name="Plante" localSheetId="32" hidden="1">{#N/A,#N/A,FALSE,"Tabl. G1";#N/A,#N/A,FALSE,"Tabl. G2"}</definedName>
    <definedName name="Plante" hidden="1">{#N/A,#N/A,FALSE,"Tabl. G1";#N/A,#N/A,FALSE,"Tabl. G2"}</definedName>
    <definedName name="pluie" localSheetId="3" hidden="1">{#N/A,#N/A,FALSE,"Tabl. H1";#N/A,#N/A,FALSE,"Tabl. H2"}</definedName>
    <definedName name="pluie" localSheetId="5" hidden="1">{#N/A,#N/A,FALSE,"Tabl. H1";#N/A,#N/A,FALSE,"Tabl. H2"}</definedName>
    <definedName name="pluie" localSheetId="6" hidden="1">{#N/A,#N/A,FALSE,"Tabl. H1";#N/A,#N/A,FALSE,"Tabl. H2"}</definedName>
    <definedName name="pluie" localSheetId="7" hidden="1">{#N/A,#N/A,FALSE,"Tabl. H1";#N/A,#N/A,FALSE,"Tabl. H2"}</definedName>
    <definedName name="pluie" localSheetId="9" hidden="1">{#N/A,#N/A,FALSE,"Tabl. H1";#N/A,#N/A,FALSE,"Tabl. H2"}</definedName>
    <definedName name="pluie" localSheetId="10" hidden="1">{#N/A,#N/A,FALSE,"Tabl. H1";#N/A,#N/A,FALSE,"Tabl. H2"}</definedName>
    <definedName name="pluie" localSheetId="11" hidden="1">{#N/A,#N/A,FALSE,"Tabl. H1";#N/A,#N/A,FALSE,"Tabl. H2"}</definedName>
    <definedName name="pluie" localSheetId="12" hidden="1">{#N/A,#N/A,FALSE,"Tabl. H1";#N/A,#N/A,FALSE,"Tabl. H2"}</definedName>
    <definedName name="pluie" localSheetId="13" hidden="1">{#N/A,#N/A,FALSE,"Tabl. H1";#N/A,#N/A,FALSE,"Tabl. H2"}</definedName>
    <definedName name="pluie" localSheetId="14" hidden="1">{#N/A,#N/A,FALSE,"Tabl. H1";#N/A,#N/A,FALSE,"Tabl. H2"}</definedName>
    <definedName name="pluie" localSheetId="15" hidden="1">{#N/A,#N/A,FALSE,"Tabl. H1";#N/A,#N/A,FALSE,"Tabl. H2"}</definedName>
    <definedName name="pluie" localSheetId="20" hidden="1">{#N/A,#N/A,FALSE,"Tabl. H1";#N/A,#N/A,FALSE,"Tabl. H2"}</definedName>
    <definedName name="pluie" localSheetId="21" hidden="1">{#N/A,#N/A,FALSE,"Tabl. H1";#N/A,#N/A,FALSE,"Tabl. H2"}</definedName>
    <definedName name="pluie" localSheetId="22" hidden="1">{#N/A,#N/A,FALSE,"Tabl. H1";#N/A,#N/A,FALSE,"Tabl. H2"}</definedName>
    <definedName name="pluie" localSheetId="23" hidden="1">{#N/A,#N/A,FALSE,"Tabl. H1";#N/A,#N/A,FALSE,"Tabl. H2"}</definedName>
    <definedName name="pluie" localSheetId="24" hidden="1">{#N/A,#N/A,FALSE,"Tabl. H1";#N/A,#N/A,FALSE,"Tabl. H2"}</definedName>
    <definedName name="pluie" localSheetId="25" hidden="1">{#N/A,#N/A,FALSE,"Tabl. H1";#N/A,#N/A,FALSE,"Tabl. H2"}</definedName>
    <definedName name="pluie" localSheetId="26" hidden="1">{#N/A,#N/A,FALSE,"Tabl. H1";#N/A,#N/A,FALSE,"Tabl. H2"}</definedName>
    <definedName name="pluie" localSheetId="27" hidden="1">{#N/A,#N/A,FALSE,"Tabl. H1";#N/A,#N/A,FALSE,"Tabl. H2"}</definedName>
    <definedName name="pluie" localSheetId="28" hidden="1">{#N/A,#N/A,FALSE,"Tabl. H1";#N/A,#N/A,FALSE,"Tabl. H2"}</definedName>
    <definedName name="pluie" localSheetId="29" hidden="1">{#N/A,#N/A,FALSE,"Tabl. H1";#N/A,#N/A,FALSE,"Tabl. H2"}</definedName>
    <definedName name="pluie" localSheetId="30" hidden="1">{#N/A,#N/A,FALSE,"Tabl. H1";#N/A,#N/A,FALSE,"Tabl. H2"}</definedName>
    <definedName name="pluie" localSheetId="31" hidden="1">{#N/A,#N/A,FALSE,"Tabl. H1";#N/A,#N/A,FALSE,"Tabl. H2"}</definedName>
    <definedName name="pluie" localSheetId="32" hidden="1">{#N/A,#N/A,FALSE,"Tabl. H1";#N/A,#N/A,FALSE,"Tabl. H2"}</definedName>
    <definedName name="pluie" hidden="1">{#N/A,#N/A,FALSE,"Tabl. H1";#N/A,#N/A,FALSE,"Tabl. H2"}</definedName>
    <definedName name="ppp"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rodutos">[6]Cad!$B$12:$B$511</definedName>
    <definedName name="prop" localSheetId="5" hidden="1">'[3]RESUMO DO DBASE PARA O VIVEIRO'!#REF!</definedName>
    <definedName name="prop" localSheetId="7" hidden="1">'[3]RESUMO DO DBASE PARA O VIVEIRO'!#REF!</definedName>
    <definedName name="prop" localSheetId="9" hidden="1">'[3]RESUMO DO DBASE PARA O VIVEIRO'!#REF!</definedName>
    <definedName name="prop" localSheetId="10" hidden="1">'[3]RESUMO DO DBASE PARA O VIVEIRO'!#REF!</definedName>
    <definedName name="prop" localSheetId="11" hidden="1">'[3]RESUMO DO DBASE PARA O VIVEIRO'!#REF!</definedName>
    <definedName name="prop" localSheetId="12" hidden="1">'[3]RESUMO DO DBASE PARA O VIVEIRO'!#REF!</definedName>
    <definedName name="prop" localSheetId="13" hidden="1">'[3]RESUMO DO DBASE PARA O VIVEIRO'!#REF!</definedName>
    <definedName name="prop" localSheetId="14" hidden="1">'[3]RESUMO DO DBASE PARA O VIVEIRO'!#REF!</definedName>
    <definedName name="prop" localSheetId="15" hidden="1">'[3]RESUMO DO DBASE PARA O VIVEIRO'!#REF!</definedName>
    <definedName name="prop" localSheetId="20" hidden="1">'[3]RESUMO DO DBASE PARA O VIVEIRO'!#REF!</definedName>
    <definedName name="prop" localSheetId="21" hidden="1">'[3]RESUMO DO DBASE PARA O VIVEIRO'!#REF!</definedName>
    <definedName name="prop" localSheetId="22" hidden="1">'[3]RESUMO DO DBASE PARA O VIVEIRO'!#REF!</definedName>
    <definedName name="prop" localSheetId="23" hidden="1">'[3]RESUMO DO DBASE PARA O VIVEIRO'!#REF!</definedName>
    <definedName name="prop" localSheetId="24" hidden="1">'[3]RESUMO DO DBASE PARA O VIVEIRO'!#REF!</definedName>
    <definedName name="prop" localSheetId="25" hidden="1">'[3]RESUMO DO DBASE PARA O VIVEIRO'!#REF!</definedName>
    <definedName name="prop" localSheetId="26" hidden="1">'[3]RESUMO DO DBASE PARA O VIVEIRO'!#REF!</definedName>
    <definedName name="prop" localSheetId="27" hidden="1">'[3]RESUMO DO DBASE PARA O VIVEIRO'!#REF!</definedName>
    <definedName name="prop" localSheetId="28" hidden="1">'[3]RESUMO DO DBASE PARA O VIVEIRO'!#REF!</definedName>
    <definedName name="prop" localSheetId="29" hidden="1">'[3]RESUMO DO DBASE PARA O VIVEIRO'!#REF!</definedName>
    <definedName name="prop" localSheetId="30" hidden="1">'[3]RESUMO DO DBASE PARA O VIVEIRO'!#REF!</definedName>
    <definedName name="prop" localSheetId="31" hidden="1">'[3]RESUMO DO DBASE PARA O VIVEIRO'!#REF!</definedName>
    <definedName name="prop" localSheetId="32" hidden="1">'[3]RESUMO DO DBASE PARA O VIVEIRO'!#REF!</definedName>
    <definedName name="prop" hidden="1">'[3]RESUMO DO DBASE PARA O VIVEIRO'!#REF!</definedName>
    <definedName name="qqq" localSheetId="3" hidden="1">{#N/A,#N/A,FALSE,"Tabl. D1";#N/A,#N/A,FALSE,"Tabl. D1 b";#N/A,#N/A,FALSE,"Tabl. D2";#N/A,#N/A,FALSE,"Tabl. D2 b";#N/A,#N/A,FALSE,"Tabl. D3";#N/A,#N/A,FALSE,"Tabl. D4";#N/A,#N/A,FALSE,"Tabl. D5"}</definedName>
    <definedName name="qqq" localSheetId="5" hidden="1">{#N/A,#N/A,FALSE,"Tabl. D1";#N/A,#N/A,FALSE,"Tabl. D1 b";#N/A,#N/A,FALSE,"Tabl. D2";#N/A,#N/A,FALSE,"Tabl. D2 b";#N/A,#N/A,FALSE,"Tabl. D3";#N/A,#N/A,FALSE,"Tabl. D4";#N/A,#N/A,FALSE,"Tabl. D5"}</definedName>
    <definedName name="qqq" localSheetId="6" hidden="1">{#N/A,#N/A,FALSE,"Tabl. D1";#N/A,#N/A,FALSE,"Tabl. D1 b";#N/A,#N/A,FALSE,"Tabl. D2";#N/A,#N/A,FALSE,"Tabl. D2 b";#N/A,#N/A,FALSE,"Tabl. D3";#N/A,#N/A,FALSE,"Tabl. D4";#N/A,#N/A,FALSE,"Tabl. D5"}</definedName>
    <definedName name="qqq" localSheetId="7" hidden="1">{#N/A,#N/A,FALSE,"Tabl. D1";#N/A,#N/A,FALSE,"Tabl. D1 b";#N/A,#N/A,FALSE,"Tabl. D2";#N/A,#N/A,FALSE,"Tabl. D2 b";#N/A,#N/A,FALSE,"Tabl. D3";#N/A,#N/A,FALSE,"Tabl. D4";#N/A,#N/A,FALSE,"Tabl. D5"}</definedName>
    <definedName name="qqq" localSheetId="9" hidden="1">{#N/A,#N/A,FALSE,"Tabl. D1";#N/A,#N/A,FALSE,"Tabl. D1 b";#N/A,#N/A,FALSE,"Tabl. D2";#N/A,#N/A,FALSE,"Tabl. D2 b";#N/A,#N/A,FALSE,"Tabl. D3";#N/A,#N/A,FALSE,"Tabl. D4";#N/A,#N/A,FALSE,"Tabl. D5"}</definedName>
    <definedName name="qqq" localSheetId="10" hidden="1">{#N/A,#N/A,FALSE,"Tabl. D1";#N/A,#N/A,FALSE,"Tabl. D1 b";#N/A,#N/A,FALSE,"Tabl. D2";#N/A,#N/A,FALSE,"Tabl. D2 b";#N/A,#N/A,FALSE,"Tabl. D3";#N/A,#N/A,FALSE,"Tabl. D4";#N/A,#N/A,FALSE,"Tabl. D5"}</definedName>
    <definedName name="qqq" localSheetId="11" hidden="1">{#N/A,#N/A,FALSE,"Tabl. D1";#N/A,#N/A,FALSE,"Tabl. D1 b";#N/A,#N/A,FALSE,"Tabl. D2";#N/A,#N/A,FALSE,"Tabl. D2 b";#N/A,#N/A,FALSE,"Tabl. D3";#N/A,#N/A,FALSE,"Tabl. D4";#N/A,#N/A,FALSE,"Tabl. D5"}</definedName>
    <definedName name="qqq" localSheetId="12" hidden="1">{#N/A,#N/A,FALSE,"Tabl. D1";#N/A,#N/A,FALSE,"Tabl. D1 b";#N/A,#N/A,FALSE,"Tabl. D2";#N/A,#N/A,FALSE,"Tabl. D2 b";#N/A,#N/A,FALSE,"Tabl. D3";#N/A,#N/A,FALSE,"Tabl. D4";#N/A,#N/A,FALSE,"Tabl. D5"}</definedName>
    <definedName name="qqq" localSheetId="13" hidden="1">{#N/A,#N/A,FALSE,"Tabl. D1";#N/A,#N/A,FALSE,"Tabl. D1 b";#N/A,#N/A,FALSE,"Tabl. D2";#N/A,#N/A,FALSE,"Tabl. D2 b";#N/A,#N/A,FALSE,"Tabl. D3";#N/A,#N/A,FALSE,"Tabl. D4";#N/A,#N/A,FALSE,"Tabl. D5"}</definedName>
    <definedName name="qqq" localSheetId="14" hidden="1">{#N/A,#N/A,FALSE,"Tabl. D1";#N/A,#N/A,FALSE,"Tabl. D1 b";#N/A,#N/A,FALSE,"Tabl. D2";#N/A,#N/A,FALSE,"Tabl. D2 b";#N/A,#N/A,FALSE,"Tabl. D3";#N/A,#N/A,FALSE,"Tabl. D4";#N/A,#N/A,FALSE,"Tabl. D5"}</definedName>
    <definedName name="qqq" localSheetId="15" hidden="1">{#N/A,#N/A,FALSE,"Tabl. D1";#N/A,#N/A,FALSE,"Tabl. D1 b";#N/A,#N/A,FALSE,"Tabl. D2";#N/A,#N/A,FALSE,"Tabl. D2 b";#N/A,#N/A,FALSE,"Tabl. D3";#N/A,#N/A,FALSE,"Tabl. D4";#N/A,#N/A,FALSE,"Tabl. D5"}</definedName>
    <definedName name="qqq" localSheetId="20" hidden="1">{#N/A,#N/A,FALSE,"Tabl. D1";#N/A,#N/A,FALSE,"Tabl. D1 b";#N/A,#N/A,FALSE,"Tabl. D2";#N/A,#N/A,FALSE,"Tabl. D2 b";#N/A,#N/A,FALSE,"Tabl. D3";#N/A,#N/A,FALSE,"Tabl. D4";#N/A,#N/A,FALSE,"Tabl. D5"}</definedName>
    <definedName name="qqq" localSheetId="21" hidden="1">{#N/A,#N/A,FALSE,"Tabl. D1";#N/A,#N/A,FALSE,"Tabl. D1 b";#N/A,#N/A,FALSE,"Tabl. D2";#N/A,#N/A,FALSE,"Tabl. D2 b";#N/A,#N/A,FALSE,"Tabl. D3";#N/A,#N/A,FALSE,"Tabl. D4";#N/A,#N/A,FALSE,"Tabl. D5"}</definedName>
    <definedName name="qqq" localSheetId="22" hidden="1">{#N/A,#N/A,FALSE,"Tabl. D1";#N/A,#N/A,FALSE,"Tabl. D1 b";#N/A,#N/A,FALSE,"Tabl. D2";#N/A,#N/A,FALSE,"Tabl. D2 b";#N/A,#N/A,FALSE,"Tabl. D3";#N/A,#N/A,FALSE,"Tabl. D4";#N/A,#N/A,FALSE,"Tabl. D5"}</definedName>
    <definedName name="qqq" localSheetId="23" hidden="1">{#N/A,#N/A,FALSE,"Tabl. D1";#N/A,#N/A,FALSE,"Tabl. D1 b";#N/A,#N/A,FALSE,"Tabl. D2";#N/A,#N/A,FALSE,"Tabl. D2 b";#N/A,#N/A,FALSE,"Tabl. D3";#N/A,#N/A,FALSE,"Tabl. D4";#N/A,#N/A,FALSE,"Tabl. D5"}</definedName>
    <definedName name="qqq" localSheetId="24" hidden="1">{#N/A,#N/A,FALSE,"Tabl. D1";#N/A,#N/A,FALSE,"Tabl. D1 b";#N/A,#N/A,FALSE,"Tabl. D2";#N/A,#N/A,FALSE,"Tabl. D2 b";#N/A,#N/A,FALSE,"Tabl. D3";#N/A,#N/A,FALSE,"Tabl. D4";#N/A,#N/A,FALSE,"Tabl. D5"}</definedName>
    <definedName name="qqq" localSheetId="25" hidden="1">{#N/A,#N/A,FALSE,"Tabl. D1";#N/A,#N/A,FALSE,"Tabl. D1 b";#N/A,#N/A,FALSE,"Tabl. D2";#N/A,#N/A,FALSE,"Tabl. D2 b";#N/A,#N/A,FALSE,"Tabl. D3";#N/A,#N/A,FALSE,"Tabl. D4";#N/A,#N/A,FALSE,"Tabl. D5"}</definedName>
    <definedName name="qqq" localSheetId="26" hidden="1">{#N/A,#N/A,FALSE,"Tabl. D1";#N/A,#N/A,FALSE,"Tabl. D1 b";#N/A,#N/A,FALSE,"Tabl. D2";#N/A,#N/A,FALSE,"Tabl. D2 b";#N/A,#N/A,FALSE,"Tabl. D3";#N/A,#N/A,FALSE,"Tabl. D4";#N/A,#N/A,FALSE,"Tabl. D5"}</definedName>
    <definedName name="qqq" localSheetId="27" hidden="1">{#N/A,#N/A,FALSE,"Tabl. D1";#N/A,#N/A,FALSE,"Tabl. D1 b";#N/A,#N/A,FALSE,"Tabl. D2";#N/A,#N/A,FALSE,"Tabl. D2 b";#N/A,#N/A,FALSE,"Tabl. D3";#N/A,#N/A,FALSE,"Tabl. D4";#N/A,#N/A,FALSE,"Tabl. D5"}</definedName>
    <definedName name="qqq" localSheetId="28" hidden="1">{#N/A,#N/A,FALSE,"Tabl. D1";#N/A,#N/A,FALSE,"Tabl. D1 b";#N/A,#N/A,FALSE,"Tabl. D2";#N/A,#N/A,FALSE,"Tabl. D2 b";#N/A,#N/A,FALSE,"Tabl. D3";#N/A,#N/A,FALSE,"Tabl. D4";#N/A,#N/A,FALSE,"Tabl. D5"}</definedName>
    <definedName name="qqq" localSheetId="29" hidden="1">{#N/A,#N/A,FALSE,"Tabl. D1";#N/A,#N/A,FALSE,"Tabl. D1 b";#N/A,#N/A,FALSE,"Tabl. D2";#N/A,#N/A,FALSE,"Tabl. D2 b";#N/A,#N/A,FALSE,"Tabl. D3";#N/A,#N/A,FALSE,"Tabl. D4";#N/A,#N/A,FALSE,"Tabl. D5"}</definedName>
    <definedName name="qqq" localSheetId="30" hidden="1">{#N/A,#N/A,FALSE,"Tabl. D1";#N/A,#N/A,FALSE,"Tabl. D1 b";#N/A,#N/A,FALSE,"Tabl. D2";#N/A,#N/A,FALSE,"Tabl. D2 b";#N/A,#N/A,FALSE,"Tabl. D3";#N/A,#N/A,FALSE,"Tabl. D4";#N/A,#N/A,FALSE,"Tabl. D5"}</definedName>
    <definedName name="qqq" localSheetId="31" hidden="1">{#N/A,#N/A,FALSE,"Tabl. D1";#N/A,#N/A,FALSE,"Tabl. D1 b";#N/A,#N/A,FALSE,"Tabl. D2";#N/A,#N/A,FALSE,"Tabl. D2 b";#N/A,#N/A,FALSE,"Tabl. D3";#N/A,#N/A,FALSE,"Tabl. D4";#N/A,#N/A,FALSE,"Tabl. D5"}</definedName>
    <definedName name="qqq" localSheetId="32" hidden="1">{#N/A,#N/A,FALSE,"Tabl. D1";#N/A,#N/A,FALSE,"Tabl. D1 b";#N/A,#N/A,FALSE,"Tabl. D2";#N/A,#N/A,FALSE,"Tabl. D2 b";#N/A,#N/A,FALSE,"Tabl. D3";#N/A,#N/A,FALSE,"Tabl. D4";#N/A,#N/A,FALSE,"Tabl. D5"}</definedName>
    <definedName name="qqq" hidden="1">{#N/A,#N/A,FALSE,"Tabl. D1";#N/A,#N/A,FALSE,"Tabl. D1 b";#N/A,#N/A,FALSE,"Tabl. D2";#N/A,#N/A,FALSE,"Tabl. D2 b";#N/A,#N/A,FALSE,"Tabl. D3";#N/A,#N/A,FALSE,"Tabl. D4";#N/A,#N/A,FALSE,"Tabl. D5"}</definedName>
    <definedName name="responsável" localSheetId="7">[5]!plano[QUEM]</definedName>
    <definedName name="responsável" localSheetId="9">[5]!plano[QUEM]</definedName>
    <definedName name="responsável" localSheetId="10">[5]!plano[QUEM]</definedName>
    <definedName name="responsável" localSheetId="11">[5]!plano[QUEM]</definedName>
    <definedName name="responsável" localSheetId="12">[5]!plano[QUEM]</definedName>
    <definedName name="responsável" localSheetId="13">[5]!plano[QUEM]</definedName>
    <definedName name="responsável" localSheetId="14">[5]!plano[QUEM]</definedName>
    <definedName name="responsável" localSheetId="15">[5]!plano[QUEM]</definedName>
    <definedName name="responsável" localSheetId="20">#REF!</definedName>
    <definedName name="responsável" localSheetId="21">[5]!plano[QUEM]</definedName>
    <definedName name="responsável" localSheetId="22">[5]!plano[QUEM]</definedName>
    <definedName name="responsável" localSheetId="23">[5]!plano[QUEM]</definedName>
    <definedName name="responsável" localSheetId="24">#REF!</definedName>
    <definedName name="responsável" localSheetId="25">[5]!plano[QUEM]</definedName>
    <definedName name="responsável" localSheetId="26">[5]!plano[QUEM]</definedName>
    <definedName name="responsável" localSheetId="27">[5]!plano[QUEM]</definedName>
    <definedName name="responsável" localSheetId="28">[5]!plano[QUEM]</definedName>
    <definedName name="responsável" localSheetId="29">#REF!</definedName>
    <definedName name="responsável" localSheetId="30">#REF!</definedName>
    <definedName name="responsável" localSheetId="31">#REF!</definedName>
    <definedName name="responsável">#REF!</definedName>
    <definedName name="rrr" localSheetId="3" hidden="1">{#N/A,#N/A,FALSE,"Tabl. FB300";#N/A,#N/A,FALSE,"Tabl. FB350";#N/A,#N/A,FALSE,"Tabl. FB400";#N/A,#N/A,FALSE,"Tabl. FB500";#N/A,#N/A,FALSE,"Tabl. FS090"}</definedName>
    <definedName name="rrr" localSheetId="5" hidden="1">{#N/A,#N/A,FALSE,"Tabl. FB300";#N/A,#N/A,FALSE,"Tabl. FB350";#N/A,#N/A,FALSE,"Tabl. FB400";#N/A,#N/A,FALSE,"Tabl. FB500";#N/A,#N/A,FALSE,"Tabl. FS090"}</definedName>
    <definedName name="rrr" localSheetId="6" hidden="1">{#N/A,#N/A,FALSE,"Tabl. FB300";#N/A,#N/A,FALSE,"Tabl. FB350";#N/A,#N/A,FALSE,"Tabl. FB400";#N/A,#N/A,FALSE,"Tabl. FB500";#N/A,#N/A,FALSE,"Tabl. FS090"}</definedName>
    <definedName name="rrr" localSheetId="7" hidden="1">{#N/A,#N/A,FALSE,"Tabl. FB300";#N/A,#N/A,FALSE,"Tabl. FB350";#N/A,#N/A,FALSE,"Tabl. FB400";#N/A,#N/A,FALSE,"Tabl. FB500";#N/A,#N/A,FALSE,"Tabl. FS090"}</definedName>
    <definedName name="rrr" localSheetId="9" hidden="1">{#N/A,#N/A,FALSE,"Tabl. FB300";#N/A,#N/A,FALSE,"Tabl. FB350";#N/A,#N/A,FALSE,"Tabl. FB400";#N/A,#N/A,FALSE,"Tabl. FB500";#N/A,#N/A,FALSE,"Tabl. FS090"}</definedName>
    <definedName name="rrr" localSheetId="10" hidden="1">{#N/A,#N/A,FALSE,"Tabl. FB300";#N/A,#N/A,FALSE,"Tabl. FB350";#N/A,#N/A,FALSE,"Tabl. FB400";#N/A,#N/A,FALSE,"Tabl. FB500";#N/A,#N/A,FALSE,"Tabl. FS090"}</definedName>
    <definedName name="rrr" localSheetId="11" hidden="1">{#N/A,#N/A,FALSE,"Tabl. FB300";#N/A,#N/A,FALSE,"Tabl. FB350";#N/A,#N/A,FALSE,"Tabl. FB400";#N/A,#N/A,FALSE,"Tabl. FB500";#N/A,#N/A,FALSE,"Tabl. FS090"}</definedName>
    <definedName name="rrr" localSheetId="12" hidden="1">{#N/A,#N/A,FALSE,"Tabl. FB300";#N/A,#N/A,FALSE,"Tabl. FB350";#N/A,#N/A,FALSE,"Tabl. FB400";#N/A,#N/A,FALSE,"Tabl. FB500";#N/A,#N/A,FALSE,"Tabl. FS090"}</definedName>
    <definedName name="rrr" localSheetId="13" hidden="1">{#N/A,#N/A,FALSE,"Tabl. FB300";#N/A,#N/A,FALSE,"Tabl. FB350";#N/A,#N/A,FALSE,"Tabl. FB400";#N/A,#N/A,FALSE,"Tabl. FB500";#N/A,#N/A,FALSE,"Tabl. FS090"}</definedName>
    <definedName name="rrr" localSheetId="14" hidden="1">{#N/A,#N/A,FALSE,"Tabl. FB300";#N/A,#N/A,FALSE,"Tabl. FB350";#N/A,#N/A,FALSE,"Tabl. FB400";#N/A,#N/A,FALSE,"Tabl. FB500";#N/A,#N/A,FALSE,"Tabl. FS090"}</definedName>
    <definedName name="rrr" localSheetId="15" hidden="1">{#N/A,#N/A,FALSE,"Tabl. FB300";#N/A,#N/A,FALSE,"Tabl. FB350";#N/A,#N/A,FALSE,"Tabl. FB400";#N/A,#N/A,FALSE,"Tabl. FB500";#N/A,#N/A,FALSE,"Tabl. FS090"}</definedName>
    <definedName name="rrr" localSheetId="20" hidden="1">{#N/A,#N/A,FALSE,"Tabl. FB300";#N/A,#N/A,FALSE,"Tabl. FB350";#N/A,#N/A,FALSE,"Tabl. FB400";#N/A,#N/A,FALSE,"Tabl. FB500";#N/A,#N/A,FALSE,"Tabl. FS090"}</definedName>
    <definedName name="rrr" localSheetId="21" hidden="1">{#N/A,#N/A,FALSE,"Tabl. FB300";#N/A,#N/A,FALSE,"Tabl. FB350";#N/A,#N/A,FALSE,"Tabl. FB400";#N/A,#N/A,FALSE,"Tabl. FB500";#N/A,#N/A,FALSE,"Tabl. FS090"}</definedName>
    <definedName name="rrr" localSheetId="22" hidden="1">{#N/A,#N/A,FALSE,"Tabl. FB300";#N/A,#N/A,FALSE,"Tabl. FB350";#N/A,#N/A,FALSE,"Tabl. FB400";#N/A,#N/A,FALSE,"Tabl. FB500";#N/A,#N/A,FALSE,"Tabl. FS090"}</definedName>
    <definedName name="rrr" localSheetId="23" hidden="1">{#N/A,#N/A,FALSE,"Tabl. FB300";#N/A,#N/A,FALSE,"Tabl. FB350";#N/A,#N/A,FALSE,"Tabl. FB400";#N/A,#N/A,FALSE,"Tabl. FB500";#N/A,#N/A,FALSE,"Tabl. FS090"}</definedName>
    <definedName name="rrr" localSheetId="24" hidden="1">{#N/A,#N/A,FALSE,"Tabl. FB300";#N/A,#N/A,FALSE,"Tabl. FB350";#N/A,#N/A,FALSE,"Tabl. FB400";#N/A,#N/A,FALSE,"Tabl. FB500";#N/A,#N/A,FALSE,"Tabl. FS090"}</definedName>
    <definedName name="rrr" localSheetId="25" hidden="1">{#N/A,#N/A,FALSE,"Tabl. FB300";#N/A,#N/A,FALSE,"Tabl. FB350";#N/A,#N/A,FALSE,"Tabl. FB400";#N/A,#N/A,FALSE,"Tabl. FB500";#N/A,#N/A,FALSE,"Tabl. FS090"}</definedName>
    <definedName name="rrr" localSheetId="26" hidden="1">{#N/A,#N/A,FALSE,"Tabl. FB300";#N/A,#N/A,FALSE,"Tabl. FB350";#N/A,#N/A,FALSE,"Tabl. FB400";#N/A,#N/A,FALSE,"Tabl. FB500";#N/A,#N/A,FALSE,"Tabl. FS090"}</definedName>
    <definedName name="rrr" localSheetId="27" hidden="1">{#N/A,#N/A,FALSE,"Tabl. FB300";#N/A,#N/A,FALSE,"Tabl. FB350";#N/A,#N/A,FALSE,"Tabl. FB400";#N/A,#N/A,FALSE,"Tabl. FB500";#N/A,#N/A,FALSE,"Tabl. FS090"}</definedName>
    <definedName name="rrr" localSheetId="28" hidden="1">{#N/A,#N/A,FALSE,"Tabl. FB300";#N/A,#N/A,FALSE,"Tabl. FB350";#N/A,#N/A,FALSE,"Tabl. FB400";#N/A,#N/A,FALSE,"Tabl. FB500";#N/A,#N/A,FALSE,"Tabl. FS090"}</definedName>
    <definedName name="rrr" localSheetId="29" hidden="1">{#N/A,#N/A,FALSE,"Tabl. FB300";#N/A,#N/A,FALSE,"Tabl. FB350";#N/A,#N/A,FALSE,"Tabl. FB400";#N/A,#N/A,FALSE,"Tabl. FB500";#N/A,#N/A,FALSE,"Tabl. FS090"}</definedName>
    <definedName name="rrr" localSheetId="30" hidden="1">{#N/A,#N/A,FALSE,"Tabl. FB300";#N/A,#N/A,FALSE,"Tabl. FB350";#N/A,#N/A,FALSE,"Tabl. FB400";#N/A,#N/A,FALSE,"Tabl. FB500";#N/A,#N/A,FALSE,"Tabl. FS090"}</definedName>
    <definedName name="rrr" localSheetId="31" hidden="1">{#N/A,#N/A,FALSE,"Tabl. FB300";#N/A,#N/A,FALSE,"Tabl. FB350";#N/A,#N/A,FALSE,"Tabl. FB400";#N/A,#N/A,FALSE,"Tabl. FB500";#N/A,#N/A,FALSE,"Tabl. FS090"}</definedName>
    <definedName name="rrr" localSheetId="32" hidden="1">{#N/A,#N/A,FALSE,"Tabl. FB300";#N/A,#N/A,FALSE,"Tabl. FB350";#N/A,#N/A,FALSE,"Tabl. FB400";#N/A,#N/A,FALSE,"Tabl. FB500";#N/A,#N/A,FALSE,"Tabl. FS090"}</definedName>
    <definedName name="rrr" hidden="1">{#N/A,#N/A,FALSE,"Tabl. FB300";#N/A,#N/A,FALSE,"Tabl. FB350";#N/A,#N/A,FALSE,"Tabl. FB400";#N/A,#N/A,FALSE,"Tabl. FB500";#N/A,#N/A,FALSE,"Tabl. FS090"}</definedName>
    <definedName name="SAPBEXrevision" hidden="1">19</definedName>
    <definedName name="SAPBEXsysID" hidden="1">"BWP"</definedName>
    <definedName name="SAPBEXwbID" hidden="1">"07QM73PI84UL6KXIIWQMBHZCH"</definedName>
    <definedName name="sasasasa" localSheetId="3" hidden="1">{#N/A,#N/A,FALSE,"Tabl. FB300";#N/A,#N/A,FALSE,"Tabl. FB350";#N/A,#N/A,FALSE,"Tabl. FB400";#N/A,#N/A,FALSE,"Tabl. FB500";#N/A,#N/A,FALSE,"Tabl. FS090"}</definedName>
    <definedName name="sasasasa" localSheetId="5" hidden="1">{#N/A,#N/A,FALSE,"Tabl. FB300";#N/A,#N/A,FALSE,"Tabl. FB350";#N/A,#N/A,FALSE,"Tabl. FB400";#N/A,#N/A,FALSE,"Tabl. FB500";#N/A,#N/A,FALSE,"Tabl. FS090"}</definedName>
    <definedName name="sasasasa" localSheetId="6" hidden="1">{#N/A,#N/A,FALSE,"Tabl. FB300";#N/A,#N/A,FALSE,"Tabl. FB350";#N/A,#N/A,FALSE,"Tabl. FB400";#N/A,#N/A,FALSE,"Tabl. FB500";#N/A,#N/A,FALSE,"Tabl. FS090"}</definedName>
    <definedName name="sasasasa" localSheetId="7" hidden="1">{#N/A,#N/A,FALSE,"Tabl. FB300";#N/A,#N/A,FALSE,"Tabl. FB350";#N/A,#N/A,FALSE,"Tabl. FB400";#N/A,#N/A,FALSE,"Tabl. FB500";#N/A,#N/A,FALSE,"Tabl. FS090"}</definedName>
    <definedName name="sasasasa" localSheetId="9" hidden="1">{#N/A,#N/A,FALSE,"Tabl. FB300";#N/A,#N/A,FALSE,"Tabl. FB350";#N/A,#N/A,FALSE,"Tabl. FB400";#N/A,#N/A,FALSE,"Tabl. FB500";#N/A,#N/A,FALSE,"Tabl. FS090"}</definedName>
    <definedName name="sasasasa" localSheetId="10" hidden="1">{#N/A,#N/A,FALSE,"Tabl. FB300";#N/A,#N/A,FALSE,"Tabl. FB350";#N/A,#N/A,FALSE,"Tabl. FB400";#N/A,#N/A,FALSE,"Tabl. FB500";#N/A,#N/A,FALSE,"Tabl. FS090"}</definedName>
    <definedName name="sasasasa" localSheetId="11" hidden="1">{#N/A,#N/A,FALSE,"Tabl. FB300";#N/A,#N/A,FALSE,"Tabl. FB350";#N/A,#N/A,FALSE,"Tabl. FB400";#N/A,#N/A,FALSE,"Tabl. FB500";#N/A,#N/A,FALSE,"Tabl. FS090"}</definedName>
    <definedName name="sasasasa" localSheetId="12" hidden="1">{#N/A,#N/A,FALSE,"Tabl. FB300";#N/A,#N/A,FALSE,"Tabl. FB350";#N/A,#N/A,FALSE,"Tabl. FB400";#N/A,#N/A,FALSE,"Tabl. FB500";#N/A,#N/A,FALSE,"Tabl. FS090"}</definedName>
    <definedName name="sasasasa" localSheetId="13" hidden="1">{#N/A,#N/A,FALSE,"Tabl. FB300";#N/A,#N/A,FALSE,"Tabl. FB350";#N/A,#N/A,FALSE,"Tabl. FB400";#N/A,#N/A,FALSE,"Tabl. FB500";#N/A,#N/A,FALSE,"Tabl. FS090"}</definedName>
    <definedName name="sasasasa" localSheetId="14" hidden="1">{#N/A,#N/A,FALSE,"Tabl. FB300";#N/A,#N/A,FALSE,"Tabl. FB350";#N/A,#N/A,FALSE,"Tabl. FB400";#N/A,#N/A,FALSE,"Tabl. FB500";#N/A,#N/A,FALSE,"Tabl. FS090"}</definedName>
    <definedName name="sasasasa" localSheetId="15" hidden="1">{#N/A,#N/A,FALSE,"Tabl. FB300";#N/A,#N/A,FALSE,"Tabl. FB350";#N/A,#N/A,FALSE,"Tabl. FB400";#N/A,#N/A,FALSE,"Tabl. FB500";#N/A,#N/A,FALSE,"Tabl. FS090"}</definedName>
    <definedName name="sasasasa" localSheetId="20" hidden="1">{#N/A,#N/A,FALSE,"Tabl. FB300";#N/A,#N/A,FALSE,"Tabl. FB350";#N/A,#N/A,FALSE,"Tabl. FB400";#N/A,#N/A,FALSE,"Tabl. FB500";#N/A,#N/A,FALSE,"Tabl. FS090"}</definedName>
    <definedName name="sasasasa" localSheetId="21" hidden="1">{#N/A,#N/A,FALSE,"Tabl. FB300";#N/A,#N/A,FALSE,"Tabl. FB350";#N/A,#N/A,FALSE,"Tabl. FB400";#N/A,#N/A,FALSE,"Tabl. FB500";#N/A,#N/A,FALSE,"Tabl. FS090"}</definedName>
    <definedName name="sasasasa" localSheetId="22" hidden="1">{#N/A,#N/A,FALSE,"Tabl. FB300";#N/A,#N/A,FALSE,"Tabl. FB350";#N/A,#N/A,FALSE,"Tabl. FB400";#N/A,#N/A,FALSE,"Tabl. FB500";#N/A,#N/A,FALSE,"Tabl. FS090"}</definedName>
    <definedName name="sasasasa" localSheetId="23" hidden="1">{#N/A,#N/A,FALSE,"Tabl. FB300";#N/A,#N/A,FALSE,"Tabl. FB350";#N/A,#N/A,FALSE,"Tabl. FB400";#N/A,#N/A,FALSE,"Tabl. FB500";#N/A,#N/A,FALSE,"Tabl. FS090"}</definedName>
    <definedName name="sasasasa" localSheetId="24" hidden="1">{#N/A,#N/A,FALSE,"Tabl. FB300";#N/A,#N/A,FALSE,"Tabl. FB350";#N/A,#N/A,FALSE,"Tabl. FB400";#N/A,#N/A,FALSE,"Tabl. FB500";#N/A,#N/A,FALSE,"Tabl. FS090"}</definedName>
    <definedName name="sasasasa" localSheetId="25" hidden="1">{#N/A,#N/A,FALSE,"Tabl. FB300";#N/A,#N/A,FALSE,"Tabl. FB350";#N/A,#N/A,FALSE,"Tabl. FB400";#N/A,#N/A,FALSE,"Tabl. FB500";#N/A,#N/A,FALSE,"Tabl. FS090"}</definedName>
    <definedName name="sasasasa" localSheetId="26" hidden="1">{#N/A,#N/A,FALSE,"Tabl. FB300";#N/A,#N/A,FALSE,"Tabl. FB350";#N/A,#N/A,FALSE,"Tabl. FB400";#N/A,#N/A,FALSE,"Tabl. FB500";#N/A,#N/A,FALSE,"Tabl. FS090"}</definedName>
    <definedName name="sasasasa" localSheetId="27" hidden="1">{#N/A,#N/A,FALSE,"Tabl. FB300";#N/A,#N/A,FALSE,"Tabl. FB350";#N/A,#N/A,FALSE,"Tabl. FB400";#N/A,#N/A,FALSE,"Tabl. FB500";#N/A,#N/A,FALSE,"Tabl. FS090"}</definedName>
    <definedName name="sasasasa" localSheetId="28" hidden="1">{#N/A,#N/A,FALSE,"Tabl. FB300";#N/A,#N/A,FALSE,"Tabl. FB350";#N/A,#N/A,FALSE,"Tabl. FB400";#N/A,#N/A,FALSE,"Tabl. FB500";#N/A,#N/A,FALSE,"Tabl. FS090"}</definedName>
    <definedName name="sasasasa" localSheetId="29" hidden="1">{#N/A,#N/A,FALSE,"Tabl. FB300";#N/A,#N/A,FALSE,"Tabl. FB350";#N/A,#N/A,FALSE,"Tabl. FB400";#N/A,#N/A,FALSE,"Tabl. FB500";#N/A,#N/A,FALSE,"Tabl. FS090"}</definedName>
    <definedName name="sasasasa" localSheetId="30" hidden="1">{#N/A,#N/A,FALSE,"Tabl. FB300";#N/A,#N/A,FALSE,"Tabl. FB350";#N/A,#N/A,FALSE,"Tabl. FB400";#N/A,#N/A,FALSE,"Tabl. FB500";#N/A,#N/A,FALSE,"Tabl. FS090"}</definedName>
    <definedName name="sasasasa" localSheetId="31" hidden="1">{#N/A,#N/A,FALSE,"Tabl. FB300";#N/A,#N/A,FALSE,"Tabl. FB350";#N/A,#N/A,FALSE,"Tabl. FB400";#N/A,#N/A,FALSE,"Tabl. FB500";#N/A,#N/A,FALSE,"Tabl. FS090"}</definedName>
    <definedName name="sasasasa" localSheetId="32" hidden="1">{#N/A,#N/A,FALSE,"Tabl. FB300";#N/A,#N/A,FALSE,"Tabl. FB350";#N/A,#N/A,FALSE,"Tabl. FB400";#N/A,#N/A,FALSE,"Tabl. FB500";#N/A,#N/A,FALSE,"Tabl. FS090"}</definedName>
    <definedName name="sasasasa" hidden="1">{#N/A,#N/A,FALSE,"Tabl. FB300";#N/A,#N/A,FALSE,"Tabl. FB350";#N/A,#N/A,FALSE,"Tabl. FB400";#N/A,#N/A,FALSE,"Tabl. FB500";#N/A,#N/A,FALSE,"Tabl. FS090"}</definedName>
    <definedName name="SD" localSheetId="3" hidden="1">{#N/A,#N/A,FALSE,"COBERTURAS 30";#N/A,#N/A,FALSE,"COBERTURAS Mês e Acum 31";#N/A,#N/A,FALSE,"COBERTURAS Acum 32"}</definedName>
    <definedName name="SD" localSheetId="5" hidden="1">{#N/A,#N/A,FALSE,"COBERTURAS 30";#N/A,#N/A,FALSE,"COBERTURAS Mês e Acum 31";#N/A,#N/A,FALSE,"COBERTURAS Acum 32"}</definedName>
    <definedName name="SD" localSheetId="6" hidden="1">{#N/A,#N/A,FALSE,"COBERTURAS 30";#N/A,#N/A,FALSE,"COBERTURAS Mês e Acum 31";#N/A,#N/A,FALSE,"COBERTURAS Acum 32"}</definedName>
    <definedName name="SD" localSheetId="7" hidden="1">{#N/A,#N/A,FALSE,"COBERTURAS 30";#N/A,#N/A,FALSE,"COBERTURAS Mês e Acum 31";#N/A,#N/A,FALSE,"COBERTURAS Acum 32"}</definedName>
    <definedName name="SD" localSheetId="9" hidden="1">{#N/A,#N/A,FALSE,"COBERTURAS 30";#N/A,#N/A,FALSE,"COBERTURAS Mês e Acum 31";#N/A,#N/A,FALSE,"COBERTURAS Acum 32"}</definedName>
    <definedName name="SD" localSheetId="10" hidden="1">{#N/A,#N/A,FALSE,"COBERTURAS 30";#N/A,#N/A,FALSE,"COBERTURAS Mês e Acum 31";#N/A,#N/A,FALSE,"COBERTURAS Acum 32"}</definedName>
    <definedName name="SD" localSheetId="11" hidden="1">{#N/A,#N/A,FALSE,"COBERTURAS 30";#N/A,#N/A,FALSE,"COBERTURAS Mês e Acum 31";#N/A,#N/A,FALSE,"COBERTURAS Acum 32"}</definedName>
    <definedName name="SD" localSheetId="12" hidden="1">{#N/A,#N/A,FALSE,"COBERTURAS 30";#N/A,#N/A,FALSE,"COBERTURAS Mês e Acum 31";#N/A,#N/A,FALSE,"COBERTURAS Acum 32"}</definedName>
    <definedName name="SD" localSheetId="13" hidden="1">{#N/A,#N/A,FALSE,"COBERTURAS 30";#N/A,#N/A,FALSE,"COBERTURAS Mês e Acum 31";#N/A,#N/A,FALSE,"COBERTURAS Acum 32"}</definedName>
    <definedName name="SD" localSheetId="14" hidden="1">{#N/A,#N/A,FALSE,"COBERTURAS 30";#N/A,#N/A,FALSE,"COBERTURAS Mês e Acum 31";#N/A,#N/A,FALSE,"COBERTURAS Acum 32"}</definedName>
    <definedName name="SD" localSheetId="15" hidden="1">{#N/A,#N/A,FALSE,"COBERTURAS 30";#N/A,#N/A,FALSE,"COBERTURAS Mês e Acum 31";#N/A,#N/A,FALSE,"COBERTURAS Acum 32"}</definedName>
    <definedName name="SD" localSheetId="20" hidden="1">{#N/A,#N/A,FALSE,"COBERTURAS 30";#N/A,#N/A,FALSE,"COBERTURAS Mês e Acum 31";#N/A,#N/A,FALSE,"COBERTURAS Acum 32"}</definedName>
    <definedName name="SD" localSheetId="21" hidden="1">{#N/A,#N/A,FALSE,"COBERTURAS 30";#N/A,#N/A,FALSE,"COBERTURAS Mês e Acum 31";#N/A,#N/A,FALSE,"COBERTURAS Acum 32"}</definedName>
    <definedName name="SD" localSheetId="22" hidden="1">{#N/A,#N/A,FALSE,"COBERTURAS 30";#N/A,#N/A,FALSE,"COBERTURAS Mês e Acum 31";#N/A,#N/A,FALSE,"COBERTURAS Acum 32"}</definedName>
    <definedName name="SD" localSheetId="23" hidden="1">{#N/A,#N/A,FALSE,"COBERTURAS 30";#N/A,#N/A,FALSE,"COBERTURAS Mês e Acum 31";#N/A,#N/A,FALSE,"COBERTURAS Acum 32"}</definedName>
    <definedName name="SD" localSheetId="24" hidden="1">{#N/A,#N/A,FALSE,"COBERTURAS 30";#N/A,#N/A,FALSE,"COBERTURAS Mês e Acum 31";#N/A,#N/A,FALSE,"COBERTURAS Acum 32"}</definedName>
    <definedName name="SD" localSheetId="25" hidden="1">{#N/A,#N/A,FALSE,"COBERTURAS 30";#N/A,#N/A,FALSE,"COBERTURAS Mês e Acum 31";#N/A,#N/A,FALSE,"COBERTURAS Acum 32"}</definedName>
    <definedName name="SD" localSheetId="26" hidden="1">{#N/A,#N/A,FALSE,"COBERTURAS 30";#N/A,#N/A,FALSE,"COBERTURAS Mês e Acum 31";#N/A,#N/A,FALSE,"COBERTURAS Acum 32"}</definedName>
    <definedName name="SD" localSheetId="27" hidden="1">{#N/A,#N/A,FALSE,"COBERTURAS 30";#N/A,#N/A,FALSE,"COBERTURAS Mês e Acum 31";#N/A,#N/A,FALSE,"COBERTURAS Acum 32"}</definedName>
    <definedName name="SD" localSheetId="28" hidden="1">{#N/A,#N/A,FALSE,"COBERTURAS 30";#N/A,#N/A,FALSE,"COBERTURAS Mês e Acum 31";#N/A,#N/A,FALSE,"COBERTURAS Acum 32"}</definedName>
    <definedName name="SD" localSheetId="29" hidden="1">{#N/A,#N/A,FALSE,"COBERTURAS 30";#N/A,#N/A,FALSE,"COBERTURAS Mês e Acum 31";#N/A,#N/A,FALSE,"COBERTURAS Acum 32"}</definedName>
    <definedName name="SD" localSheetId="30" hidden="1">{#N/A,#N/A,FALSE,"COBERTURAS 30";#N/A,#N/A,FALSE,"COBERTURAS Mês e Acum 31";#N/A,#N/A,FALSE,"COBERTURAS Acum 32"}</definedName>
    <definedName name="SD" localSheetId="31" hidden="1">{#N/A,#N/A,FALSE,"COBERTURAS 30";#N/A,#N/A,FALSE,"COBERTURAS Mês e Acum 31";#N/A,#N/A,FALSE,"COBERTURAS Acum 32"}</definedName>
    <definedName name="SD" localSheetId="32" hidden="1">{#N/A,#N/A,FALSE,"COBERTURAS 30";#N/A,#N/A,FALSE,"COBERTURAS Mês e Acum 31";#N/A,#N/A,FALSE,"COBERTURAS Acum 32"}</definedName>
    <definedName name="SD" hidden="1">{#N/A,#N/A,FALSE,"COBERTURAS 30";#N/A,#N/A,FALSE,"COBERTURAS Mês e Acum 31";#N/A,#N/A,FALSE,"COBERTURAS Acum 32"}</definedName>
    <definedName name="ss" localSheetId="3" hidden="1">{"'RR'!$A$2:$E$81"}</definedName>
    <definedName name="ss" localSheetId="5" hidden="1">{"'RR'!$A$2:$E$81"}</definedName>
    <definedName name="ss" localSheetId="6" hidden="1">{"'RR'!$A$2:$E$81"}</definedName>
    <definedName name="ss" localSheetId="7" hidden="1">{"'RR'!$A$2:$E$81"}</definedName>
    <definedName name="ss" localSheetId="9" hidden="1">{"'RR'!$A$2:$E$81"}</definedName>
    <definedName name="ss" localSheetId="10" hidden="1">{"'RR'!$A$2:$E$81"}</definedName>
    <definedName name="ss" localSheetId="11" hidden="1">{"'RR'!$A$2:$E$81"}</definedName>
    <definedName name="ss" localSheetId="12" hidden="1">{"'RR'!$A$2:$E$81"}</definedName>
    <definedName name="ss" localSheetId="13" hidden="1">{"'RR'!$A$2:$E$81"}</definedName>
    <definedName name="ss" localSheetId="14" hidden="1">{"'RR'!$A$2:$E$81"}</definedName>
    <definedName name="ss" localSheetId="15" hidden="1">{"'RR'!$A$2:$E$81"}</definedName>
    <definedName name="ss" localSheetId="20" hidden="1">{"'RR'!$A$2:$E$81"}</definedName>
    <definedName name="ss" localSheetId="21" hidden="1">{"'RR'!$A$2:$E$81"}</definedName>
    <definedName name="ss" localSheetId="22" hidden="1">{"'RR'!$A$2:$E$81"}</definedName>
    <definedName name="ss" localSheetId="23" hidden="1">{"'RR'!$A$2:$E$81"}</definedName>
    <definedName name="ss" localSheetId="24" hidden="1">{"'RR'!$A$2:$E$81"}</definedName>
    <definedName name="ss" localSheetId="25" hidden="1">{"'RR'!$A$2:$E$81"}</definedName>
    <definedName name="ss" localSheetId="26" hidden="1">{"'RR'!$A$2:$E$81"}</definedName>
    <definedName name="ss" localSheetId="27" hidden="1">{"'RR'!$A$2:$E$81"}</definedName>
    <definedName name="ss" localSheetId="28" hidden="1">{"'RR'!$A$2:$E$81"}</definedName>
    <definedName name="ss" localSheetId="29" hidden="1">{"'RR'!$A$2:$E$81"}</definedName>
    <definedName name="ss" localSheetId="30" hidden="1">{"'RR'!$A$2:$E$81"}</definedName>
    <definedName name="ss" localSheetId="31" hidden="1">{"'RR'!$A$2:$E$81"}</definedName>
    <definedName name="ss" localSheetId="32" hidden="1">{"'RR'!$A$2:$E$81"}</definedName>
    <definedName name="ss" hidden="1">{"'RR'!$A$2:$E$81"}</definedName>
    <definedName name="SSD" localSheetId="3" hidden="1">{#N/A,#N/A,FALSE,"CONSOL. 5";#N/A,#N/A,FALSE,"CONSOL. ACUM. 6";#N/A,#N/A,FALSE,"CAP. EMPREG. 7";#N/A,#N/A,FALSE,"ORIGENS E APLICAÇÕES 9"}</definedName>
    <definedName name="SSD" localSheetId="5" hidden="1">{#N/A,#N/A,FALSE,"CONSOL. 5";#N/A,#N/A,FALSE,"CONSOL. ACUM. 6";#N/A,#N/A,FALSE,"CAP. EMPREG. 7";#N/A,#N/A,FALSE,"ORIGENS E APLICAÇÕES 9"}</definedName>
    <definedName name="SSD" localSheetId="6" hidden="1">{#N/A,#N/A,FALSE,"CONSOL. 5";#N/A,#N/A,FALSE,"CONSOL. ACUM. 6";#N/A,#N/A,FALSE,"CAP. EMPREG. 7";#N/A,#N/A,FALSE,"ORIGENS E APLICAÇÕES 9"}</definedName>
    <definedName name="SSD" localSheetId="7" hidden="1">{#N/A,#N/A,FALSE,"CONSOL. 5";#N/A,#N/A,FALSE,"CONSOL. ACUM. 6";#N/A,#N/A,FALSE,"CAP. EMPREG. 7";#N/A,#N/A,FALSE,"ORIGENS E APLICAÇÕES 9"}</definedName>
    <definedName name="SSD" localSheetId="9" hidden="1">{#N/A,#N/A,FALSE,"CONSOL. 5";#N/A,#N/A,FALSE,"CONSOL. ACUM. 6";#N/A,#N/A,FALSE,"CAP. EMPREG. 7";#N/A,#N/A,FALSE,"ORIGENS E APLICAÇÕES 9"}</definedName>
    <definedName name="SSD" localSheetId="10" hidden="1">{#N/A,#N/A,FALSE,"CONSOL. 5";#N/A,#N/A,FALSE,"CONSOL. ACUM. 6";#N/A,#N/A,FALSE,"CAP. EMPREG. 7";#N/A,#N/A,FALSE,"ORIGENS E APLICAÇÕES 9"}</definedName>
    <definedName name="SSD" localSheetId="11" hidden="1">{#N/A,#N/A,FALSE,"CONSOL. 5";#N/A,#N/A,FALSE,"CONSOL. ACUM. 6";#N/A,#N/A,FALSE,"CAP. EMPREG. 7";#N/A,#N/A,FALSE,"ORIGENS E APLICAÇÕES 9"}</definedName>
    <definedName name="SSD" localSheetId="12" hidden="1">{#N/A,#N/A,FALSE,"CONSOL. 5";#N/A,#N/A,FALSE,"CONSOL. ACUM. 6";#N/A,#N/A,FALSE,"CAP. EMPREG. 7";#N/A,#N/A,FALSE,"ORIGENS E APLICAÇÕES 9"}</definedName>
    <definedName name="SSD" localSheetId="13" hidden="1">{#N/A,#N/A,FALSE,"CONSOL. 5";#N/A,#N/A,FALSE,"CONSOL. ACUM. 6";#N/A,#N/A,FALSE,"CAP. EMPREG. 7";#N/A,#N/A,FALSE,"ORIGENS E APLICAÇÕES 9"}</definedName>
    <definedName name="SSD" localSheetId="14" hidden="1">{#N/A,#N/A,FALSE,"CONSOL. 5";#N/A,#N/A,FALSE,"CONSOL. ACUM. 6";#N/A,#N/A,FALSE,"CAP. EMPREG. 7";#N/A,#N/A,FALSE,"ORIGENS E APLICAÇÕES 9"}</definedName>
    <definedName name="SSD" localSheetId="15" hidden="1">{#N/A,#N/A,FALSE,"CONSOL. 5";#N/A,#N/A,FALSE,"CONSOL. ACUM. 6";#N/A,#N/A,FALSE,"CAP. EMPREG. 7";#N/A,#N/A,FALSE,"ORIGENS E APLICAÇÕES 9"}</definedName>
    <definedName name="SSD" localSheetId="20" hidden="1">{#N/A,#N/A,FALSE,"CONSOL. 5";#N/A,#N/A,FALSE,"CONSOL. ACUM. 6";#N/A,#N/A,FALSE,"CAP. EMPREG. 7";#N/A,#N/A,FALSE,"ORIGENS E APLICAÇÕES 9"}</definedName>
    <definedName name="SSD" localSheetId="21" hidden="1">{#N/A,#N/A,FALSE,"CONSOL. 5";#N/A,#N/A,FALSE,"CONSOL. ACUM. 6";#N/A,#N/A,FALSE,"CAP. EMPREG. 7";#N/A,#N/A,FALSE,"ORIGENS E APLICAÇÕES 9"}</definedName>
    <definedName name="SSD" localSheetId="22" hidden="1">{#N/A,#N/A,FALSE,"CONSOL. 5";#N/A,#N/A,FALSE,"CONSOL. ACUM. 6";#N/A,#N/A,FALSE,"CAP. EMPREG. 7";#N/A,#N/A,FALSE,"ORIGENS E APLICAÇÕES 9"}</definedName>
    <definedName name="SSD" localSheetId="23" hidden="1">{#N/A,#N/A,FALSE,"CONSOL. 5";#N/A,#N/A,FALSE,"CONSOL. ACUM. 6";#N/A,#N/A,FALSE,"CAP. EMPREG. 7";#N/A,#N/A,FALSE,"ORIGENS E APLICAÇÕES 9"}</definedName>
    <definedName name="SSD" localSheetId="24" hidden="1">{#N/A,#N/A,FALSE,"CONSOL. 5";#N/A,#N/A,FALSE,"CONSOL. ACUM. 6";#N/A,#N/A,FALSE,"CAP. EMPREG. 7";#N/A,#N/A,FALSE,"ORIGENS E APLICAÇÕES 9"}</definedName>
    <definedName name="SSD" localSheetId="25" hidden="1">{#N/A,#N/A,FALSE,"CONSOL. 5";#N/A,#N/A,FALSE,"CONSOL. ACUM. 6";#N/A,#N/A,FALSE,"CAP. EMPREG. 7";#N/A,#N/A,FALSE,"ORIGENS E APLICAÇÕES 9"}</definedName>
    <definedName name="SSD" localSheetId="26" hidden="1">{#N/A,#N/A,FALSE,"CONSOL. 5";#N/A,#N/A,FALSE,"CONSOL. ACUM. 6";#N/A,#N/A,FALSE,"CAP. EMPREG. 7";#N/A,#N/A,FALSE,"ORIGENS E APLICAÇÕES 9"}</definedName>
    <definedName name="SSD" localSheetId="27" hidden="1">{#N/A,#N/A,FALSE,"CONSOL. 5";#N/A,#N/A,FALSE,"CONSOL. ACUM. 6";#N/A,#N/A,FALSE,"CAP. EMPREG. 7";#N/A,#N/A,FALSE,"ORIGENS E APLICAÇÕES 9"}</definedName>
    <definedName name="SSD" localSheetId="28" hidden="1">{#N/A,#N/A,FALSE,"CONSOL. 5";#N/A,#N/A,FALSE,"CONSOL. ACUM. 6";#N/A,#N/A,FALSE,"CAP. EMPREG. 7";#N/A,#N/A,FALSE,"ORIGENS E APLICAÇÕES 9"}</definedName>
    <definedName name="SSD" localSheetId="29" hidden="1">{#N/A,#N/A,FALSE,"CONSOL. 5";#N/A,#N/A,FALSE,"CONSOL. ACUM. 6";#N/A,#N/A,FALSE,"CAP. EMPREG. 7";#N/A,#N/A,FALSE,"ORIGENS E APLICAÇÕES 9"}</definedName>
    <definedName name="SSD" localSheetId="30" hidden="1">{#N/A,#N/A,FALSE,"CONSOL. 5";#N/A,#N/A,FALSE,"CONSOL. ACUM. 6";#N/A,#N/A,FALSE,"CAP. EMPREG. 7";#N/A,#N/A,FALSE,"ORIGENS E APLICAÇÕES 9"}</definedName>
    <definedName name="SSD" localSheetId="31" hidden="1">{#N/A,#N/A,FALSE,"CONSOL. 5";#N/A,#N/A,FALSE,"CONSOL. ACUM. 6";#N/A,#N/A,FALSE,"CAP. EMPREG. 7";#N/A,#N/A,FALSE,"ORIGENS E APLICAÇÕES 9"}</definedName>
    <definedName name="SSD" localSheetId="32" hidden="1">{#N/A,#N/A,FALSE,"CONSOL. 5";#N/A,#N/A,FALSE,"CONSOL. ACUM. 6";#N/A,#N/A,FALSE,"CAP. EMPREG. 7";#N/A,#N/A,FALSE,"ORIGENS E APLICAÇÕES 9"}</definedName>
    <definedName name="SSD" hidden="1">{#N/A,#N/A,FALSE,"CONSOL. 5";#N/A,#N/A,FALSE,"CONSOL. ACUM. 6";#N/A,#N/A,FALSE,"CAP. EMPREG. 7";#N/A,#N/A,FALSE,"ORIGENS E APLICAÇÕES 9"}</definedName>
    <definedName name="sssss" hidden="1">[7]COMPPROD!#REF!</definedName>
    <definedName name="Sumário" localSheetId="3" hidden="1">{#N/A,#N/A,FALSE,"SGP";#N/A,#N/A,FALSE,"SGI";#N/A,#N/A,FALSE,"SGC";#N/A,#N/A,FALSE,"SGS";#N/A,#N/A,FALSE,"SGB"}</definedName>
    <definedName name="Sumário" localSheetId="5" hidden="1">{#N/A,#N/A,FALSE,"SGP";#N/A,#N/A,FALSE,"SGI";#N/A,#N/A,FALSE,"SGC";#N/A,#N/A,FALSE,"SGS";#N/A,#N/A,FALSE,"SGB"}</definedName>
    <definedName name="Sumário" localSheetId="6" hidden="1">{#N/A,#N/A,FALSE,"SGP";#N/A,#N/A,FALSE,"SGI";#N/A,#N/A,FALSE,"SGC";#N/A,#N/A,FALSE,"SGS";#N/A,#N/A,FALSE,"SGB"}</definedName>
    <definedName name="Sumário" localSheetId="7" hidden="1">{#N/A,#N/A,FALSE,"SGP";#N/A,#N/A,FALSE,"SGI";#N/A,#N/A,FALSE,"SGC";#N/A,#N/A,FALSE,"SGS";#N/A,#N/A,FALSE,"SGB"}</definedName>
    <definedName name="Sumário" localSheetId="9" hidden="1">{#N/A,#N/A,FALSE,"SGP";#N/A,#N/A,FALSE,"SGI";#N/A,#N/A,FALSE,"SGC";#N/A,#N/A,FALSE,"SGS";#N/A,#N/A,FALSE,"SGB"}</definedName>
    <definedName name="Sumário" localSheetId="10" hidden="1">{#N/A,#N/A,FALSE,"SGP";#N/A,#N/A,FALSE,"SGI";#N/A,#N/A,FALSE,"SGC";#N/A,#N/A,FALSE,"SGS";#N/A,#N/A,FALSE,"SGB"}</definedName>
    <definedName name="Sumário" localSheetId="11" hidden="1">{#N/A,#N/A,FALSE,"SGP";#N/A,#N/A,FALSE,"SGI";#N/A,#N/A,FALSE,"SGC";#N/A,#N/A,FALSE,"SGS";#N/A,#N/A,FALSE,"SGB"}</definedName>
    <definedName name="Sumário" localSheetId="12" hidden="1">{#N/A,#N/A,FALSE,"SGP";#N/A,#N/A,FALSE,"SGI";#N/A,#N/A,FALSE,"SGC";#N/A,#N/A,FALSE,"SGS";#N/A,#N/A,FALSE,"SGB"}</definedName>
    <definedName name="Sumário" localSheetId="13" hidden="1">{#N/A,#N/A,FALSE,"SGP";#N/A,#N/A,FALSE,"SGI";#N/A,#N/A,FALSE,"SGC";#N/A,#N/A,FALSE,"SGS";#N/A,#N/A,FALSE,"SGB"}</definedName>
    <definedName name="Sumário" localSheetId="14" hidden="1">{#N/A,#N/A,FALSE,"SGP";#N/A,#N/A,FALSE,"SGI";#N/A,#N/A,FALSE,"SGC";#N/A,#N/A,FALSE,"SGS";#N/A,#N/A,FALSE,"SGB"}</definedName>
    <definedName name="Sumário" localSheetId="15" hidden="1">{#N/A,#N/A,FALSE,"SGP";#N/A,#N/A,FALSE,"SGI";#N/A,#N/A,FALSE,"SGC";#N/A,#N/A,FALSE,"SGS";#N/A,#N/A,FALSE,"SGB"}</definedName>
    <definedName name="Sumário" localSheetId="20" hidden="1">{#N/A,#N/A,FALSE,"SGP";#N/A,#N/A,FALSE,"SGI";#N/A,#N/A,FALSE,"SGC";#N/A,#N/A,FALSE,"SGS";#N/A,#N/A,FALSE,"SGB"}</definedName>
    <definedName name="Sumário" localSheetId="21" hidden="1">{#N/A,#N/A,FALSE,"SGP";#N/A,#N/A,FALSE,"SGI";#N/A,#N/A,FALSE,"SGC";#N/A,#N/A,FALSE,"SGS";#N/A,#N/A,FALSE,"SGB"}</definedName>
    <definedName name="Sumário" localSheetId="22" hidden="1">{#N/A,#N/A,FALSE,"SGP";#N/A,#N/A,FALSE,"SGI";#N/A,#N/A,FALSE,"SGC";#N/A,#N/A,FALSE,"SGS";#N/A,#N/A,FALSE,"SGB"}</definedName>
    <definedName name="Sumário" localSheetId="23" hidden="1">{#N/A,#N/A,FALSE,"SGP";#N/A,#N/A,FALSE,"SGI";#N/A,#N/A,FALSE,"SGC";#N/A,#N/A,FALSE,"SGS";#N/A,#N/A,FALSE,"SGB"}</definedName>
    <definedName name="Sumário" localSheetId="24" hidden="1">{#N/A,#N/A,FALSE,"SGP";#N/A,#N/A,FALSE,"SGI";#N/A,#N/A,FALSE,"SGC";#N/A,#N/A,FALSE,"SGS";#N/A,#N/A,FALSE,"SGB"}</definedName>
    <definedName name="Sumário" localSheetId="25" hidden="1">{#N/A,#N/A,FALSE,"SGP";#N/A,#N/A,FALSE,"SGI";#N/A,#N/A,FALSE,"SGC";#N/A,#N/A,FALSE,"SGS";#N/A,#N/A,FALSE,"SGB"}</definedName>
    <definedName name="Sumário" localSheetId="26" hidden="1">{#N/A,#N/A,FALSE,"SGP";#N/A,#N/A,FALSE,"SGI";#N/A,#N/A,FALSE,"SGC";#N/A,#N/A,FALSE,"SGS";#N/A,#N/A,FALSE,"SGB"}</definedName>
    <definedName name="Sumário" localSheetId="27" hidden="1">{#N/A,#N/A,FALSE,"SGP";#N/A,#N/A,FALSE,"SGI";#N/A,#N/A,FALSE,"SGC";#N/A,#N/A,FALSE,"SGS";#N/A,#N/A,FALSE,"SGB"}</definedName>
    <definedName name="Sumário" localSheetId="28" hidden="1">{#N/A,#N/A,FALSE,"SGP";#N/A,#N/A,FALSE,"SGI";#N/A,#N/A,FALSE,"SGC";#N/A,#N/A,FALSE,"SGS";#N/A,#N/A,FALSE,"SGB"}</definedName>
    <definedName name="Sumário" localSheetId="29" hidden="1">{#N/A,#N/A,FALSE,"SGP";#N/A,#N/A,FALSE,"SGI";#N/A,#N/A,FALSE,"SGC";#N/A,#N/A,FALSE,"SGS";#N/A,#N/A,FALSE,"SGB"}</definedName>
    <definedName name="Sumário" localSheetId="30" hidden="1">{#N/A,#N/A,FALSE,"SGP";#N/A,#N/A,FALSE,"SGI";#N/A,#N/A,FALSE,"SGC";#N/A,#N/A,FALSE,"SGS";#N/A,#N/A,FALSE,"SGB"}</definedName>
    <definedName name="Sumário" localSheetId="31" hidden="1">{#N/A,#N/A,FALSE,"SGP";#N/A,#N/A,FALSE,"SGI";#N/A,#N/A,FALSE,"SGC";#N/A,#N/A,FALSE,"SGS";#N/A,#N/A,FALSE,"SGB"}</definedName>
    <definedName name="Sumário" localSheetId="32" hidden="1">{#N/A,#N/A,FALSE,"SGP";#N/A,#N/A,FALSE,"SGI";#N/A,#N/A,FALSE,"SGC";#N/A,#N/A,FALSE,"SGS";#N/A,#N/A,FALSE,"SGB"}</definedName>
    <definedName name="Sumário" hidden="1">{#N/A,#N/A,FALSE,"SGP";#N/A,#N/A,FALSE,"SGI";#N/A,#N/A,FALSE,"SGC";#N/A,#N/A,FALSE,"SGS";#N/A,#N/A,FALSE,"SGB"}</definedName>
    <definedName name="tab" localSheetId="3" hidden="1">{#N/A,#N/A,FALSE,"Tabl. G1";#N/A,#N/A,FALSE,"Tabl. G2"}</definedName>
    <definedName name="tab" localSheetId="5" hidden="1">{#N/A,#N/A,FALSE,"Tabl. G1";#N/A,#N/A,FALSE,"Tabl. G2"}</definedName>
    <definedName name="tab" localSheetId="6" hidden="1">{#N/A,#N/A,FALSE,"Tabl. G1";#N/A,#N/A,FALSE,"Tabl. G2"}</definedName>
    <definedName name="tab" localSheetId="7" hidden="1">{#N/A,#N/A,FALSE,"Tabl. G1";#N/A,#N/A,FALSE,"Tabl. G2"}</definedName>
    <definedName name="tab" localSheetId="9" hidden="1">{#N/A,#N/A,FALSE,"Tabl. G1";#N/A,#N/A,FALSE,"Tabl. G2"}</definedName>
    <definedName name="tab" localSheetId="10" hidden="1">{#N/A,#N/A,FALSE,"Tabl. G1";#N/A,#N/A,FALSE,"Tabl. G2"}</definedName>
    <definedName name="tab" localSheetId="11" hidden="1">{#N/A,#N/A,FALSE,"Tabl. G1";#N/A,#N/A,FALSE,"Tabl. G2"}</definedName>
    <definedName name="tab" localSheetId="12" hidden="1">{#N/A,#N/A,FALSE,"Tabl. G1";#N/A,#N/A,FALSE,"Tabl. G2"}</definedName>
    <definedName name="tab" localSheetId="13" hidden="1">{#N/A,#N/A,FALSE,"Tabl. G1";#N/A,#N/A,FALSE,"Tabl. G2"}</definedName>
    <definedName name="tab" localSheetId="14" hidden="1">{#N/A,#N/A,FALSE,"Tabl. G1";#N/A,#N/A,FALSE,"Tabl. G2"}</definedName>
    <definedName name="tab" localSheetId="15" hidden="1">{#N/A,#N/A,FALSE,"Tabl. G1";#N/A,#N/A,FALSE,"Tabl. G2"}</definedName>
    <definedName name="tab" localSheetId="20" hidden="1">{#N/A,#N/A,FALSE,"Tabl. G1";#N/A,#N/A,FALSE,"Tabl. G2"}</definedName>
    <definedName name="tab" localSheetId="21" hidden="1">{#N/A,#N/A,FALSE,"Tabl. G1";#N/A,#N/A,FALSE,"Tabl. G2"}</definedName>
    <definedName name="tab" localSheetId="22" hidden="1">{#N/A,#N/A,FALSE,"Tabl. G1";#N/A,#N/A,FALSE,"Tabl. G2"}</definedName>
    <definedName name="tab" localSheetId="23" hidden="1">{#N/A,#N/A,FALSE,"Tabl. G1";#N/A,#N/A,FALSE,"Tabl. G2"}</definedName>
    <definedName name="tab" localSheetId="24" hidden="1">{#N/A,#N/A,FALSE,"Tabl. G1";#N/A,#N/A,FALSE,"Tabl. G2"}</definedName>
    <definedName name="tab" localSheetId="25" hidden="1">{#N/A,#N/A,FALSE,"Tabl. G1";#N/A,#N/A,FALSE,"Tabl. G2"}</definedName>
    <definedName name="tab" localSheetId="26" hidden="1">{#N/A,#N/A,FALSE,"Tabl. G1";#N/A,#N/A,FALSE,"Tabl. G2"}</definedName>
    <definedName name="tab" localSheetId="27" hidden="1">{#N/A,#N/A,FALSE,"Tabl. G1";#N/A,#N/A,FALSE,"Tabl. G2"}</definedName>
    <definedName name="tab" localSheetId="28" hidden="1">{#N/A,#N/A,FALSE,"Tabl. G1";#N/A,#N/A,FALSE,"Tabl. G2"}</definedName>
    <definedName name="tab" localSheetId="29" hidden="1">{#N/A,#N/A,FALSE,"Tabl. G1";#N/A,#N/A,FALSE,"Tabl. G2"}</definedName>
    <definedName name="tab" localSheetId="30" hidden="1">{#N/A,#N/A,FALSE,"Tabl. G1";#N/A,#N/A,FALSE,"Tabl. G2"}</definedName>
    <definedName name="tab" localSheetId="31" hidden="1">{#N/A,#N/A,FALSE,"Tabl. G1";#N/A,#N/A,FALSE,"Tabl. G2"}</definedName>
    <definedName name="tab" localSheetId="32" hidden="1">{#N/A,#N/A,FALSE,"Tabl. G1";#N/A,#N/A,FALSE,"Tabl. G2"}</definedName>
    <definedName name="tab" hidden="1">{#N/A,#N/A,FALSE,"Tabl. G1";#N/A,#N/A,FALSE,"Tabl. G2"}</definedName>
    <definedName name="TABL00" localSheetId="3" hidden="1">{#N/A,#N/A,FALSE,"Tabl. D1";#N/A,#N/A,FALSE,"Tabl. D1 b";#N/A,#N/A,FALSE,"Tabl. D2";#N/A,#N/A,FALSE,"Tabl. D2 b";#N/A,#N/A,FALSE,"Tabl. D3";#N/A,#N/A,FALSE,"Tabl. D4";#N/A,#N/A,FALSE,"Tabl. D5"}</definedName>
    <definedName name="TABL00" localSheetId="5" hidden="1">{#N/A,#N/A,FALSE,"Tabl. D1";#N/A,#N/A,FALSE,"Tabl. D1 b";#N/A,#N/A,FALSE,"Tabl. D2";#N/A,#N/A,FALSE,"Tabl. D2 b";#N/A,#N/A,FALSE,"Tabl. D3";#N/A,#N/A,FALSE,"Tabl. D4";#N/A,#N/A,FALSE,"Tabl. D5"}</definedName>
    <definedName name="TABL00" localSheetId="6" hidden="1">{#N/A,#N/A,FALSE,"Tabl. D1";#N/A,#N/A,FALSE,"Tabl. D1 b";#N/A,#N/A,FALSE,"Tabl. D2";#N/A,#N/A,FALSE,"Tabl. D2 b";#N/A,#N/A,FALSE,"Tabl. D3";#N/A,#N/A,FALSE,"Tabl. D4";#N/A,#N/A,FALSE,"Tabl. D5"}</definedName>
    <definedName name="TABL00" localSheetId="7" hidden="1">{#N/A,#N/A,FALSE,"Tabl. D1";#N/A,#N/A,FALSE,"Tabl. D1 b";#N/A,#N/A,FALSE,"Tabl. D2";#N/A,#N/A,FALSE,"Tabl. D2 b";#N/A,#N/A,FALSE,"Tabl. D3";#N/A,#N/A,FALSE,"Tabl. D4";#N/A,#N/A,FALSE,"Tabl. D5"}</definedName>
    <definedName name="TABL00" localSheetId="9" hidden="1">{#N/A,#N/A,FALSE,"Tabl. D1";#N/A,#N/A,FALSE,"Tabl. D1 b";#N/A,#N/A,FALSE,"Tabl. D2";#N/A,#N/A,FALSE,"Tabl. D2 b";#N/A,#N/A,FALSE,"Tabl. D3";#N/A,#N/A,FALSE,"Tabl. D4";#N/A,#N/A,FALSE,"Tabl. D5"}</definedName>
    <definedName name="TABL00" localSheetId="10" hidden="1">{#N/A,#N/A,FALSE,"Tabl. D1";#N/A,#N/A,FALSE,"Tabl. D1 b";#N/A,#N/A,FALSE,"Tabl. D2";#N/A,#N/A,FALSE,"Tabl. D2 b";#N/A,#N/A,FALSE,"Tabl. D3";#N/A,#N/A,FALSE,"Tabl. D4";#N/A,#N/A,FALSE,"Tabl. D5"}</definedName>
    <definedName name="TABL00" localSheetId="11" hidden="1">{#N/A,#N/A,FALSE,"Tabl. D1";#N/A,#N/A,FALSE,"Tabl. D1 b";#N/A,#N/A,FALSE,"Tabl. D2";#N/A,#N/A,FALSE,"Tabl. D2 b";#N/A,#N/A,FALSE,"Tabl. D3";#N/A,#N/A,FALSE,"Tabl. D4";#N/A,#N/A,FALSE,"Tabl. D5"}</definedName>
    <definedName name="TABL00" localSheetId="12" hidden="1">{#N/A,#N/A,FALSE,"Tabl. D1";#N/A,#N/A,FALSE,"Tabl. D1 b";#N/A,#N/A,FALSE,"Tabl. D2";#N/A,#N/A,FALSE,"Tabl. D2 b";#N/A,#N/A,FALSE,"Tabl. D3";#N/A,#N/A,FALSE,"Tabl. D4";#N/A,#N/A,FALSE,"Tabl. D5"}</definedName>
    <definedName name="TABL00" localSheetId="13" hidden="1">{#N/A,#N/A,FALSE,"Tabl. D1";#N/A,#N/A,FALSE,"Tabl. D1 b";#N/A,#N/A,FALSE,"Tabl. D2";#N/A,#N/A,FALSE,"Tabl. D2 b";#N/A,#N/A,FALSE,"Tabl. D3";#N/A,#N/A,FALSE,"Tabl. D4";#N/A,#N/A,FALSE,"Tabl. D5"}</definedName>
    <definedName name="TABL00" localSheetId="14" hidden="1">{#N/A,#N/A,FALSE,"Tabl. D1";#N/A,#N/A,FALSE,"Tabl. D1 b";#N/A,#N/A,FALSE,"Tabl. D2";#N/A,#N/A,FALSE,"Tabl. D2 b";#N/A,#N/A,FALSE,"Tabl. D3";#N/A,#N/A,FALSE,"Tabl. D4";#N/A,#N/A,FALSE,"Tabl. D5"}</definedName>
    <definedName name="TABL00" localSheetId="15" hidden="1">{#N/A,#N/A,FALSE,"Tabl. D1";#N/A,#N/A,FALSE,"Tabl. D1 b";#N/A,#N/A,FALSE,"Tabl. D2";#N/A,#N/A,FALSE,"Tabl. D2 b";#N/A,#N/A,FALSE,"Tabl. D3";#N/A,#N/A,FALSE,"Tabl. D4";#N/A,#N/A,FALSE,"Tabl. D5"}</definedName>
    <definedName name="TABL00" localSheetId="20" hidden="1">{#N/A,#N/A,FALSE,"Tabl. D1";#N/A,#N/A,FALSE,"Tabl. D1 b";#N/A,#N/A,FALSE,"Tabl. D2";#N/A,#N/A,FALSE,"Tabl. D2 b";#N/A,#N/A,FALSE,"Tabl. D3";#N/A,#N/A,FALSE,"Tabl. D4";#N/A,#N/A,FALSE,"Tabl. D5"}</definedName>
    <definedName name="TABL00" localSheetId="21" hidden="1">{#N/A,#N/A,FALSE,"Tabl. D1";#N/A,#N/A,FALSE,"Tabl. D1 b";#N/A,#N/A,FALSE,"Tabl. D2";#N/A,#N/A,FALSE,"Tabl. D2 b";#N/A,#N/A,FALSE,"Tabl. D3";#N/A,#N/A,FALSE,"Tabl. D4";#N/A,#N/A,FALSE,"Tabl. D5"}</definedName>
    <definedName name="TABL00" localSheetId="22" hidden="1">{#N/A,#N/A,FALSE,"Tabl. D1";#N/A,#N/A,FALSE,"Tabl. D1 b";#N/A,#N/A,FALSE,"Tabl. D2";#N/A,#N/A,FALSE,"Tabl. D2 b";#N/A,#N/A,FALSE,"Tabl. D3";#N/A,#N/A,FALSE,"Tabl. D4";#N/A,#N/A,FALSE,"Tabl. D5"}</definedName>
    <definedName name="TABL00" localSheetId="23" hidden="1">{#N/A,#N/A,FALSE,"Tabl. D1";#N/A,#N/A,FALSE,"Tabl. D1 b";#N/A,#N/A,FALSE,"Tabl. D2";#N/A,#N/A,FALSE,"Tabl. D2 b";#N/A,#N/A,FALSE,"Tabl. D3";#N/A,#N/A,FALSE,"Tabl. D4";#N/A,#N/A,FALSE,"Tabl. D5"}</definedName>
    <definedName name="TABL00" localSheetId="24" hidden="1">{#N/A,#N/A,FALSE,"Tabl. D1";#N/A,#N/A,FALSE,"Tabl. D1 b";#N/A,#N/A,FALSE,"Tabl. D2";#N/A,#N/A,FALSE,"Tabl. D2 b";#N/A,#N/A,FALSE,"Tabl. D3";#N/A,#N/A,FALSE,"Tabl. D4";#N/A,#N/A,FALSE,"Tabl. D5"}</definedName>
    <definedName name="TABL00" localSheetId="25" hidden="1">{#N/A,#N/A,FALSE,"Tabl. D1";#N/A,#N/A,FALSE,"Tabl. D1 b";#N/A,#N/A,FALSE,"Tabl. D2";#N/A,#N/A,FALSE,"Tabl. D2 b";#N/A,#N/A,FALSE,"Tabl. D3";#N/A,#N/A,FALSE,"Tabl. D4";#N/A,#N/A,FALSE,"Tabl. D5"}</definedName>
    <definedName name="TABL00" localSheetId="26" hidden="1">{#N/A,#N/A,FALSE,"Tabl. D1";#N/A,#N/A,FALSE,"Tabl. D1 b";#N/A,#N/A,FALSE,"Tabl. D2";#N/A,#N/A,FALSE,"Tabl. D2 b";#N/A,#N/A,FALSE,"Tabl. D3";#N/A,#N/A,FALSE,"Tabl. D4";#N/A,#N/A,FALSE,"Tabl. D5"}</definedName>
    <definedName name="TABL00" localSheetId="27" hidden="1">{#N/A,#N/A,FALSE,"Tabl. D1";#N/A,#N/A,FALSE,"Tabl. D1 b";#N/A,#N/A,FALSE,"Tabl. D2";#N/A,#N/A,FALSE,"Tabl. D2 b";#N/A,#N/A,FALSE,"Tabl. D3";#N/A,#N/A,FALSE,"Tabl. D4";#N/A,#N/A,FALSE,"Tabl. D5"}</definedName>
    <definedName name="TABL00" localSheetId="28" hidden="1">{#N/A,#N/A,FALSE,"Tabl. D1";#N/A,#N/A,FALSE,"Tabl. D1 b";#N/A,#N/A,FALSE,"Tabl. D2";#N/A,#N/A,FALSE,"Tabl. D2 b";#N/A,#N/A,FALSE,"Tabl. D3";#N/A,#N/A,FALSE,"Tabl. D4";#N/A,#N/A,FALSE,"Tabl. D5"}</definedName>
    <definedName name="TABL00" localSheetId="29" hidden="1">{#N/A,#N/A,FALSE,"Tabl. D1";#N/A,#N/A,FALSE,"Tabl. D1 b";#N/A,#N/A,FALSE,"Tabl. D2";#N/A,#N/A,FALSE,"Tabl. D2 b";#N/A,#N/A,FALSE,"Tabl. D3";#N/A,#N/A,FALSE,"Tabl. D4";#N/A,#N/A,FALSE,"Tabl. D5"}</definedName>
    <definedName name="TABL00" localSheetId="30" hidden="1">{#N/A,#N/A,FALSE,"Tabl. D1";#N/A,#N/A,FALSE,"Tabl. D1 b";#N/A,#N/A,FALSE,"Tabl. D2";#N/A,#N/A,FALSE,"Tabl. D2 b";#N/A,#N/A,FALSE,"Tabl. D3";#N/A,#N/A,FALSE,"Tabl. D4";#N/A,#N/A,FALSE,"Tabl. D5"}</definedName>
    <definedName name="TABL00" localSheetId="31" hidden="1">{#N/A,#N/A,FALSE,"Tabl. D1";#N/A,#N/A,FALSE,"Tabl. D1 b";#N/A,#N/A,FALSE,"Tabl. D2";#N/A,#N/A,FALSE,"Tabl. D2 b";#N/A,#N/A,FALSE,"Tabl. D3";#N/A,#N/A,FALSE,"Tabl. D4";#N/A,#N/A,FALSE,"Tabl. D5"}</definedName>
    <definedName name="TABL00" localSheetId="32" hidden="1">{#N/A,#N/A,FALSE,"Tabl. D1";#N/A,#N/A,FALSE,"Tabl. D1 b";#N/A,#N/A,FALSE,"Tabl. D2";#N/A,#N/A,FALSE,"Tabl. D2 b";#N/A,#N/A,FALSE,"Tabl. D3";#N/A,#N/A,FALSE,"Tabl. D4";#N/A,#N/A,FALSE,"Tabl. D5"}</definedName>
    <definedName name="TABL00" hidden="1">{#N/A,#N/A,FALSE,"Tabl. D1";#N/A,#N/A,FALSE,"Tabl. D1 b";#N/A,#N/A,FALSE,"Tabl. D2";#N/A,#N/A,FALSE,"Tabl. D2 b";#N/A,#N/A,FALSE,"Tabl. D3";#N/A,#N/A,FALSE,"Tabl. D4";#N/A,#N/A,FALSE,"Tabl. D5"}</definedName>
    <definedName name="tableé" localSheetId="3" hidden="1">{#N/A,#N/A,FALSE,"Tabl. G1";#N/A,#N/A,FALSE,"Tabl. G2"}</definedName>
    <definedName name="tableé" localSheetId="5" hidden="1">{#N/A,#N/A,FALSE,"Tabl. G1";#N/A,#N/A,FALSE,"Tabl. G2"}</definedName>
    <definedName name="tableé" localSheetId="6" hidden="1">{#N/A,#N/A,FALSE,"Tabl. G1";#N/A,#N/A,FALSE,"Tabl. G2"}</definedName>
    <definedName name="tableé" localSheetId="7" hidden="1">{#N/A,#N/A,FALSE,"Tabl. G1";#N/A,#N/A,FALSE,"Tabl. G2"}</definedName>
    <definedName name="tableé" localSheetId="9" hidden="1">{#N/A,#N/A,FALSE,"Tabl. G1";#N/A,#N/A,FALSE,"Tabl. G2"}</definedName>
    <definedName name="tableé" localSheetId="10" hidden="1">{#N/A,#N/A,FALSE,"Tabl. G1";#N/A,#N/A,FALSE,"Tabl. G2"}</definedName>
    <definedName name="tableé" localSheetId="11" hidden="1">{#N/A,#N/A,FALSE,"Tabl. G1";#N/A,#N/A,FALSE,"Tabl. G2"}</definedName>
    <definedName name="tableé" localSheetId="12" hidden="1">{#N/A,#N/A,FALSE,"Tabl. G1";#N/A,#N/A,FALSE,"Tabl. G2"}</definedName>
    <definedName name="tableé" localSheetId="13" hidden="1">{#N/A,#N/A,FALSE,"Tabl. G1";#N/A,#N/A,FALSE,"Tabl. G2"}</definedName>
    <definedName name="tableé" localSheetId="14" hidden="1">{#N/A,#N/A,FALSE,"Tabl. G1";#N/A,#N/A,FALSE,"Tabl. G2"}</definedName>
    <definedName name="tableé" localSheetId="15" hidden="1">{#N/A,#N/A,FALSE,"Tabl. G1";#N/A,#N/A,FALSE,"Tabl. G2"}</definedName>
    <definedName name="tableé" localSheetId="20" hidden="1">{#N/A,#N/A,FALSE,"Tabl. G1";#N/A,#N/A,FALSE,"Tabl. G2"}</definedName>
    <definedName name="tableé" localSheetId="21" hidden="1">{#N/A,#N/A,FALSE,"Tabl. G1";#N/A,#N/A,FALSE,"Tabl. G2"}</definedName>
    <definedName name="tableé" localSheetId="22" hidden="1">{#N/A,#N/A,FALSE,"Tabl. G1";#N/A,#N/A,FALSE,"Tabl. G2"}</definedName>
    <definedName name="tableé" localSheetId="23" hidden="1">{#N/A,#N/A,FALSE,"Tabl. G1";#N/A,#N/A,FALSE,"Tabl. G2"}</definedName>
    <definedName name="tableé" localSheetId="24" hidden="1">{#N/A,#N/A,FALSE,"Tabl. G1";#N/A,#N/A,FALSE,"Tabl. G2"}</definedName>
    <definedName name="tableé" localSheetId="25" hidden="1">{#N/A,#N/A,FALSE,"Tabl. G1";#N/A,#N/A,FALSE,"Tabl. G2"}</definedName>
    <definedName name="tableé" localSheetId="26" hidden="1">{#N/A,#N/A,FALSE,"Tabl. G1";#N/A,#N/A,FALSE,"Tabl. G2"}</definedName>
    <definedName name="tableé" localSheetId="27" hidden="1">{#N/A,#N/A,FALSE,"Tabl. G1";#N/A,#N/A,FALSE,"Tabl. G2"}</definedName>
    <definedName name="tableé" localSheetId="28" hidden="1">{#N/A,#N/A,FALSE,"Tabl. G1";#N/A,#N/A,FALSE,"Tabl. G2"}</definedName>
    <definedName name="tableé" localSheetId="29" hidden="1">{#N/A,#N/A,FALSE,"Tabl. G1";#N/A,#N/A,FALSE,"Tabl. G2"}</definedName>
    <definedName name="tableé" localSheetId="30" hidden="1">{#N/A,#N/A,FALSE,"Tabl. G1";#N/A,#N/A,FALSE,"Tabl. G2"}</definedName>
    <definedName name="tableé" localSheetId="31" hidden="1">{#N/A,#N/A,FALSE,"Tabl. G1";#N/A,#N/A,FALSE,"Tabl. G2"}</definedName>
    <definedName name="tableé" localSheetId="32" hidden="1">{#N/A,#N/A,FALSE,"Tabl. G1";#N/A,#N/A,FALSE,"Tabl. G2"}</definedName>
    <definedName name="tableé" hidden="1">{#N/A,#N/A,FALSE,"Tabl. G1";#N/A,#N/A,FALSE,"Tabl. G2"}</definedName>
    <definedName name="TESTE" localSheetId="3" hidden="1">{#N/A,#N/A,FALSE,"O&amp;I Worksheet"}</definedName>
    <definedName name="TESTE" localSheetId="5" hidden="1">{#N/A,#N/A,FALSE,"O&amp;I Worksheet"}</definedName>
    <definedName name="TESTE" localSheetId="6" hidden="1">{#N/A,#N/A,FALSE,"O&amp;I Worksheet"}</definedName>
    <definedName name="TESTE" localSheetId="7" hidden="1">{#N/A,#N/A,FALSE,"O&amp;I Worksheet"}</definedName>
    <definedName name="TESTE" localSheetId="9" hidden="1">{#N/A,#N/A,FALSE,"O&amp;I Worksheet"}</definedName>
    <definedName name="TESTE" localSheetId="10" hidden="1">{#N/A,#N/A,FALSE,"O&amp;I Worksheet"}</definedName>
    <definedName name="TESTE" localSheetId="11" hidden="1">{#N/A,#N/A,FALSE,"O&amp;I Worksheet"}</definedName>
    <definedName name="TESTE" localSheetId="12" hidden="1">{#N/A,#N/A,FALSE,"O&amp;I Worksheet"}</definedName>
    <definedName name="TESTE" localSheetId="13" hidden="1">{#N/A,#N/A,FALSE,"O&amp;I Worksheet"}</definedName>
    <definedName name="TESTE" localSheetId="14" hidden="1">{#N/A,#N/A,FALSE,"O&amp;I Worksheet"}</definedName>
    <definedName name="TESTE" localSheetId="15" hidden="1">{#N/A,#N/A,FALSE,"O&amp;I Worksheet"}</definedName>
    <definedName name="TESTE" localSheetId="20" hidden="1">{#N/A,#N/A,FALSE,"O&amp;I Worksheet"}</definedName>
    <definedName name="TESTE" localSheetId="21" hidden="1">{#N/A,#N/A,FALSE,"O&amp;I Worksheet"}</definedName>
    <definedName name="TESTE" localSheetId="22" hidden="1">{#N/A,#N/A,FALSE,"O&amp;I Worksheet"}</definedName>
    <definedName name="TESTE" localSheetId="23" hidden="1">{#N/A,#N/A,FALSE,"O&amp;I Worksheet"}</definedName>
    <definedName name="TESTE" localSheetId="24" hidden="1">{#N/A,#N/A,FALSE,"O&amp;I Worksheet"}</definedName>
    <definedName name="TESTE" localSheetId="25" hidden="1">{#N/A,#N/A,FALSE,"O&amp;I Worksheet"}</definedName>
    <definedName name="TESTE" localSheetId="26" hidden="1">{#N/A,#N/A,FALSE,"O&amp;I Worksheet"}</definedName>
    <definedName name="TESTE" localSheetId="27" hidden="1">{#N/A,#N/A,FALSE,"O&amp;I Worksheet"}</definedName>
    <definedName name="TESTE" localSheetId="28" hidden="1">{#N/A,#N/A,FALSE,"O&amp;I Worksheet"}</definedName>
    <definedName name="TESTE" localSheetId="29" hidden="1">{#N/A,#N/A,FALSE,"O&amp;I Worksheet"}</definedName>
    <definedName name="TESTE" localSheetId="30" hidden="1">{#N/A,#N/A,FALSE,"O&amp;I Worksheet"}</definedName>
    <definedName name="TESTE" localSheetId="31" hidden="1">{#N/A,#N/A,FALSE,"O&amp;I Worksheet"}</definedName>
    <definedName name="TESTE" localSheetId="32" hidden="1">{#N/A,#N/A,FALSE,"O&amp;I Worksheet"}</definedName>
    <definedName name="TESTE" hidden="1">{#N/A,#N/A,FALSE,"O&amp;I Worksheet"}</definedName>
    <definedName name="tttttt" localSheetId="3" hidden="1">{#N/A,#N/A,FALSE,"Tabl. G1";#N/A,#N/A,FALSE,"Tabl. G2"}</definedName>
    <definedName name="tttttt" localSheetId="5" hidden="1">{#N/A,#N/A,FALSE,"Tabl. G1";#N/A,#N/A,FALSE,"Tabl. G2"}</definedName>
    <definedName name="tttttt" localSheetId="6" hidden="1">{#N/A,#N/A,FALSE,"Tabl. G1";#N/A,#N/A,FALSE,"Tabl. G2"}</definedName>
    <definedName name="tttttt" localSheetId="7" hidden="1">{#N/A,#N/A,FALSE,"Tabl. G1";#N/A,#N/A,FALSE,"Tabl. G2"}</definedName>
    <definedName name="tttttt" localSheetId="9" hidden="1">{#N/A,#N/A,FALSE,"Tabl. G1";#N/A,#N/A,FALSE,"Tabl. G2"}</definedName>
    <definedName name="tttttt" localSheetId="10" hidden="1">{#N/A,#N/A,FALSE,"Tabl. G1";#N/A,#N/A,FALSE,"Tabl. G2"}</definedName>
    <definedName name="tttttt" localSheetId="11" hidden="1">{#N/A,#N/A,FALSE,"Tabl. G1";#N/A,#N/A,FALSE,"Tabl. G2"}</definedName>
    <definedName name="tttttt" localSheetId="12" hidden="1">{#N/A,#N/A,FALSE,"Tabl. G1";#N/A,#N/A,FALSE,"Tabl. G2"}</definedName>
    <definedName name="tttttt" localSheetId="13" hidden="1">{#N/A,#N/A,FALSE,"Tabl. G1";#N/A,#N/A,FALSE,"Tabl. G2"}</definedName>
    <definedName name="tttttt" localSheetId="14" hidden="1">{#N/A,#N/A,FALSE,"Tabl. G1";#N/A,#N/A,FALSE,"Tabl. G2"}</definedName>
    <definedName name="tttttt" localSheetId="15" hidden="1">{#N/A,#N/A,FALSE,"Tabl. G1";#N/A,#N/A,FALSE,"Tabl. G2"}</definedName>
    <definedName name="tttttt" localSheetId="20" hidden="1">{#N/A,#N/A,FALSE,"Tabl. G1";#N/A,#N/A,FALSE,"Tabl. G2"}</definedName>
    <definedName name="tttttt" localSheetId="21" hidden="1">{#N/A,#N/A,FALSE,"Tabl. G1";#N/A,#N/A,FALSE,"Tabl. G2"}</definedName>
    <definedName name="tttttt" localSheetId="22" hidden="1">{#N/A,#N/A,FALSE,"Tabl. G1";#N/A,#N/A,FALSE,"Tabl. G2"}</definedName>
    <definedName name="tttttt" localSheetId="23" hidden="1">{#N/A,#N/A,FALSE,"Tabl. G1";#N/A,#N/A,FALSE,"Tabl. G2"}</definedName>
    <definedName name="tttttt" localSheetId="24" hidden="1">{#N/A,#N/A,FALSE,"Tabl. G1";#N/A,#N/A,FALSE,"Tabl. G2"}</definedName>
    <definedName name="tttttt" localSheetId="25" hidden="1">{#N/A,#N/A,FALSE,"Tabl. G1";#N/A,#N/A,FALSE,"Tabl. G2"}</definedName>
    <definedName name="tttttt" localSheetId="26" hidden="1">{#N/A,#N/A,FALSE,"Tabl. G1";#N/A,#N/A,FALSE,"Tabl. G2"}</definedName>
    <definedName name="tttttt" localSheetId="27" hidden="1">{#N/A,#N/A,FALSE,"Tabl. G1";#N/A,#N/A,FALSE,"Tabl. G2"}</definedName>
    <definedName name="tttttt" localSheetId="28" hidden="1">{#N/A,#N/A,FALSE,"Tabl. G1";#N/A,#N/A,FALSE,"Tabl. G2"}</definedName>
    <definedName name="tttttt" localSheetId="29" hidden="1">{#N/A,#N/A,FALSE,"Tabl. G1";#N/A,#N/A,FALSE,"Tabl. G2"}</definedName>
    <definedName name="tttttt" localSheetId="30" hidden="1">{#N/A,#N/A,FALSE,"Tabl. G1";#N/A,#N/A,FALSE,"Tabl. G2"}</definedName>
    <definedName name="tttttt" localSheetId="31" hidden="1">{#N/A,#N/A,FALSE,"Tabl. G1";#N/A,#N/A,FALSE,"Tabl. G2"}</definedName>
    <definedName name="tttttt" localSheetId="32" hidden="1">{#N/A,#N/A,FALSE,"Tabl. G1";#N/A,#N/A,FALSE,"Tabl. G2"}</definedName>
    <definedName name="tttttt" hidden="1">{#N/A,#N/A,FALSE,"Tabl. G1";#N/A,#N/A,FALSE,"Tabl. G2"}</definedName>
    <definedName name="vale" localSheetId="3" hidden="1">{#N/A,#N/A,FALSE,"Tabl. FB300";#N/A,#N/A,FALSE,"Tabl. FB350";#N/A,#N/A,FALSE,"Tabl. FB400";#N/A,#N/A,FALSE,"Tabl. FB500";#N/A,#N/A,FALSE,"Tabl. FS090"}</definedName>
    <definedName name="vale" localSheetId="5" hidden="1">{#N/A,#N/A,FALSE,"Tabl. FB300";#N/A,#N/A,FALSE,"Tabl. FB350";#N/A,#N/A,FALSE,"Tabl. FB400";#N/A,#N/A,FALSE,"Tabl. FB500";#N/A,#N/A,FALSE,"Tabl. FS090"}</definedName>
    <definedName name="vale" localSheetId="6" hidden="1">{#N/A,#N/A,FALSE,"Tabl. FB300";#N/A,#N/A,FALSE,"Tabl. FB350";#N/A,#N/A,FALSE,"Tabl. FB400";#N/A,#N/A,FALSE,"Tabl. FB500";#N/A,#N/A,FALSE,"Tabl. FS090"}</definedName>
    <definedName name="vale" localSheetId="7" hidden="1">{#N/A,#N/A,FALSE,"Tabl. FB300";#N/A,#N/A,FALSE,"Tabl. FB350";#N/A,#N/A,FALSE,"Tabl. FB400";#N/A,#N/A,FALSE,"Tabl. FB500";#N/A,#N/A,FALSE,"Tabl. FS090"}</definedName>
    <definedName name="vale" localSheetId="9" hidden="1">{#N/A,#N/A,FALSE,"Tabl. FB300";#N/A,#N/A,FALSE,"Tabl. FB350";#N/A,#N/A,FALSE,"Tabl. FB400";#N/A,#N/A,FALSE,"Tabl. FB500";#N/A,#N/A,FALSE,"Tabl. FS090"}</definedName>
    <definedName name="vale" localSheetId="10" hidden="1">{#N/A,#N/A,FALSE,"Tabl. FB300";#N/A,#N/A,FALSE,"Tabl. FB350";#N/A,#N/A,FALSE,"Tabl. FB400";#N/A,#N/A,FALSE,"Tabl. FB500";#N/A,#N/A,FALSE,"Tabl. FS090"}</definedName>
    <definedName name="vale" localSheetId="11" hidden="1">{#N/A,#N/A,FALSE,"Tabl. FB300";#N/A,#N/A,FALSE,"Tabl. FB350";#N/A,#N/A,FALSE,"Tabl. FB400";#N/A,#N/A,FALSE,"Tabl. FB500";#N/A,#N/A,FALSE,"Tabl. FS090"}</definedName>
    <definedName name="vale" localSheetId="12" hidden="1">{#N/A,#N/A,FALSE,"Tabl. FB300";#N/A,#N/A,FALSE,"Tabl. FB350";#N/A,#N/A,FALSE,"Tabl. FB400";#N/A,#N/A,FALSE,"Tabl. FB500";#N/A,#N/A,FALSE,"Tabl. FS090"}</definedName>
    <definedName name="vale" localSheetId="13" hidden="1">{#N/A,#N/A,FALSE,"Tabl. FB300";#N/A,#N/A,FALSE,"Tabl. FB350";#N/A,#N/A,FALSE,"Tabl. FB400";#N/A,#N/A,FALSE,"Tabl. FB500";#N/A,#N/A,FALSE,"Tabl. FS090"}</definedName>
    <definedName name="vale" localSheetId="14" hidden="1">{#N/A,#N/A,FALSE,"Tabl. FB300";#N/A,#N/A,FALSE,"Tabl. FB350";#N/A,#N/A,FALSE,"Tabl. FB400";#N/A,#N/A,FALSE,"Tabl. FB500";#N/A,#N/A,FALSE,"Tabl. FS090"}</definedName>
    <definedName name="vale" localSheetId="15" hidden="1">{#N/A,#N/A,FALSE,"Tabl. FB300";#N/A,#N/A,FALSE,"Tabl. FB350";#N/A,#N/A,FALSE,"Tabl. FB400";#N/A,#N/A,FALSE,"Tabl. FB500";#N/A,#N/A,FALSE,"Tabl. FS090"}</definedName>
    <definedName name="vale" localSheetId="20" hidden="1">{#N/A,#N/A,FALSE,"Tabl. FB300";#N/A,#N/A,FALSE,"Tabl. FB350";#N/A,#N/A,FALSE,"Tabl. FB400";#N/A,#N/A,FALSE,"Tabl. FB500";#N/A,#N/A,FALSE,"Tabl. FS090"}</definedName>
    <definedName name="vale" localSheetId="21" hidden="1">{#N/A,#N/A,FALSE,"Tabl. FB300";#N/A,#N/A,FALSE,"Tabl. FB350";#N/A,#N/A,FALSE,"Tabl. FB400";#N/A,#N/A,FALSE,"Tabl. FB500";#N/A,#N/A,FALSE,"Tabl. FS090"}</definedName>
    <definedName name="vale" localSheetId="22" hidden="1">{#N/A,#N/A,FALSE,"Tabl. FB300";#N/A,#N/A,FALSE,"Tabl. FB350";#N/A,#N/A,FALSE,"Tabl. FB400";#N/A,#N/A,FALSE,"Tabl. FB500";#N/A,#N/A,FALSE,"Tabl. FS090"}</definedName>
    <definedName name="vale" localSheetId="23" hidden="1">{#N/A,#N/A,FALSE,"Tabl. FB300";#N/A,#N/A,FALSE,"Tabl. FB350";#N/A,#N/A,FALSE,"Tabl. FB400";#N/A,#N/A,FALSE,"Tabl. FB500";#N/A,#N/A,FALSE,"Tabl. FS090"}</definedName>
    <definedName name="vale" localSheetId="24" hidden="1">{#N/A,#N/A,FALSE,"Tabl. FB300";#N/A,#N/A,FALSE,"Tabl. FB350";#N/A,#N/A,FALSE,"Tabl. FB400";#N/A,#N/A,FALSE,"Tabl. FB500";#N/A,#N/A,FALSE,"Tabl. FS090"}</definedName>
    <definedName name="vale" localSheetId="25" hidden="1">{#N/A,#N/A,FALSE,"Tabl. FB300";#N/A,#N/A,FALSE,"Tabl. FB350";#N/A,#N/A,FALSE,"Tabl. FB400";#N/A,#N/A,FALSE,"Tabl. FB500";#N/A,#N/A,FALSE,"Tabl. FS090"}</definedName>
    <definedName name="vale" localSheetId="26" hidden="1">{#N/A,#N/A,FALSE,"Tabl. FB300";#N/A,#N/A,FALSE,"Tabl. FB350";#N/A,#N/A,FALSE,"Tabl. FB400";#N/A,#N/A,FALSE,"Tabl. FB500";#N/A,#N/A,FALSE,"Tabl. FS090"}</definedName>
    <definedName name="vale" localSheetId="27" hidden="1">{#N/A,#N/A,FALSE,"Tabl. FB300";#N/A,#N/A,FALSE,"Tabl. FB350";#N/A,#N/A,FALSE,"Tabl. FB400";#N/A,#N/A,FALSE,"Tabl. FB500";#N/A,#N/A,FALSE,"Tabl. FS090"}</definedName>
    <definedName name="vale" localSheetId="28" hidden="1">{#N/A,#N/A,FALSE,"Tabl. FB300";#N/A,#N/A,FALSE,"Tabl. FB350";#N/A,#N/A,FALSE,"Tabl. FB400";#N/A,#N/A,FALSE,"Tabl. FB500";#N/A,#N/A,FALSE,"Tabl. FS090"}</definedName>
    <definedName name="vale" localSheetId="29" hidden="1">{#N/A,#N/A,FALSE,"Tabl. FB300";#N/A,#N/A,FALSE,"Tabl. FB350";#N/A,#N/A,FALSE,"Tabl. FB400";#N/A,#N/A,FALSE,"Tabl. FB500";#N/A,#N/A,FALSE,"Tabl. FS090"}</definedName>
    <definedName name="vale" localSheetId="30" hidden="1">{#N/A,#N/A,FALSE,"Tabl. FB300";#N/A,#N/A,FALSE,"Tabl. FB350";#N/A,#N/A,FALSE,"Tabl. FB400";#N/A,#N/A,FALSE,"Tabl. FB500";#N/A,#N/A,FALSE,"Tabl. FS090"}</definedName>
    <definedName name="vale" localSheetId="31" hidden="1">{#N/A,#N/A,FALSE,"Tabl. FB300";#N/A,#N/A,FALSE,"Tabl. FB350";#N/A,#N/A,FALSE,"Tabl. FB400";#N/A,#N/A,FALSE,"Tabl. FB500";#N/A,#N/A,FALSE,"Tabl. FS090"}</definedName>
    <definedName name="vale" localSheetId="32" hidden="1">{#N/A,#N/A,FALSE,"Tabl. FB300";#N/A,#N/A,FALSE,"Tabl. FB350";#N/A,#N/A,FALSE,"Tabl. FB400";#N/A,#N/A,FALSE,"Tabl. FB500";#N/A,#N/A,FALSE,"Tabl. FS090"}</definedName>
    <definedName name="vale" hidden="1">{#N/A,#N/A,FALSE,"Tabl. FB300";#N/A,#N/A,FALSE,"Tabl. FB350";#N/A,#N/A,FALSE,"Tabl. FB400";#N/A,#N/A,FALSE,"Tabl. FB500";#N/A,#N/A,FALSE,"Tabl. FS090"}</definedName>
    <definedName name="VANES" localSheetId="3" hidden="1">{#N/A,#N/A,FALSE,"Tabl. A1";#N/A,#N/A,FALSE,"Tabl. A1 b";#N/A,#N/A,FALSE,"Tabl. A2";#N/A,#N/A,FALSE,"Tabl. A2-1";#N/A,#N/A,FALSE,"Tabl. A2-2"}</definedName>
    <definedName name="VANES" localSheetId="5" hidden="1">{#N/A,#N/A,FALSE,"Tabl. A1";#N/A,#N/A,FALSE,"Tabl. A1 b";#N/A,#N/A,FALSE,"Tabl. A2";#N/A,#N/A,FALSE,"Tabl. A2-1";#N/A,#N/A,FALSE,"Tabl. A2-2"}</definedName>
    <definedName name="VANES" localSheetId="6" hidden="1">{#N/A,#N/A,FALSE,"Tabl. A1";#N/A,#N/A,FALSE,"Tabl. A1 b";#N/A,#N/A,FALSE,"Tabl. A2";#N/A,#N/A,FALSE,"Tabl. A2-1";#N/A,#N/A,FALSE,"Tabl. A2-2"}</definedName>
    <definedName name="VANES" localSheetId="7" hidden="1">{#N/A,#N/A,FALSE,"Tabl. A1";#N/A,#N/A,FALSE,"Tabl. A1 b";#N/A,#N/A,FALSE,"Tabl. A2";#N/A,#N/A,FALSE,"Tabl. A2-1";#N/A,#N/A,FALSE,"Tabl. A2-2"}</definedName>
    <definedName name="VANES" localSheetId="9" hidden="1">{#N/A,#N/A,FALSE,"Tabl. A1";#N/A,#N/A,FALSE,"Tabl. A1 b";#N/A,#N/A,FALSE,"Tabl. A2";#N/A,#N/A,FALSE,"Tabl. A2-1";#N/A,#N/A,FALSE,"Tabl. A2-2"}</definedName>
    <definedName name="VANES" localSheetId="10" hidden="1">{#N/A,#N/A,FALSE,"Tabl. A1";#N/A,#N/A,FALSE,"Tabl. A1 b";#N/A,#N/A,FALSE,"Tabl. A2";#N/A,#N/A,FALSE,"Tabl. A2-1";#N/A,#N/A,FALSE,"Tabl. A2-2"}</definedName>
    <definedName name="VANES" localSheetId="11" hidden="1">{#N/A,#N/A,FALSE,"Tabl. A1";#N/A,#N/A,FALSE,"Tabl. A1 b";#N/A,#N/A,FALSE,"Tabl. A2";#N/A,#N/A,FALSE,"Tabl. A2-1";#N/A,#N/A,FALSE,"Tabl. A2-2"}</definedName>
    <definedName name="VANES" localSheetId="12" hidden="1">{#N/A,#N/A,FALSE,"Tabl. A1";#N/A,#N/A,FALSE,"Tabl. A1 b";#N/A,#N/A,FALSE,"Tabl. A2";#N/A,#N/A,FALSE,"Tabl. A2-1";#N/A,#N/A,FALSE,"Tabl. A2-2"}</definedName>
    <definedName name="VANES" localSheetId="13" hidden="1">{#N/A,#N/A,FALSE,"Tabl. A1";#N/A,#N/A,FALSE,"Tabl. A1 b";#N/A,#N/A,FALSE,"Tabl. A2";#N/A,#N/A,FALSE,"Tabl. A2-1";#N/A,#N/A,FALSE,"Tabl. A2-2"}</definedName>
    <definedName name="VANES" localSheetId="14" hidden="1">{#N/A,#N/A,FALSE,"Tabl. A1";#N/A,#N/A,FALSE,"Tabl. A1 b";#N/A,#N/A,FALSE,"Tabl. A2";#N/A,#N/A,FALSE,"Tabl. A2-1";#N/A,#N/A,FALSE,"Tabl. A2-2"}</definedName>
    <definedName name="VANES" localSheetId="15" hidden="1">{#N/A,#N/A,FALSE,"Tabl. A1";#N/A,#N/A,FALSE,"Tabl. A1 b";#N/A,#N/A,FALSE,"Tabl. A2";#N/A,#N/A,FALSE,"Tabl. A2-1";#N/A,#N/A,FALSE,"Tabl. A2-2"}</definedName>
    <definedName name="VANES" localSheetId="20" hidden="1">{#N/A,#N/A,FALSE,"Tabl. A1";#N/A,#N/A,FALSE,"Tabl. A1 b";#N/A,#N/A,FALSE,"Tabl. A2";#N/A,#N/A,FALSE,"Tabl. A2-1";#N/A,#N/A,FALSE,"Tabl. A2-2"}</definedName>
    <definedName name="VANES" localSheetId="21" hidden="1">{#N/A,#N/A,FALSE,"Tabl. A1";#N/A,#N/A,FALSE,"Tabl. A1 b";#N/A,#N/A,FALSE,"Tabl. A2";#N/A,#N/A,FALSE,"Tabl. A2-1";#N/A,#N/A,FALSE,"Tabl. A2-2"}</definedName>
    <definedName name="VANES" localSheetId="22" hidden="1">{#N/A,#N/A,FALSE,"Tabl. A1";#N/A,#N/A,FALSE,"Tabl. A1 b";#N/A,#N/A,FALSE,"Tabl. A2";#N/A,#N/A,FALSE,"Tabl. A2-1";#N/A,#N/A,FALSE,"Tabl. A2-2"}</definedName>
    <definedName name="VANES" localSheetId="23" hidden="1">{#N/A,#N/A,FALSE,"Tabl. A1";#N/A,#N/A,FALSE,"Tabl. A1 b";#N/A,#N/A,FALSE,"Tabl. A2";#N/A,#N/A,FALSE,"Tabl. A2-1";#N/A,#N/A,FALSE,"Tabl. A2-2"}</definedName>
    <definedName name="VANES" localSheetId="24" hidden="1">{#N/A,#N/A,FALSE,"Tabl. A1";#N/A,#N/A,FALSE,"Tabl. A1 b";#N/A,#N/A,FALSE,"Tabl. A2";#N/A,#N/A,FALSE,"Tabl. A2-1";#N/A,#N/A,FALSE,"Tabl. A2-2"}</definedName>
    <definedName name="VANES" localSheetId="25" hidden="1">{#N/A,#N/A,FALSE,"Tabl. A1";#N/A,#N/A,FALSE,"Tabl. A1 b";#N/A,#N/A,FALSE,"Tabl. A2";#N/A,#N/A,FALSE,"Tabl. A2-1";#N/A,#N/A,FALSE,"Tabl. A2-2"}</definedName>
    <definedName name="VANES" localSheetId="26" hidden="1">{#N/A,#N/A,FALSE,"Tabl. A1";#N/A,#N/A,FALSE,"Tabl. A1 b";#N/A,#N/A,FALSE,"Tabl. A2";#N/A,#N/A,FALSE,"Tabl. A2-1";#N/A,#N/A,FALSE,"Tabl. A2-2"}</definedName>
    <definedName name="VANES" localSheetId="27" hidden="1">{#N/A,#N/A,FALSE,"Tabl. A1";#N/A,#N/A,FALSE,"Tabl. A1 b";#N/A,#N/A,FALSE,"Tabl. A2";#N/A,#N/A,FALSE,"Tabl. A2-1";#N/A,#N/A,FALSE,"Tabl. A2-2"}</definedName>
    <definedName name="VANES" localSheetId="28" hidden="1">{#N/A,#N/A,FALSE,"Tabl. A1";#N/A,#N/A,FALSE,"Tabl. A1 b";#N/A,#N/A,FALSE,"Tabl. A2";#N/A,#N/A,FALSE,"Tabl. A2-1";#N/A,#N/A,FALSE,"Tabl. A2-2"}</definedName>
    <definedName name="VANES" localSheetId="29" hidden="1">{#N/A,#N/A,FALSE,"Tabl. A1";#N/A,#N/A,FALSE,"Tabl. A1 b";#N/A,#N/A,FALSE,"Tabl. A2";#N/A,#N/A,FALSE,"Tabl. A2-1";#N/A,#N/A,FALSE,"Tabl. A2-2"}</definedName>
    <definedName name="VANES" localSheetId="30" hidden="1">{#N/A,#N/A,FALSE,"Tabl. A1";#N/A,#N/A,FALSE,"Tabl. A1 b";#N/A,#N/A,FALSE,"Tabl. A2";#N/A,#N/A,FALSE,"Tabl. A2-1";#N/A,#N/A,FALSE,"Tabl. A2-2"}</definedName>
    <definedName name="VANES" localSheetId="31" hidden="1">{#N/A,#N/A,FALSE,"Tabl. A1";#N/A,#N/A,FALSE,"Tabl. A1 b";#N/A,#N/A,FALSE,"Tabl. A2";#N/A,#N/A,FALSE,"Tabl. A2-1";#N/A,#N/A,FALSE,"Tabl. A2-2"}</definedName>
    <definedName name="VANES" localSheetId="32" hidden="1">{#N/A,#N/A,FALSE,"Tabl. A1";#N/A,#N/A,FALSE,"Tabl. A1 b";#N/A,#N/A,FALSE,"Tabl. A2";#N/A,#N/A,FALSE,"Tabl. A2-1";#N/A,#N/A,FALSE,"Tabl. A2-2"}</definedName>
    <definedName name="VANES" hidden="1">{#N/A,#N/A,FALSE,"Tabl. A1";#N/A,#N/A,FALSE,"Tabl. A1 b";#N/A,#N/A,FALSE,"Tabl. A2";#N/A,#N/A,FALSE,"Tabl. A2-1";#N/A,#N/A,FALSE,"Tabl. A2-2"}</definedName>
    <definedName name="vannes" localSheetId="3" hidden="1">{#N/A,#N/A,FALSE,"Tabl. G1";#N/A,#N/A,FALSE,"Tabl. G2"}</definedName>
    <definedName name="vannes" localSheetId="5" hidden="1">{#N/A,#N/A,FALSE,"Tabl. G1";#N/A,#N/A,FALSE,"Tabl. G2"}</definedName>
    <definedName name="vannes" localSheetId="6" hidden="1">{#N/A,#N/A,FALSE,"Tabl. G1";#N/A,#N/A,FALSE,"Tabl. G2"}</definedName>
    <definedName name="vannes" localSheetId="7" hidden="1">{#N/A,#N/A,FALSE,"Tabl. G1";#N/A,#N/A,FALSE,"Tabl. G2"}</definedName>
    <definedName name="vannes" localSheetId="9" hidden="1">{#N/A,#N/A,FALSE,"Tabl. G1";#N/A,#N/A,FALSE,"Tabl. G2"}</definedName>
    <definedName name="vannes" localSheetId="10" hidden="1">{#N/A,#N/A,FALSE,"Tabl. G1";#N/A,#N/A,FALSE,"Tabl. G2"}</definedName>
    <definedName name="vannes" localSheetId="11" hidden="1">{#N/A,#N/A,FALSE,"Tabl. G1";#N/A,#N/A,FALSE,"Tabl. G2"}</definedName>
    <definedName name="vannes" localSheetId="12" hidden="1">{#N/A,#N/A,FALSE,"Tabl. G1";#N/A,#N/A,FALSE,"Tabl. G2"}</definedName>
    <definedName name="vannes" localSheetId="13" hidden="1">{#N/A,#N/A,FALSE,"Tabl. G1";#N/A,#N/A,FALSE,"Tabl. G2"}</definedName>
    <definedName name="vannes" localSheetId="14" hidden="1">{#N/A,#N/A,FALSE,"Tabl. G1";#N/A,#N/A,FALSE,"Tabl. G2"}</definedName>
    <definedName name="vannes" localSheetId="15" hidden="1">{#N/A,#N/A,FALSE,"Tabl. G1";#N/A,#N/A,FALSE,"Tabl. G2"}</definedName>
    <definedName name="vannes" localSheetId="20" hidden="1">{#N/A,#N/A,FALSE,"Tabl. G1";#N/A,#N/A,FALSE,"Tabl. G2"}</definedName>
    <definedName name="vannes" localSheetId="21" hidden="1">{#N/A,#N/A,FALSE,"Tabl. G1";#N/A,#N/A,FALSE,"Tabl. G2"}</definedName>
    <definedName name="vannes" localSheetId="22" hidden="1">{#N/A,#N/A,FALSE,"Tabl. G1";#N/A,#N/A,FALSE,"Tabl. G2"}</definedName>
    <definedName name="vannes" localSheetId="23" hidden="1">{#N/A,#N/A,FALSE,"Tabl. G1";#N/A,#N/A,FALSE,"Tabl. G2"}</definedName>
    <definedName name="vannes" localSheetId="24" hidden="1">{#N/A,#N/A,FALSE,"Tabl. G1";#N/A,#N/A,FALSE,"Tabl. G2"}</definedName>
    <definedName name="vannes" localSheetId="25" hidden="1">{#N/A,#N/A,FALSE,"Tabl. G1";#N/A,#N/A,FALSE,"Tabl. G2"}</definedName>
    <definedName name="vannes" localSheetId="26" hidden="1">{#N/A,#N/A,FALSE,"Tabl. G1";#N/A,#N/A,FALSE,"Tabl. G2"}</definedName>
    <definedName name="vannes" localSheetId="27" hidden="1">{#N/A,#N/A,FALSE,"Tabl. G1";#N/A,#N/A,FALSE,"Tabl. G2"}</definedName>
    <definedName name="vannes" localSheetId="28" hidden="1">{#N/A,#N/A,FALSE,"Tabl. G1";#N/A,#N/A,FALSE,"Tabl. G2"}</definedName>
    <definedName name="vannes" localSheetId="29" hidden="1">{#N/A,#N/A,FALSE,"Tabl. G1";#N/A,#N/A,FALSE,"Tabl. G2"}</definedName>
    <definedName name="vannes" localSheetId="30" hidden="1">{#N/A,#N/A,FALSE,"Tabl. G1";#N/A,#N/A,FALSE,"Tabl. G2"}</definedName>
    <definedName name="vannes" localSheetId="31" hidden="1">{#N/A,#N/A,FALSE,"Tabl. G1";#N/A,#N/A,FALSE,"Tabl. G2"}</definedName>
    <definedName name="vannes" localSheetId="32" hidden="1">{#N/A,#N/A,FALSE,"Tabl. G1";#N/A,#N/A,FALSE,"Tabl. G2"}</definedName>
    <definedName name="vannes" hidden="1">{#N/A,#N/A,FALSE,"Tabl. G1";#N/A,#N/A,FALSE,"Tabl. G2"}</definedName>
    <definedName name="vvv" localSheetId="3" hidden="1">{#N/A,#N/A,FALSE,"Tabl. H1";#N/A,#N/A,FALSE,"Tabl. H2"}</definedName>
    <definedName name="vvv" localSheetId="5" hidden="1">{#N/A,#N/A,FALSE,"Tabl. H1";#N/A,#N/A,FALSE,"Tabl. H2"}</definedName>
    <definedName name="vvv" localSheetId="6" hidden="1">{#N/A,#N/A,FALSE,"Tabl. H1";#N/A,#N/A,FALSE,"Tabl. H2"}</definedName>
    <definedName name="vvv" localSheetId="7" hidden="1">{#N/A,#N/A,FALSE,"Tabl. H1";#N/A,#N/A,FALSE,"Tabl. H2"}</definedName>
    <definedName name="vvv" localSheetId="9" hidden="1">{#N/A,#N/A,FALSE,"Tabl. H1";#N/A,#N/A,FALSE,"Tabl. H2"}</definedName>
    <definedName name="vvv" localSheetId="10" hidden="1">{#N/A,#N/A,FALSE,"Tabl. H1";#N/A,#N/A,FALSE,"Tabl. H2"}</definedName>
    <definedName name="vvv" localSheetId="11" hidden="1">{#N/A,#N/A,FALSE,"Tabl. H1";#N/A,#N/A,FALSE,"Tabl. H2"}</definedName>
    <definedName name="vvv" localSheetId="12" hidden="1">{#N/A,#N/A,FALSE,"Tabl. H1";#N/A,#N/A,FALSE,"Tabl. H2"}</definedName>
    <definedName name="vvv" localSheetId="13" hidden="1">{#N/A,#N/A,FALSE,"Tabl. H1";#N/A,#N/A,FALSE,"Tabl. H2"}</definedName>
    <definedName name="vvv" localSheetId="14" hidden="1">{#N/A,#N/A,FALSE,"Tabl. H1";#N/A,#N/A,FALSE,"Tabl. H2"}</definedName>
    <definedName name="vvv" localSheetId="15" hidden="1">{#N/A,#N/A,FALSE,"Tabl. H1";#N/A,#N/A,FALSE,"Tabl. H2"}</definedName>
    <definedName name="vvv" localSheetId="20" hidden="1">{#N/A,#N/A,FALSE,"Tabl. H1";#N/A,#N/A,FALSE,"Tabl. H2"}</definedName>
    <definedName name="vvv" localSheetId="21" hidden="1">{#N/A,#N/A,FALSE,"Tabl. H1";#N/A,#N/A,FALSE,"Tabl. H2"}</definedName>
    <definedName name="vvv" localSheetId="22" hidden="1">{#N/A,#N/A,FALSE,"Tabl. H1";#N/A,#N/A,FALSE,"Tabl. H2"}</definedName>
    <definedName name="vvv" localSheetId="23" hidden="1">{#N/A,#N/A,FALSE,"Tabl. H1";#N/A,#N/A,FALSE,"Tabl. H2"}</definedName>
    <definedName name="vvv" localSheetId="24" hidden="1">{#N/A,#N/A,FALSE,"Tabl. H1";#N/A,#N/A,FALSE,"Tabl. H2"}</definedName>
    <definedName name="vvv" localSheetId="25" hidden="1">{#N/A,#N/A,FALSE,"Tabl. H1";#N/A,#N/A,FALSE,"Tabl. H2"}</definedName>
    <definedName name="vvv" localSheetId="26" hidden="1">{#N/A,#N/A,FALSE,"Tabl. H1";#N/A,#N/A,FALSE,"Tabl. H2"}</definedName>
    <definedName name="vvv" localSheetId="27" hidden="1">{#N/A,#N/A,FALSE,"Tabl. H1";#N/A,#N/A,FALSE,"Tabl. H2"}</definedName>
    <definedName name="vvv" localSheetId="28" hidden="1">{#N/A,#N/A,FALSE,"Tabl. H1";#N/A,#N/A,FALSE,"Tabl. H2"}</definedName>
    <definedName name="vvv" localSheetId="29" hidden="1">{#N/A,#N/A,FALSE,"Tabl. H1";#N/A,#N/A,FALSE,"Tabl. H2"}</definedName>
    <definedName name="vvv" localSheetId="30" hidden="1">{#N/A,#N/A,FALSE,"Tabl. H1";#N/A,#N/A,FALSE,"Tabl. H2"}</definedName>
    <definedName name="vvv" localSheetId="31" hidden="1">{#N/A,#N/A,FALSE,"Tabl. H1";#N/A,#N/A,FALSE,"Tabl. H2"}</definedName>
    <definedName name="vvv" localSheetId="32" hidden="1">{#N/A,#N/A,FALSE,"Tabl. H1";#N/A,#N/A,FALSE,"Tabl. H2"}</definedName>
    <definedName name="vvv" hidden="1">{#N/A,#N/A,FALSE,"Tabl. H1";#N/A,#N/A,FALSE,"Tabl. H2"}</definedName>
    <definedName name="wrn.1." localSheetId="3" hidden="1">{#N/A,#N/A,FALSE,"AOPESSOA2";#N/A,#N/A,FALSE,"AOPESSOA";#N/A,#N/A,FALSE,"AOPRODUC2";#N/A,#N/A,FALSE,"GRÁFICO3";#N/A,#N/A,FALSE,"AOCUSDIR12"}</definedName>
    <definedName name="wrn.1." localSheetId="5" hidden="1">{#N/A,#N/A,FALSE,"AOPESSOA2";#N/A,#N/A,FALSE,"AOPESSOA";#N/A,#N/A,FALSE,"AOPRODUC2";#N/A,#N/A,FALSE,"GRÁFICO3";#N/A,#N/A,FALSE,"AOCUSDIR12"}</definedName>
    <definedName name="wrn.1." localSheetId="6" hidden="1">{#N/A,#N/A,FALSE,"AOPESSOA2";#N/A,#N/A,FALSE,"AOPESSOA";#N/A,#N/A,FALSE,"AOPRODUC2";#N/A,#N/A,FALSE,"GRÁFICO3";#N/A,#N/A,FALSE,"AOCUSDIR12"}</definedName>
    <definedName name="wrn.1." localSheetId="7" hidden="1">{#N/A,#N/A,FALSE,"AOPESSOA2";#N/A,#N/A,FALSE,"AOPESSOA";#N/A,#N/A,FALSE,"AOPRODUC2";#N/A,#N/A,FALSE,"GRÁFICO3";#N/A,#N/A,FALSE,"AOCUSDIR12"}</definedName>
    <definedName name="wrn.1." localSheetId="9" hidden="1">{#N/A,#N/A,FALSE,"AOPESSOA2";#N/A,#N/A,FALSE,"AOPESSOA";#N/A,#N/A,FALSE,"AOPRODUC2";#N/A,#N/A,FALSE,"GRÁFICO3";#N/A,#N/A,FALSE,"AOCUSDIR12"}</definedName>
    <definedName name="wrn.1." localSheetId="10" hidden="1">{#N/A,#N/A,FALSE,"AOPESSOA2";#N/A,#N/A,FALSE,"AOPESSOA";#N/A,#N/A,FALSE,"AOPRODUC2";#N/A,#N/A,FALSE,"GRÁFICO3";#N/A,#N/A,FALSE,"AOCUSDIR12"}</definedName>
    <definedName name="wrn.1." localSheetId="11" hidden="1">{#N/A,#N/A,FALSE,"AOPESSOA2";#N/A,#N/A,FALSE,"AOPESSOA";#N/A,#N/A,FALSE,"AOPRODUC2";#N/A,#N/A,FALSE,"GRÁFICO3";#N/A,#N/A,FALSE,"AOCUSDIR12"}</definedName>
    <definedName name="wrn.1." localSheetId="12" hidden="1">{#N/A,#N/A,FALSE,"AOPESSOA2";#N/A,#N/A,FALSE,"AOPESSOA";#N/A,#N/A,FALSE,"AOPRODUC2";#N/A,#N/A,FALSE,"GRÁFICO3";#N/A,#N/A,FALSE,"AOCUSDIR12"}</definedName>
    <definedName name="wrn.1." localSheetId="13" hidden="1">{#N/A,#N/A,FALSE,"AOPESSOA2";#N/A,#N/A,FALSE,"AOPESSOA";#N/A,#N/A,FALSE,"AOPRODUC2";#N/A,#N/A,FALSE,"GRÁFICO3";#N/A,#N/A,FALSE,"AOCUSDIR12"}</definedName>
    <definedName name="wrn.1." localSheetId="14" hidden="1">{#N/A,#N/A,FALSE,"AOPESSOA2";#N/A,#N/A,FALSE,"AOPESSOA";#N/A,#N/A,FALSE,"AOPRODUC2";#N/A,#N/A,FALSE,"GRÁFICO3";#N/A,#N/A,FALSE,"AOCUSDIR12"}</definedName>
    <definedName name="wrn.1." localSheetId="15" hidden="1">{#N/A,#N/A,FALSE,"AOPESSOA2";#N/A,#N/A,FALSE,"AOPESSOA";#N/A,#N/A,FALSE,"AOPRODUC2";#N/A,#N/A,FALSE,"GRÁFICO3";#N/A,#N/A,FALSE,"AOCUSDIR12"}</definedName>
    <definedName name="wrn.1." localSheetId="20" hidden="1">{#N/A,#N/A,FALSE,"AOPESSOA2";#N/A,#N/A,FALSE,"AOPESSOA";#N/A,#N/A,FALSE,"AOPRODUC2";#N/A,#N/A,FALSE,"GRÁFICO3";#N/A,#N/A,FALSE,"AOCUSDIR12"}</definedName>
    <definedName name="wrn.1." localSheetId="21" hidden="1">{#N/A,#N/A,FALSE,"AOPESSOA2";#N/A,#N/A,FALSE,"AOPESSOA";#N/A,#N/A,FALSE,"AOPRODUC2";#N/A,#N/A,FALSE,"GRÁFICO3";#N/A,#N/A,FALSE,"AOCUSDIR12"}</definedName>
    <definedName name="wrn.1." localSheetId="22" hidden="1">{#N/A,#N/A,FALSE,"AOPESSOA2";#N/A,#N/A,FALSE,"AOPESSOA";#N/A,#N/A,FALSE,"AOPRODUC2";#N/A,#N/A,FALSE,"GRÁFICO3";#N/A,#N/A,FALSE,"AOCUSDIR12"}</definedName>
    <definedName name="wrn.1." localSheetId="23" hidden="1">{#N/A,#N/A,FALSE,"AOPESSOA2";#N/A,#N/A,FALSE,"AOPESSOA";#N/A,#N/A,FALSE,"AOPRODUC2";#N/A,#N/A,FALSE,"GRÁFICO3";#N/A,#N/A,FALSE,"AOCUSDIR12"}</definedName>
    <definedName name="wrn.1." localSheetId="24" hidden="1">{#N/A,#N/A,FALSE,"AOPESSOA2";#N/A,#N/A,FALSE,"AOPESSOA";#N/A,#N/A,FALSE,"AOPRODUC2";#N/A,#N/A,FALSE,"GRÁFICO3";#N/A,#N/A,FALSE,"AOCUSDIR12"}</definedName>
    <definedName name="wrn.1." localSheetId="25" hidden="1">{#N/A,#N/A,FALSE,"AOPESSOA2";#N/A,#N/A,FALSE,"AOPESSOA";#N/A,#N/A,FALSE,"AOPRODUC2";#N/A,#N/A,FALSE,"GRÁFICO3";#N/A,#N/A,FALSE,"AOCUSDIR12"}</definedName>
    <definedName name="wrn.1." localSheetId="26" hidden="1">{#N/A,#N/A,FALSE,"AOPESSOA2";#N/A,#N/A,FALSE,"AOPESSOA";#N/A,#N/A,FALSE,"AOPRODUC2";#N/A,#N/A,FALSE,"GRÁFICO3";#N/A,#N/A,FALSE,"AOCUSDIR12"}</definedName>
    <definedName name="wrn.1." localSheetId="27" hidden="1">{#N/A,#N/A,FALSE,"AOPESSOA2";#N/A,#N/A,FALSE,"AOPESSOA";#N/A,#N/A,FALSE,"AOPRODUC2";#N/A,#N/A,FALSE,"GRÁFICO3";#N/A,#N/A,FALSE,"AOCUSDIR12"}</definedName>
    <definedName name="wrn.1." localSheetId="28" hidden="1">{#N/A,#N/A,FALSE,"AOPESSOA2";#N/A,#N/A,FALSE,"AOPESSOA";#N/A,#N/A,FALSE,"AOPRODUC2";#N/A,#N/A,FALSE,"GRÁFICO3";#N/A,#N/A,FALSE,"AOCUSDIR12"}</definedName>
    <definedName name="wrn.1." localSheetId="29" hidden="1">{#N/A,#N/A,FALSE,"AOPESSOA2";#N/A,#N/A,FALSE,"AOPESSOA";#N/A,#N/A,FALSE,"AOPRODUC2";#N/A,#N/A,FALSE,"GRÁFICO3";#N/A,#N/A,FALSE,"AOCUSDIR12"}</definedName>
    <definedName name="wrn.1." localSheetId="30" hidden="1">{#N/A,#N/A,FALSE,"AOPESSOA2";#N/A,#N/A,FALSE,"AOPESSOA";#N/A,#N/A,FALSE,"AOPRODUC2";#N/A,#N/A,FALSE,"GRÁFICO3";#N/A,#N/A,FALSE,"AOCUSDIR12"}</definedName>
    <definedName name="wrn.1." localSheetId="31" hidden="1">{#N/A,#N/A,FALSE,"AOPESSOA2";#N/A,#N/A,FALSE,"AOPESSOA";#N/A,#N/A,FALSE,"AOPRODUC2";#N/A,#N/A,FALSE,"GRÁFICO3";#N/A,#N/A,FALSE,"AOCUSDIR12"}</definedName>
    <definedName name="wrn.1." localSheetId="32" hidden="1">{#N/A,#N/A,FALSE,"AOPESSOA2";#N/A,#N/A,FALSE,"AOPESSOA";#N/A,#N/A,FALSE,"AOPRODUC2";#N/A,#N/A,FALSE,"GRÁFICO3";#N/A,#N/A,FALSE,"AOCUSDIR12"}</definedName>
    <definedName name="wrn.1." hidden="1">{#N/A,#N/A,FALSE,"AOPESSOA2";#N/A,#N/A,FALSE,"AOPESSOA";#N/A,#N/A,FALSE,"AOPRODUC2";#N/A,#N/A,FALSE,"GRÁFICO3";#N/A,#N/A,FALSE,"AOCUSDIR12"}</definedName>
    <definedName name="wrn.14." localSheetId="3" hidden="1">{#N/A,#N/A,FALSE,"Desp.Indir";#N/A,#N/A,FALSE,"Estoq"}</definedName>
    <definedName name="wrn.14." localSheetId="5" hidden="1">{#N/A,#N/A,FALSE,"Desp.Indir";#N/A,#N/A,FALSE,"Estoq"}</definedName>
    <definedName name="wrn.14." localSheetId="6" hidden="1">{#N/A,#N/A,FALSE,"Desp.Indir";#N/A,#N/A,FALSE,"Estoq"}</definedName>
    <definedName name="wrn.14." localSheetId="7" hidden="1">{#N/A,#N/A,FALSE,"Desp.Indir";#N/A,#N/A,FALSE,"Estoq"}</definedName>
    <definedName name="wrn.14." localSheetId="9" hidden="1">{#N/A,#N/A,FALSE,"Desp.Indir";#N/A,#N/A,FALSE,"Estoq"}</definedName>
    <definedName name="wrn.14." localSheetId="10" hidden="1">{#N/A,#N/A,FALSE,"Desp.Indir";#N/A,#N/A,FALSE,"Estoq"}</definedName>
    <definedName name="wrn.14." localSheetId="11" hidden="1">{#N/A,#N/A,FALSE,"Desp.Indir";#N/A,#N/A,FALSE,"Estoq"}</definedName>
    <definedName name="wrn.14." localSheetId="12" hidden="1">{#N/A,#N/A,FALSE,"Desp.Indir";#N/A,#N/A,FALSE,"Estoq"}</definedName>
    <definedName name="wrn.14." localSheetId="13" hidden="1">{#N/A,#N/A,FALSE,"Desp.Indir";#N/A,#N/A,FALSE,"Estoq"}</definedName>
    <definedName name="wrn.14." localSheetId="14" hidden="1">{#N/A,#N/A,FALSE,"Desp.Indir";#N/A,#N/A,FALSE,"Estoq"}</definedName>
    <definedName name="wrn.14." localSheetId="15" hidden="1">{#N/A,#N/A,FALSE,"Desp.Indir";#N/A,#N/A,FALSE,"Estoq"}</definedName>
    <definedName name="wrn.14." localSheetId="20" hidden="1">{#N/A,#N/A,FALSE,"Desp.Indir";#N/A,#N/A,FALSE,"Estoq"}</definedName>
    <definedName name="wrn.14." localSheetId="21" hidden="1">{#N/A,#N/A,FALSE,"Desp.Indir";#N/A,#N/A,FALSE,"Estoq"}</definedName>
    <definedName name="wrn.14." localSheetId="22" hidden="1">{#N/A,#N/A,FALSE,"Desp.Indir";#N/A,#N/A,FALSE,"Estoq"}</definedName>
    <definedName name="wrn.14." localSheetId="23" hidden="1">{#N/A,#N/A,FALSE,"Desp.Indir";#N/A,#N/A,FALSE,"Estoq"}</definedName>
    <definedName name="wrn.14." localSheetId="24" hidden="1">{#N/A,#N/A,FALSE,"Desp.Indir";#N/A,#N/A,FALSE,"Estoq"}</definedName>
    <definedName name="wrn.14." localSheetId="25" hidden="1">{#N/A,#N/A,FALSE,"Desp.Indir";#N/A,#N/A,FALSE,"Estoq"}</definedName>
    <definedName name="wrn.14." localSheetId="26" hidden="1">{#N/A,#N/A,FALSE,"Desp.Indir";#N/A,#N/A,FALSE,"Estoq"}</definedName>
    <definedName name="wrn.14." localSheetId="27" hidden="1">{#N/A,#N/A,FALSE,"Desp.Indir";#N/A,#N/A,FALSE,"Estoq"}</definedName>
    <definedName name="wrn.14." localSheetId="28" hidden="1">{#N/A,#N/A,FALSE,"Desp.Indir";#N/A,#N/A,FALSE,"Estoq"}</definedName>
    <definedName name="wrn.14." localSheetId="29" hidden="1">{#N/A,#N/A,FALSE,"Desp.Indir";#N/A,#N/A,FALSE,"Estoq"}</definedName>
    <definedName name="wrn.14." localSheetId="30" hidden="1">{#N/A,#N/A,FALSE,"Desp.Indir";#N/A,#N/A,FALSE,"Estoq"}</definedName>
    <definedName name="wrn.14." localSheetId="31" hidden="1">{#N/A,#N/A,FALSE,"Desp.Indir";#N/A,#N/A,FALSE,"Estoq"}</definedName>
    <definedName name="wrn.14." localSheetId="32" hidden="1">{#N/A,#N/A,FALSE,"Desp.Indir";#N/A,#N/A,FALSE,"Estoq"}</definedName>
    <definedName name="wrn.14." hidden="1">{#N/A,#N/A,FALSE,"Desp.Indir";#N/A,#N/A,FALSE,"Estoq"}</definedName>
    <definedName name="wrn.acmp." localSheetId="3" hidden="1">{#N/A,#N/A,FALSE,"SGP";#N/A,#N/A,FALSE,"SGI";#N/A,#N/A,FALSE,"SGC";#N/A,#N/A,FALSE,"SGS";#N/A,#N/A,FALSE,"SGB"}</definedName>
    <definedName name="wrn.acmp." localSheetId="5" hidden="1">{#N/A,#N/A,FALSE,"SGP";#N/A,#N/A,FALSE,"SGI";#N/A,#N/A,FALSE,"SGC";#N/A,#N/A,FALSE,"SGS";#N/A,#N/A,FALSE,"SGB"}</definedName>
    <definedName name="wrn.acmp." localSheetId="6" hidden="1">{#N/A,#N/A,FALSE,"SGP";#N/A,#N/A,FALSE,"SGI";#N/A,#N/A,FALSE,"SGC";#N/A,#N/A,FALSE,"SGS";#N/A,#N/A,FALSE,"SGB"}</definedName>
    <definedName name="wrn.acmp." localSheetId="7" hidden="1">{#N/A,#N/A,FALSE,"SGP";#N/A,#N/A,FALSE,"SGI";#N/A,#N/A,FALSE,"SGC";#N/A,#N/A,FALSE,"SGS";#N/A,#N/A,FALSE,"SGB"}</definedName>
    <definedName name="wrn.acmp." localSheetId="9" hidden="1">{#N/A,#N/A,FALSE,"SGP";#N/A,#N/A,FALSE,"SGI";#N/A,#N/A,FALSE,"SGC";#N/A,#N/A,FALSE,"SGS";#N/A,#N/A,FALSE,"SGB"}</definedName>
    <definedName name="wrn.acmp." localSheetId="10" hidden="1">{#N/A,#N/A,FALSE,"SGP";#N/A,#N/A,FALSE,"SGI";#N/A,#N/A,FALSE,"SGC";#N/A,#N/A,FALSE,"SGS";#N/A,#N/A,FALSE,"SGB"}</definedName>
    <definedName name="wrn.acmp." localSheetId="11" hidden="1">{#N/A,#N/A,FALSE,"SGP";#N/A,#N/A,FALSE,"SGI";#N/A,#N/A,FALSE,"SGC";#N/A,#N/A,FALSE,"SGS";#N/A,#N/A,FALSE,"SGB"}</definedName>
    <definedName name="wrn.acmp." localSheetId="12" hidden="1">{#N/A,#N/A,FALSE,"SGP";#N/A,#N/A,FALSE,"SGI";#N/A,#N/A,FALSE,"SGC";#N/A,#N/A,FALSE,"SGS";#N/A,#N/A,FALSE,"SGB"}</definedName>
    <definedName name="wrn.acmp." localSheetId="13" hidden="1">{#N/A,#N/A,FALSE,"SGP";#N/A,#N/A,FALSE,"SGI";#N/A,#N/A,FALSE,"SGC";#N/A,#N/A,FALSE,"SGS";#N/A,#N/A,FALSE,"SGB"}</definedName>
    <definedName name="wrn.acmp." localSheetId="14" hidden="1">{#N/A,#N/A,FALSE,"SGP";#N/A,#N/A,FALSE,"SGI";#N/A,#N/A,FALSE,"SGC";#N/A,#N/A,FALSE,"SGS";#N/A,#N/A,FALSE,"SGB"}</definedName>
    <definedName name="wrn.acmp." localSheetId="15" hidden="1">{#N/A,#N/A,FALSE,"SGP";#N/A,#N/A,FALSE,"SGI";#N/A,#N/A,FALSE,"SGC";#N/A,#N/A,FALSE,"SGS";#N/A,#N/A,FALSE,"SGB"}</definedName>
    <definedName name="wrn.acmp." localSheetId="20" hidden="1">{#N/A,#N/A,FALSE,"SGP";#N/A,#N/A,FALSE,"SGI";#N/A,#N/A,FALSE,"SGC";#N/A,#N/A,FALSE,"SGS";#N/A,#N/A,FALSE,"SGB"}</definedName>
    <definedName name="wrn.acmp." localSheetId="21" hidden="1">{#N/A,#N/A,FALSE,"SGP";#N/A,#N/A,FALSE,"SGI";#N/A,#N/A,FALSE,"SGC";#N/A,#N/A,FALSE,"SGS";#N/A,#N/A,FALSE,"SGB"}</definedName>
    <definedName name="wrn.acmp." localSheetId="22" hidden="1">{#N/A,#N/A,FALSE,"SGP";#N/A,#N/A,FALSE,"SGI";#N/A,#N/A,FALSE,"SGC";#N/A,#N/A,FALSE,"SGS";#N/A,#N/A,FALSE,"SGB"}</definedName>
    <definedName name="wrn.acmp." localSheetId="23" hidden="1">{#N/A,#N/A,FALSE,"SGP";#N/A,#N/A,FALSE,"SGI";#N/A,#N/A,FALSE,"SGC";#N/A,#N/A,FALSE,"SGS";#N/A,#N/A,FALSE,"SGB"}</definedName>
    <definedName name="wrn.acmp." localSheetId="24" hidden="1">{#N/A,#N/A,FALSE,"SGP";#N/A,#N/A,FALSE,"SGI";#N/A,#N/A,FALSE,"SGC";#N/A,#N/A,FALSE,"SGS";#N/A,#N/A,FALSE,"SGB"}</definedName>
    <definedName name="wrn.acmp." localSheetId="25" hidden="1">{#N/A,#N/A,FALSE,"SGP";#N/A,#N/A,FALSE,"SGI";#N/A,#N/A,FALSE,"SGC";#N/A,#N/A,FALSE,"SGS";#N/A,#N/A,FALSE,"SGB"}</definedName>
    <definedName name="wrn.acmp." localSheetId="26" hidden="1">{#N/A,#N/A,FALSE,"SGP";#N/A,#N/A,FALSE,"SGI";#N/A,#N/A,FALSE,"SGC";#N/A,#N/A,FALSE,"SGS";#N/A,#N/A,FALSE,"SGB"}</definedName>
    <definedName name="wrn.acmp." localSheetId="27" hidden="1">{#N/A,#N/A,FALSE,"SGP";#N/A,#N/A,FALSE,"SGI";#N/A,#N/A,FALSE,"SGC";#N/A,#N/A,FALSE,"SGS";#N/A,#N/A,FALSE,"SGB"}</definedName>
    <definedName name="wrn.acmp." localSheetId="28" hidden="1">{#N/A,#N/A,FALSE,"SGP";#N/A,#N/A,FALSE,"SGI";#N/A,#N/A,FALSE,"SGC";#N/A,#N/A,FALSE,"SGS";#N/A,#N/A,FALSE,"SGB"}</definedName>
    <definedName name="wrn.acmp." localSheetId="29" hidden="1">{#N/A,#N/A,FALSE,"SGP";#N/A,#N/A,FALSE,"SGI";#N/A,#N/A,FALSE,"SGC";#N/A,#N/A,FALSE,"SGS";#N/A,#N/A,FALSE,"SGB"}</definedName>
    <definedName name="wrn.acmp." localSheetId="30" hidden="1">{#N/A,#N/A,FALSE,"SGP";#N/A,#N/A,FALSE,"SGI";#N/A,#N/A,FALSE,"SGC";#N/A,#N/A,FALSE,"SGS";#N/A,#N/A,FALSE,"SGB"}</definedName>
    <definedName name="wrn.acmp." localSheetId="31" hidden="1">{#N/A,#N/A,FALSE,"SGP";#N/A,#N/A,FALSE,"SGI";#N/A,#N/A,FALSE,"SGC";#N/A,#N/A,FALSE,"SGS";#N/A,#N/A,FALSE,"SGB"}</definedName>
    <definedName name="wrn.acmp." localSheetId="32" hidden="1">{#N/A,#N/A,FALSE,"SGP";#N/A,#N/A,FALSE,"SGI";#N/A,#N/A,FALSE,"SGC";#N/A,#N/A,FALSE,"SGS";#N/A,#N/A,FALSE,"SGB"}</definedName>
    <definedName name="wrn.acmp." hidden="1">{#N/A,#N/A,FALSE,"SGP";#N/A,#N/A,FALSE,"SGI";#N/A,#N/A,FALSE,"SGC";#N/A,#N/A,FALSE,"SGS";#N/A,#N/A,FALSE,"SGB"}</definedName>
    <definedName name="wrn.ACOMP." localSheetId="3" hidden="1">{#N/A,#N/A,FALSE,"AOPOSEST";#N/A,#N/A,FALSE,"GRAFRB10";#N/A,#N/A,FALSE,"GRAFCOMP11 (2)";#N/A,#N/A,FALSE,"AOCUSDIR12";#N/A,#N/A,FALSE,"AODPINDI12";#N/A,#N/A,FALSE,"AOPESSOA13";#N/A,#N/A,FALSE,"ENDIV";#N/A,#N/A,FALSE,"AOVINTEC14";#N/A,#N/A,FALSE,"AOFLUXO18";#N/A,#N/A,FALSE,"BALPATRIM"}</definedName>
    <definedName name="wrn.ACOMP." localSheetId="5" hidden="1">{#N/A,#N/A,FALSE,"AOPOSEST";#N/A,#N/A,FALSE,"GRAFRB10";#N/A,#N/A,FALSE,"GRAFCOMP11 (2)";#N/A,#N/A,FALSE,"AOCUSDIR12";#N/A,#N/A,FALSE,"AODPINDI12";#N/A,#N/A,FALSE,"AOPESSOA13";#N/A,#N/A,FALSE,"ENDIV";#N/A,#N/A,FALSE,"AOVINTEC14";#N/A,#N/A,FALSE,"AOFLUXO18";#N/A,#N/A,FALSE,"BALPATRIM"}</definedName>
    <definedName name="wrn.ACOMP." localSheetId="6" hidden="1">{#N/A,#N/A,FALSE,"AOPOSEST";#N/A,#N/A,FALSE,"GRAFRB10";#N/A,#N/A,FALSE,"GRAFCOMP11 (2)";#N/A,#N/A,FALSE,"AOCUSDIR12";#N/A,#N/A,FALSE,"AODPINDI12";#N/A,#N/A,FALSE,"AOPESSOA13";#N/A,#N/A,FALSE,"ENDIV";#N/A,#N/A,FALSE,"AOVINTEC14";#N/A,#N/A,FALSE,"AOFLUXO18";#N/A,#N/A,FALSE,"BALPATRIM"}</definedName>
    <definedName name="wrn.ACOMP." localSheetId="7" hidden="1">{#N/A,#N/A,FALSE,"AOPOSEST";#N/A,#N/A,FALSE,"GRAFRB10";#N/A,#N/A,FALSE,"GRAFCOMP11 (2)";#N/A,#N/A,FALSE,"AOCUSDIR12";#N/A,#N/A,FALSE,"AODPINDI12";#N/A,#N/A,FALSE,"AOPESSOA13";#N/A,#N/A,FALSE,"ENDIV";#N/A,#N/A,FALSE,"AOVINTEC14";#N/A,#N/A,FALSE,"AOFLUXO18";#N/A,#N/A,FALSE,"BALPATRIM"}</definedName>
    <definedName name="wrn.ACOMP." localSheetId="9" hidden="1">{#N/A,#N/A,FALSE,"AOPOSEST";#N/A,#N/A,FALSE,"GRAFRB10";#N/A,#N/A,FALSE,"GRAFCOMP11 (2)";#N/A,#N/A,FALSE,"AOCUSDIR12";#N/A,#N/A,FALSE,"AODPINDI12";#N/A,#N/A,FALSE,"AOPESSOA13";#N/A,#N/A,FALSE,"ENDIV";#N/A,#N/A,FALSE,"AOVINTEC14";#N/A,#N/A,FALSE,"AOFLUXO18";#N/A,#N/A,FALSE,"BALPATRIM"}</definedName>
    <definedName name="wrn.ACOMP." localSheetId="10" hidden="1">{#N/A,#N/A,FALSE,"AOPOSEST";#N/A,#N/A,FALSE,"GRAFRB10";#N/A,#N/A,FALSE,"GRAFCOMP11 (2)";#N/A,#N/A,FALSE,"AOCUSDIR12";#N/A,#N/A,FALSE,"AODPINDI12";#N/A,#N/A,FALSE,"AOPESSOA13";#N/A,#N/A,FALSE,"ENDIV";#N/A,#N/A,FALSE,"AOVINTEC14";#N/A,#N/A,FALSE,"AOFLUXO18";#N/A,#N/A,FALSE,"BALPATRIM"}</definedName>
    <definedName name="wrn.ACOMP." localSheetId="11" hidden="1">{#N/A,#N/A,FALSE,"AOPOSEST";#N/A,#N/A,FALSE,"GRAFRB10";#N/A,#N/A,FALSE,"GRAFCOMP11 (2)";#N/A,#N/A,FALSE,"AOCUSDIR12";#N/A,#N/A,FALSE,"AODPINDI12";#N/A,#N/A,FALSE,"AOPESSOA13";#N/A,#N/A,FALSE,"ENDIV";#N/A,#N/A,FALSE,"AOVINTEC14";#N/A,#N/A,FALSE,"AOFLUXO18";#N/A,#N/A,FALSE,"BALPATRIM"}</definedName>
    <definedName name="wrn.ACOMP." localSheetId="12" hidden="1">{#N/A,#N/A,FALSE,"AOPOSEST";#N/A,#N/A,FALSE,"GRAFRB10";#N/A,#N/A,FALSE,"GRAFCOMP11 (2)";#N/A,#N/A,FALSE,"AOCUSDIR12";#N/A,#N/A,FALSE,"AODPINDI12";#N/A,#N/A,FALSE,"AOPESSOA13";#N/A,#N/A,FALSE,"ENDIV";#N/A,#N/A,FALSE,"AOVINTEC14";#N/A,#N/A,FALSE,"AOFLUXO18";#N/A,#N/A,FALSE,"BALPATRIM"}</definedName>
    <definedName name="wrn.ACOMP." localSheetId="13" hidden="1">{#N/A,#N/A,FALSE,"AOPOSEST";#N/A,#N/A,FALSE,"GRAFRB10";#N/A,#N/A,FALSE,"GRAFCOMP11 (2)";#N/A,#N/A,FALSE,"AOCUSDIR12";#N/A,#N/A,FALSE,"AODPINDI12";#N/A,#N/A,FALSE,"AOPESSOA13";#N/A,#N/A,FALSE,"ENDIV";#N/A,#N/A,FALSE,"AOVINTEC14";#N/A,#N/A,FALSE,"AOFLUXO18";#N/A,#N/A,FALSE,"BALPATRIM"}</definedName>
    <definedName name="wrn.ACOMP." localSheetId="14" hidden="1">{#N/A,#N/A,FALSE,"AOPOSEST";#N/A,#N/A,FALSE,"GRAFRB10";#N/A,#N/A,FALSE,"GRAFCOMP11 (2)";#N/A,#N/A,FALSE,"AOCUSDIR12";#N/A,#N/A,FALSE,"AODPINDI12";#N/A,#N/A,FALSE,"AOPESSOA13";#N/A,#N/A,FALSE,"ENDIV";#N/A,#N/A,FALSE,"AOVINTEC14";#N/A,#N/A,FALSE,"AOFLUXO18";#N/A,#N/A,FALSE,"BALPATRIM"}</definedName>
    <definedName name="wrn.ACOMP." localSheetId="15" hidden="1">{#N/A,#N/A,FALSE,"AOPOSEST";#N/A,#N/A,FALSE,"GRAFRB10";#N/A,#N/A,FALSE,"GRAFCOMP11 (2)";#N/A,#N/A,FALSE,"AOCUSDIR12";#N/A,#N/A,FALSE,"AODPINDI12";#N/A,#N/A,FALSE,"AOPESSOA13";#N/A,#N/A,FALSE,"ENDIV";#N/A,#N/A,FALSE,"AOVINTEC14";#N/A,#N/A,FALSE,"AOFLUXO18";#N/A,#N/A,FALSE,"BALPATRIM"}</definedName>
    <definedName name="wrn.ACOMP." localSheetId="20" hidden="1">{#N/A,#N/A,FALSE,"AOPOSEST";#N/A,#N/A,FALSE,"GRAFRB10";#N/A,#N/A,FALSE,"GRAFCOMP11 (2)";#N/A,#N/A,FALSE,"AOCUSDIR12";#N/A,#N/A,FALSE,"AODPINDI12";#N/A,#N/A,FALSE,"AOPESSOA13";#N/A,#N/A,FALSE,"ENDIV";#N/A,#N/A,FALSE,"AOVINTEC14";#N/A,#N/A,FALSE,"AOFLUXO18";#N/A,#N/A,FALSE,"BALPATRIM"}</definedName>
    <definedName name="wrn.ACOMP." localSheetId="21" hidden="1">{#N/A,#N/A,FALSE,"AOPOSEST";#N/A,#N/A,FALSE,"GRAFRB10";#N/A,#N/A,FALSE,"GRAFCOMP11 (2)";#N/A,#N/A,FALSE,"AOCUSDIR12";#N/A,#N/A,FALSE,"AODPINDI12";#N/A,#N/A,FALSE,"AOPESSOA13";#N/A,#N/A,FALSE,"ENDIV";#N/A,#N/A,FALSE,"AOVINTEC14";#N/A,#N/A,FALSE,"AOFLUXO18";#N/A,#N/A,FALSE,"BALPATRIM"}</definedName>
    <definedName name="wrn.ACOMP." localSheetId="22" hidden="1">{#N/A,#N/A,FALSE,"AOPOSEST";#N/A,#N/A,FALSE,"GRAFRB10";#N/A,#N/A,FALSE,"GRAFCOMP11 (2)";#N/A,#N/A,FALSE,"AOCUSDIR12";#N/A,#N/A,FALSE,"AODPINDI12";#N/A,#N/A,FALSE,"AOPESSOA13";#N/A,#N/A,FALSE,"ENDIV";#N/A,#N/A,FALSE,"AOVINTEC14";#N/A,#N/A,FALSE,"AOFLUXO18";#N/A,#N/A,FALSE,"BALPATRIM"}</definedName>
    <definedName name="wrn.ACOMP." localSheetId="23" hidden="1">{#N/A,#N/A,FALSE,"AOPOSEST";#N/A,#N/A,FALSE,"GRAFRB10";#N/A,#N/A,FALSE,"GRAFCOMP11 (2)";#N/A,#N/A,FALSE,"AOCUSDIR12";#N/A,#N/A,FALSE,"AODPINDI12";#N/A,#N/A,FALSE,"AOPESSOA13";#N/A,#N/A,FALSE,"ENDIV";#N/A,#N/A,FALSE,"AOVINTEC14";#N/A,#N/A,FALSE,"AOFLUXO18";#N/A,#N/A,FALSE,"BALPATRIM"}</definedName>
    <definedName name="wrn.ACOMP." localSheetId="24" hidden="1">{#N/A,#N/A,FALSE,"AOPOSEST";#N/A,#N/A,FALSE,"GRAFRB10";#N/A,#N/A,FALSE,"GRAFCOMP11 (2)";#N/A,#N/A,FALSE,"AOCUSDIR12";#N/A,#N/A,FALSE,"AODPINDI12";#N/A,#N/A,FALSE,"AOPESSOA13";#N/A,#N/A,FALSE,"ENDIV";#N/A,#N/A,FALSE,"AOVINTEC14";#N/A,#N/A,FALSE,"AOFLUXO18";#N/A,#N/A,FALSE,"BALPATRIM"}</definedName>
    <definedName name="wrn.ACOMP." localSheetId="25" hidden="1">{#N/A,#N/A,FALSE,"AOPOSEST";#N/A,#N/A,FALSE,"GRAFRB10";#N/A,#N/A,FALSE,"GRAFCOMP11 (2)";#N/A,#N/A,FALSE,"AOCUSDIR12";#N/A,#N/A,FALSE,"AODPINDI12";#N/A,#N/A,FALSE,"AOPESSOA13";#N/A,#N/A,FALSE,"ENDIV";#N/A,#N/A,FALSE,"AOVINTEC14";#N/A,#N/A,FALSE,"AOFLUXO18";#N/A,#N/A,FALSE,"BALPATRIM"}</definedName>
    <definedName name="wrn.ACOMP." localSheetId="26" hidden="1">{#N/A,#N/A,FALSE,"AOPOSEST";#N/A,#N/A,FALSE,"GRAFRB10";#N/A,#N/A,FALSE,"GRAFCOMP11 (2)";#N/A,#N/A,FALSE,"AOCUSDIR12";#N/A,#N/A,FALSE,"AODPINDI12";#N/A,#N/A,FALSE,"AOPESSOA13";#N/A,#N/A,FALSE,"ENDIV";#N/A,#N/A,FALSE,"AOVINTEC14";#N/A,#N/A,FALSE,"AOFLUXO18";#N/A,#N/A,FALSE,"BALPATRIM"}</definedName>
    <definedName name="wrn.ACOMP." localSheetId="27" hidden="1">{#N/A,#N/A,FALSE,"AOPOSEST";#N/A,#N/A,FALSE,"GRAFRB10";#N/A,#N/A,FALSE,"GRAFCOMP11 (2)";#N/A,#N/A,FALSE,"AOCUSDIR12";#N/A,#N/A,FALSE,"AODPINDI12";#N/A,#N/A,FALSE,"AOPESSOA13";#N/A,#N/A,FALSE,"ENDIV";#N/A,#N/A,FALSE,"AOVINTEC14";#N/A,#N/A,FALSE,"AOFLUXO18";#N/A,#N/A,FALSE,"BALPATRIM"}</definedName>
    <definedName name="wrn.ACOMP." localSheetId="28" hidden="1">{#N/A,#N/A,FALSE,"AOPOSEST";#N/A,#N/A,FALSE,"GRAFRB10";#N/A,#N/A,FALSE,"GRAFCOMP11 (2)";#N/A,#N/A,FALSE,"AOCUSDIR12";#N/A,#N/A,FALSE,"AODPINDI12";#N/A,#N/A,FALSE,"AOPESSOA13";#N/A,#N/A,FALSE,"ENDIV";#N/A,#N/A,FALSE,"AOVINTEC14";#N/A,#N/A,FALSE,"AOFLUXO18";#N/A,#N/A,FALSE,"BALPATRIM"}</definedName>
    <definedName name="wrn.ACOMP." localSheetId="29" hidden="1">{#N/A,#N/A,FALSE,"AOPOSEST";#N/A,#N/A,FALSE,"GRAFRB10";#N/A,#N/A,FALSE,"GRAFCOMP11 (2)";#N/A,#N/A,FALSE,"AOCUSDIR12";#N/A,#N/A,FALSE,"AODPINDI12";#N/A,#N/A,FALSE,"AOPESSOA13";#N/A,#N/A,FALSE,"ENDIV";#N/A,#N/A,FALSE,"AOVINTEC14";#N/A,#N/A,FALSE,"AOFLUXO18";#N/A,#N/A,FALSE,"BALPATRIM"}</definedName>
    <definedName name="wrn.ACOMP." localSheetId="30" hidden="1">{#N/A,#N/A,FALSE,"AOPOSEST";#N/A,#N/A,FALSE,"GRAFRB10";#N/A,#N/A,FALSE,"GRAFCOMP11 (2)";#N/A,#N/A,FALSE,"AOCUSDIR12";#N/A,#N/A,FALSE,"AODPINDI12";#N/A,#N/A,FALSE,"AOPESSOA13";#N/A,#N/A,FALSE,"ENDIV";#N/A,#N/A,FALSE,"AOVINTEC14";#N/A,#N/A,FALSE,"AOFLUXO18";#N/A,#N/A,FALSE,"BALPATRIM"}</definedName>
    <definedName name="wrn.ACOMP." localSheetId="31" hidden="1">{#N/A,#N/A,FALSE,"AOPOSEST";#N/A,#N/A,FALSE,"GRAFRB10";#N/A,#N/A,FALSE,"GRAFCOMP11 (2)";#N/A,#N/A,FALSE,"AOCUSDIR12";#N/A,#N/A,FALSE,"AODPINDI12";#N/A,#N/A,FALSE,"AOPESSOA13";#N/A,#N/A,FALSE,"ENDIV";#N/A,#N/A,FALSE,"AOVINTEC14";#N/A,#N/A,FALSE,"AOFLUXO18";#N/A,#N/A,FALSE,"BALPATRIM"}</definedName>
    <definedName name="wrn.ACOMP." localSheetId="32" hidden="1">{#N/A,#N/A,FALSE,"AOPOSEST";#N/A,#N/A,FALSE,"GRAFRB10";#N/A,#N/A,FALSE,"GRAFCOMP11 (2)";#N/A,#N/A,FALSE,"AOCUSDIR12";#N/A,#N/A,FALSE,"AODPINDI12";#N/A,#N/A,FALSE,"AOPESSOA13";#N/A,#N/A,FALSE,"ENDIV";#N/A,#N/A,FALSE,"AOVINTEC14";#N/A,#N/A,FALSE,"AOFLUXO18";#N/A,#N/A,FALSE,"BALPATRIM"}</definedName>
    <definedName name="wrn.ACOMP." hidden="1">{#N/A,#N/A,FALSE,"AOPOSEST";#N/A,#N/A,FALSE,"GRAFRB10";#N/A,#N/A,FALSE,"GRAFCOMP11 (2)";#N/A,#N/A,FALSE,"AOCUSDIR12";#N/A,#N/A,FALSE,"AODPINDI12";#N/A,#N/A,FALSE,"AOPESSOA13";#N/A,#N/A,FALSE,"ENDIV";#N/A,#N/A,FALSE,"AOVINTEC14";#N/A,#N/A,FALSE,"AOFLUXO18";#N/A,#N/A,FALSE,"BALPATRIM"}</definedName>
    <definedName name="wrn.Advanced._.Material." localSheetId="3" hidden="1">{#N/A,#N/A,FALSE,"CAPA";#N/A,#N/A,FALSE,"CONSOL. 2";#N/A,#N/A,FALSE,"CONSOL. 5";#N/A,#N/A,FALSE,"CONSOL. ACUM. 6";#N/A,#N/A,FALSE,"CAP. EMPREG. 7"}</definedName>
    <definedName name="wrn.Advanced._.Material." localSheetId="5" hidden="1">{#N/A,#N/A,FALSE,"CAPA";#N/A,#N/A,FALSE,"CONSOL. 2";#N/A,#N/A,FALSE,"CONSOL. 5";#N/A,#N/A,FALSE,"CONSOL. ACUM. 6";#N/A,#N/A,FALSE,"CAP. EMPREG. 7"}</definedName>
    <definedName name="wrn.Advanced._.Material." localSheetId="6" hidden="1">{#N/A,#N/A,FALSE,"CAPA";#N/A,#N/A,FALSE,"CONSOL. 2";#N/A,#N/A,FALSE,"CONSOL. 5";#N/A,#N/A,FALSE,"CONSOL. ACUM. 6";#N/A,#N/A,FALSE,"CAP. EMPREG. 7"}</definedName>
    <definedName name="wrn.Advanced._.Material." localSheetId="7" hidden="1">{#N/A,#N/A,FALSE,"CAPA";#N/A,#N/A,FALSE,"CONSOL. 2";#N/A,#N/A,FALSE,"CONSOL. 5";#N/A,#N/A,FALSE,"CONSOL. ACUM. 6";#N/A,#N/A,FALSE,"CAP. EMPREG. 7"}</definedName>
    <definedName name="wrn.Advanced._.Material." localSheetId="9" hidden="1">{#N/A,#N/A,FALSE,"CAPA";#N/A,#N/A,FALSE,"CONSOL. 2";#N/A,#N/A,FALSE,"CONSOL. 5";#N/A,#N/A,FALSE,"CONSOL. ACUM. 6";#N/A,#N/A,FALSE,"CAP. EMPREG. 7"}</definedName>
    <definedName name="wrn.Advanced._.Material." localSheetId="10" hidden="1">{#N/A,#N/A,FALSE,"CAPA";#N/A,#N/A,FALSE,"CONSOL. 2";#N/A,#N/A,FALSE,"CONSOL. 5";#N/A,#N/A,FALSE,"CONSOL. ACUM. 6";#N/A,#N/A,FALSE,"CAP. EMPREG. 7"}</definedName>
    <definedName name="wrn.Advanced._.Material." localSheetId="11" hidden="1">{#N/A,#N/A,FALSE,"CAPA";#N/A,#N/A,FALSE,"CONSOL. 2";#N/A,#N/A,FALSE,"CONSOL. 5";#N/A,#N/A,FALSE,"CONSOL. ACUM. 6";#N/A,#N/A,FALSE,"CAP. EMPREG. 7"}</definedName>
    <definedName name="wrn.Advanced._.Material." localSheetId="12" hidden="1">{#N/A,#N/A,FALSE,"CAPA";#N/A,#N/A,FALSE,"CONSOL. 2";#N/A,#N/A,FALSE,"CONSOL. 5";#N/A,#N/A,FALSE,"CONSOL. ACUM. 6";#N/A,#N/A,FALSE,"CAP. EMPREG. 7"}</definedName>
    <definedName name="wrn.Advanced._.Material." localSheetId="13" hidden="1">{#N/A,#N/A,FALSE,"CAPA";#N/A,#N/A,FALSE,"CONSOL. 2";#N/A,#N/A,FALSE,"CONSOL. 5";#N/A,#N/A,FALSE,"CONSOL. ACUM. 6";#N/A,#N/A,FALSE,"CAP. EMPREG. 7"}</definedName>
    <definedName name="wrn.Advanced._.Material." localSheetId="14" hidden="1">{#N/A,#N/A,FALSE,"CAPA";#N/A,#N/A,FALSE,"CONSOL. 2";#N/A,#N/A,FALSE,"CONSOL. 5";#N/A,#N/A,FALSE,"CONSOL. ACUM. 6";#N/A,#N/A,FALSE,"CAP. EMPREG. 7"}</definedName>
    <definedName name="wrn.Advanced._.Material." localSheetId="15" hidden="1">{#N/A,#N/A,FALSE,"CAPA";#N/A,#N/A,FALSE,"CONSOL. 2";#N/A,#N/A,FALSE,"CONSOL. 5";#N/A,#N/A,FALSE,"CONSOL. ACUM. 6";#N/A,#N/A,FALSE,"CAP. EMPREG. 7"}</definedName>
    <definedName name="wrn.Advanced._.Material." localSheetId="20" hidden="1">{#N/A,#N/A,FALSE,"CAPA";#N/A,#N/A,FALSE,"CONSOL. 2";#N/A,#N/A,FALSE,"CONSOL. 5";#N/A,#N/A,FALSE,"CONSOL. ACUM. 6";#N/A,#N/A,FALSE,"CAP. EMPREG. 7"}</definedName>
    <definedName name="wrn.Advanced._.Material." localSheetId="21" hidden="1">{#N/A,#N/A,FALSE,"CAPA";#N/A,#N/A,FALSE,"CONSOL. 2";#N/A,#N/A,FALSE,"CONSOL. 5";#N/A,#N/A,FALSE,"CONSOL. ACUM. 6";#N/A,#N/A,FALSE,"CAP. EMPREG. 7"}</definedName>
    <definedName name="wrn.Advanced._.Material." localSheetId="22" hidden="1">{#N/A,#N/A,FALSE,"CAPA";#N/A,#N/A,FALSE,"CONSOL. 2";#N/A,#N/A,FALSE,"CONSOL. 5";#N/A,#N/A,FALSE,"CONSOL. ACUM. 6";#N/A,#N/A,FALSE,"CAP. EMPREG. 7"}</definedName>
    <definedName name="wrn.Advanced._.Material." localSheetId="23" hidden="1">{#N/A,#N/A,FALSE,"CAPA";#N/A,#N/A,FALSE,"CONSOL. 2";#N/A,#N/A,FALSE,"CONSOL. 5";#N/A,#N/A,FALSE,"CONSOL. ACUM. 6";#N/A,#N/A,FALSE,"CAP. EMPREG. 7"}</definedName>
    <definedName name="wrn.Advanced._.Material." localSheetId="24" hidden="1">{#N/A,#N/A,FALSE,"CAPA";#N/A,#N/A,FALSE,"CONSOL. 2";#N/A,#N/A,FALSE,"CONSOL. 5";#N/A,#N/A,FALSE,"CONSOL. ACUM. 6";#N/A,#N/A,FALSE,"CAP. EMPREG. 7"}</definedName>
    <definedName name="wrn.Advanced._.Material." localSheetId="25" hidden="1">{#N/A,#N/A,FALSE,"CAPA";#N/A,#N/A,FALSE,"CONSOL. 2";#N/A,#N/A,FALSE,"CONSOL. 5";#N/A,#N/A,FALSE,"CONSOL. ACUM. 6";#N/A,#N/A,FALSE,"CAP. EMPREG. 7"}</definedName>
    <definedName name="wrn.Advanced._.Material." localSheetId="26" hidden="1">{#N/A,#N/A,FALSE,"CAPA";#N/A,#N/A,FALSE,"CONSOL. 2";#N/A,#N/A,FALSE,"CONSOL. 5";#N/A,#N/A,FALSE,"CONSOL. ACUM. 6";#N/A,#N/A,FALSE,"CAP. EMPREG. 7"}</definedName>
    <definedName name="wrn.Advanced._.Material." localSheetId="27" hidden="1">{#N/A,#N/A,FALSE,"CAPA";#N/A,#N/A,FALSE,"CONSOL. 2";#N/A,#N/A,FALSE,"CONSOL. 5";#N/A,#N/A,FALSE,"CONSOL. ACUM. 6";#N/A,#N/A,FALSE,"CAP. EMPREG. 7"}</definedName>
    <definedName name="wrn.Advanced._.Material." localSheetId="28" hidden="1">{#N/A,#N/A,FALSE,"CAPA";#N/A,#N/A,FALSE,"CONSOL. 2";#N/A,#N/A,FALSE,"CONSOL. 5";#N/A,#N/A,FALSE,"CONSOL. ACUM. 6";#N/A,#N/A,FALSE,"CAP. EMPREG. 7"}</definedName>
    <definedName name="wrn.Advanced._.Material." localSheetId="29" hidden="1">{#N/A,#N/A,FALSE,"CAPA";#N/A,#N/A,FALSE,"CONSOL. 2";#N/A,#N/A,FALSE,"CONSOL. 5";#N/A,#N/A,FALSE,"CONSOL. ACUM. 6";#N/A,#N/A,FALSE,"CAP. EMPREG. 7"}</definedName>
    <definedName name="wrn.Advanced._.Material." localSheetId="30" hidden="1">{#N/A,#N/A,FALSE,"CAPA";#N/A,#N/A,FALSE,"CONSOL. 2";#N/A,#N/A,FALSE,"CONSOL. 5";#N/A,#N/A,FALSE,"CONSOL. ACUM. 6";#N/A,#N/A,FALSE,"CAP. EMPREG. 7"}</definedName>
    <definedName name="wrn.Advanced._.Material." localSheetId="31" hidden="1">{#N/A,#N/A,FALSE,"CAPA";#N/A,#N/A,FALSE,"CONSOL. 2";#N/A,#N/A,FALSE,"CONSOL. 5";#N/A,#N/A,FALSE,"CONSOL. ACUM. 6";#N/A,#N/A,FALSE,"CAP. EMPREG. 7"}</definedName>
    <definedName name="wrn.Advanced._.Material." localSheetId="32" hidden="1">{#N/A,#N/A,FALSE,"CAPA";#N/A,#N/A,FALSE,"CONSOL. 2";#N/A,#N/A,FALSE,"CONSOL. 5";#N/A,#N/A,FALSE,"CONSOL. ACUM. 6";#N/A,#N/A,FALSE,"CAP. EMPREG. 7"}</definedName>
    <definedName name="wrn.Advanced._.Material." hidden="1">{#N/A,#N/A,FALSE,"CAPA";#N/A,#N/A,FALSE,"CONSOL. 2";#N/A,#N/A,FALSE,"CONSOL. 5";#N/A,#N/A,FALSE,"CONSOL. ACUM. 6";#N/A,#N/A,FALSE,"CAP. EMPREG. 7"}</definedName>
    <definedName name="wrn.ALTA._.ADM.._.DOLAR." localSheetId="3" hidden="1">{#N/A,#N/A,FALSE,"PREÇO.CPV.CA60";#N/A,#N/A,FALSE,"PREÇO.CPV.TREFILADOS";#N/A,#N/A,FALSE,"PREÇO.CPV.CA50";#N/A,#N/A,FALSE,"PREÇO.CPV.FM";#N/A,#N/A,FALSE,"PREÇO-FOB"}</definedName>
    <definedName name="wrn.ALTA._.ADM.._.DOLAR." localSheetId="5" hidden="1">{#N/A,#N/A,FALSE,"PREÇO.CPV.CA60";#N/A,#N/A,FALSE,"PREÇO.CPV.TREFILADOS";#N/A,#N/A,FALSE,"PREÇO.CPV.CA50";#N/A,#N/A,FALSE,"PREÇO.CPV.FM";#N/A,#N/A,FALSE,"PREÇO-FOB"}</definedName>
    <definedName name="wrn.ALTA._.ADM.._.DOLAR." localSheetId="6" hidden="1">{#N/A,#N/A,FALSE,"PREÇO.CPV.CA60";#N/A,#N/A,FALSE,"PREÇO.CPV.TREFILADOS";#N/A,#N/A,FALSE,"PREÇO.CPV.CA50";#N/A,#N/A,FALSE,"PREÇO.CPV.FM";#N/A,#N/A,FALSE,"PREÇO-FOB"}</definedName>
    <definedName name="wrn.ALTA._.ADM.._.DOLAR." localSheetId="7" hidden="1">{#N/A,#N/A,FALSE,"PREÇO.CPV.CA60";#N/A,#N/A,FALSE,"PREÇO.CPV.TREFILADOS";#N/A,#N/A,FALSE,"PREÇO.CPV.CA50";#N/A,#N/A,FALSE,"PREÇO.CPV.FM";#N/A,#N/A,FALSE,"PREÇO-FOB"}</definedName>
    <definedName name="wrn.ALTA._.ADM.._.DOLAR." localSheetId="9" hidden="1">{#N/A,#N/A,FALSE,"PREÇO.CPV.CA60";#N/A,#N/A,FALSE,"PREÇO.CPV.TREFILADOS";#N/A,#N/A,FALSE,"PREÇO.CPV.CA50";#N/A,#N/A,FALSE,"PREÇO.CPV.FM";#N/A,#N/A,FALSE,"PREÇO-FOB"}</definedName>
    <definedName name="wrn.ALTA._.ADM.._.DOLAR." localSheetId="10" hidden="1">{#N/A,#N/A,FALSE,"PREÇO.CPV.CA60";#N/A,#N/A,FALSE,"PREÇO.CPV.TREFILADOS";#N/A,#N/A,FALSE,"PREÇO.CPV.CA50";#N/A,#N/A,FALSE,"PREÇO.CPV.FM";#N/A,#N/A,FALSE,"PREÇO-FOB"}</definedName>
    <definedName name="wrn.ALTA._.ADM.._.DOLAR." localSheetId="11" hidden="1">{#N/A,#N/A,FALSE,"PREÇO.CPV.CA60";#N/A,#N/A,FALSE,"PREÇO.CPV.TREFILADOS";#N/A,#N/A,FALSE,"PREÇO.CPV.CA50";#N/A,#N/A,FALSE,"PREÇO.CPV.FM";#N/A,#N/A,FALSE,"PREÇO-FOB"}</definedName>
    <definedName name="wrn.ALTA._.ADM.._.DOLAR." localSheetId="12" hidden="1">{#N/A,#N/A,FALSE,"PREÇO.CPV.CA60";#N/A,#N/A,FALSE,"PREÇO.CPV.TREFILADOS";#N/A,#N/A,FALSE,"PREÇO.CPV.CA50";#N/A,#N/A,FALSE,"PREÇO.CPV.FM";#N/A,#N/A,FALSE,"PREÇO-FOB"}</definedName>
    <definedName name="wrn.ALTA._.ADM.._.DOLAR." localSheetId="13" hidden="1">{#N/A,#N/A,FALSE,"PREÇO.CPV.CA60";#N/A,#N/A,FALSE,"PREÇO.CPV.TREFILADOS";#N/A,#N/A,FALSE,"PREÇO.CPV.CA50";#N/A,#N/A,FALSE,"PREÇO.CPV.FM";#N/A,#N/A,FALSE,"PREÇO-FOB"}</definedName>
    <definedName name="wrn.ALTA._.ADM.._.DOLAR." localSheetId="14" hidden="1">{#N/A,#N/A,FALSE,"PREÇO.CPV.CA60";#N/A,#N/A,FALSE,"PREÇO.CPV.TREFILADOS";#N/A,#N/A,FALSE,"PREÇO.CPV.CA50";#N/A,#N/A,FALSE,"PREÇO.CPV.FM";#N/A,#N/A,FALSE,"PREÇO-FOB"}</definedName>
    <definedName name="wrn.ALTA._.ADM.._.DOLAR." localSheetId="15" hidden="1">{#N/A,#N/A,FALSE,"PREÇO.CPV.CA60";#N/A,#N/A,FALSE,"PREÇO.CPV.TREFILADOS";#N/A,#N/A,FALSE,"PREÇO.CPV.CA50";#N/A,#N/A,FALSE,"PREÇO.CPV.FM";#N/A,#N/A,FALSE,"PREÇO-FOB"}</definedName>
    <definedName name="wrn.ALTA._.ADM.._.DOLAR." localSheetId="20" hidden="1">{#N/A,#N/A,FALSE,"PREÇO.CPV.CA60";#N/A,#N/A,FALSE,"PREÇO.CPV.TREFILADOS";#N/A,#N/A,FALSE,"PREÇO.CPV.CA50";#N/A,#N/A,FALSE,"PREÇO.CPV.FM";#N/A,#N/A,FALSE,"PREÇO-FOB"}</definedName>
    <definedName name="wrn.ALTA._.ADM.._.DOLAR." localSheetId="21" hidden="1">{#N/A,#N/A,FALSE,"PREÇO.CPV.CA60";#N/A,#N/A,FALSE,"PREÇO.CPV.TREFILADOS";#N/A,#N/A,FALSE,"PREÇO.CPV.CA50";#N/A,#N/A,FALSE,"PREÇO.CPV.FM";#N/A,#N/A,FALSE,"PREÇO-FOB"}</definedName>
    <definedName name="wrn.ALTA._.ADM.._.DOLAR." localSheetId="22" hidden="1">{#N/A,#N/A,FALSE,"PREÇO.CPV.CA60";#N/A,#N/A,FALSE,"PREÇO.CPV.TREFILADOS";#N/A,#N/A,FALSE,"PREÇO.CPV.CA50";#N/A,#N/A,FALSE,"PREÇO.CPV.FM";#N/A,#N/A,FALSE,"PREÇO-FOB"}</definedName>
    <definedName name="wrn.ALTA._.ADM.._.DOLAR." localSheetId="23" hidden="1">{#N/A,#N/A,FALSE,"PREÇO.CPV.CA60";#N/A,#N/A,FALSE,"PREÇO.CPV.TREFILADOS";#N/A,#N/A,FALSE,"PREÇO.CPV.CA50";#N/A,#N/A,FALSE,"PREÇO.CPV.FM";#N/A,#N/A,FALSE,"PREÇO-FOB"}</definedName>
    <definedName name="wrn.ALTA._.ADM.._.DOLAR." localSheetId="24" hidden="1">{#N/A,#N/A,FALSE,"PREÇO.CPV.CA60";#N/A,#N/A,FALSE,"PREÇO.CPV.TREFILADOS";#N/A,#N/A,FALSE,"PREÇO.CPV.CA50";#N/A,#N/A,FALSE,"PREÇO.CPV.FM";#N/A,#N/A,FALSE,"PREÇO-FOB"}</definedName>
    <definedName name="wrn.ALTA._.ADM.._.DOLAR." localSheetId="25" hidden="1">{#N/A,#N/A,FALSE,"PREÇO.CPV.CA60";#N/A,#N/A,FALSE,"PREÇO.CPV.TREFILADOS";#N/A,#N/A,FALSE,"PREÇO.CPV.CA50";#N/A,#N/A,FALSE,"PREÇO.CPV.FM";#N/A,#N/A,FALSE,"PREÇO-FOB"}</definedName>
    <definedName name="wrn.ALTA._.ADM.._.DOLAR." localSheetId="26" hidden="1">{#N/A,#N/A,FALSE,"PREÇO.CPV.CA60";#N/A,#N/A,FALSE,"PREÇO.CPV.TREFILADOS";#N/A,#N/A,FALSE,"PREÇO.CPV.CA50";#N/A,#N/A,FALSE,"PREÇO.CPV.FM";#N/A,#N/A,FALSE,"PREÇO-FOB"}</definedName>
    <definedName name="wrn.ALTA._.ADM.._.DOLAR." localSheetId="27" hidden="1">{#N/A,#N/A,FALSE,"PREÇO.CPV.CA60";#N/A,#N/A,FALSE,"PREÇO.CPV.TREFILADOS";#N/A,#N/A,FALSE,"PREÇO.CPV.CA50";#N/A,#N/A,FALSE,"PREÇO.CPV.FM";#N/A,#N/A,FALSE,"PREÇO-FOB"}</definedName>
    <definedName name="wrn.ALTA._.ADM.._.DOLAR." localSheetId="28" hidden="1">{#N/A,#N/A,FALSE,"PREÇO.CPV.CA60";#N/A,#N/A,FALSE,"PREÇO.CPV.TREFILADOS";#N/A,#N/A,FALSE,"PREÇO.CPV.CA50";#N/A,#N/A,FALSE,"PREÇO.CPV.FM";#N/A,#N/A,FALSE,"PREÇO-FOB"}</definedName>
    <definedName name="wrn.ALTA._.ADM.._.DOLAR." localSheetId="29" hidden="1">{#N/A,#N/A,FALSE,"PREÇO.CPV.CA60";#N/A,#N/A,FALSE,"PREÇO.CPV.TREFILADOS";#N/A,#N/A,FALSE,"PREÇO.CPV.CA50";#N/A,#N/A,FALSE,"PREÇO.CPV.FM";#N/A,#N/A,FALSE,"PREÇO-FOB"}</definedName>
    <definedName name="wrn.ALTA._.ADM.._.DOLAR." localSheetId="30" hidden="1">{#N/A,#N/A,FALSE,"PREÇO.CPV.CA60";#N/A,#N/A,FALSE,"PREÇO.CPV.TREFILADOS";#N/A,#N/A,FALSE,"PREÇO.CPV.CA50";#N/A,#N/A,FALSE,"PREÇO.CPV.FM";#N/A,#N/A,FALSE,"PREÇO-FOB"}</definedName>
    <definedName name="wrn.ALTA._.ADM.._.DOLAR." localSheetId="31" hidden="1">{#N/A,#N/A,FALSE,"PREÇO.CPV.CA60";#N/A,#N/A,FALSE,"PREÇO.CPV.TREFILADOS";#N/A,#N/A,FALSE,"PREÇO.CPV.CA50";#N/A,#N/A,FALSE,"PREÇO.CPV.FM";#N/A,#N/A,FALSE,"PREÇO-FOB"}</definedName>
    <definedName name="wrn.ALTA._.ADM.._.DOLAR." localSheetId="32" hidden="1">{#N/A,#N/A,FALSE,"PREÇO.CPV.CA60";#N/A,#N/A,FALSE,"PREÇO.CPV.TREFILADOS";#N/A,#N/A,FALSE,"PREÇO.CPV.CA50";#N/A,#N/A,FALSE,"PREÇO.CPV.FM";#N/A,#N/A,FALSE,"PREÇO-FOB"}</definedName>
    <definedName name="wrn.ALTA._.ADM.._.DOLAR." hidden="1">{#N/A,#N/A,FALSE,"PREÇO.CPV.CA60";#N/A,#N/A,FALSE,"PREÇO.CPV.TREFILADOS";#N/A,#N/A,FALSE,"PREÇO.CPV.CA50";#N/A,#N/A,FALSE,"PREÇO.CPV.FM";#N/A,#N/A,FALSE,"PREÇO-FOB"}</definedName>
    <definedName name="wrn.ALTA._.ADMINISTRAÇÃO." localSheetId="3" hidden="1">{#N/A,#N/A,FALSE,"PREÇO.CPV.CA60";#N/A,#N/A,FALSE,"PREÇO.CPV.TREFILADOS";#N/A,#N/A,FALSE,"PREÇO.CPV.CA50";#N/A,#N/A,FALSE,"PREÇO.CPV.FM";#N/A,#N/A,FALSE,"PREÇO-FOB"}</definedName>
    <definedName name="wrn.ALTA._.ADMINISTRAÇÃO." localSheetId="5" hidden="1">{#N/A,#N/A,FALSE,"PREÇO.CPV.CA60";#N/A,#N/A,FALSE,"PREÇO.CPV.TREFILADOS";#N/A,#N/A,FALSE,"PREÇO.CPV.CA50";#N/A,#N/A,FALSE,"PREÇO.CPV.FM";#N/A,#N/A,FALSE,"PREÇO-FOB"}</definedName>
    <definedName name="wrn.ALTA._.ADMINISTRAÇÃO." localSheetId="6" hidden="1">{#N/A,#N/A,FALSE,"PREÇO.CPV.CA60";#N/A,#N/A,FALSE,"PREÇO.CPV.TREFILADOS";#N/A,#N/A,FALSE,"PREÇO.CPV.CA50";#N/A,#N/A,FALSE,"PREÇO.CPV.FM";#N/A,#N/A,FALSE,"PREÇO-FOB"}</definedName>
    <definedName name="wrn.ALTA._.ADMINISTRAÇÃO." localSheetId="7" hidden="1">{#N/A,#N/A,FALSE,"PREÇO.CPV.CA60";#N/A,#N/A,FALSE,"PREÇO.CPV.TREFILADOS";#N/A,#N/A,FALSE,"PREÇO.CPV.CA50";#N/A,#N/A,FALSE,"PREÇO.CPV.FM";#N/A,#N/A,FALSE,"PREÇO-FOB"}</definedName>
    <definedName name="wrn.ALTA._.ADMINISTRAÇÃO." localSheetId="9" hidden="1">{#N/A,#N/A,FALSE,"PREÇO.CPV.CA60";#N/A,#N/A,FALSE,"PREÇO.CPV.TREFILADOS";#N/A,#N/A,FALSE,"PREÇO.CPV.CA50";#N/A,#N/A,FALSE,"PREÇO.CPV.FM";#N/A,#N/A,FALSE,"PREÇO-FOB"}</definedName>
    <definedName name="wrn.ALTA._.ADMINISTRAÇÃO." localSheetId="10" hidden="1">{#N/A,#N/A,FALSE,"PREÇO.CPV.CA60";#N/A,#N/A,FALSE,"PREÇO.CPV.TREFILADOS";#N/A,#N/A,FALSE,"PREÇO.CPV.CA50";#N/A,#N/A,FALSE,"PREÇO.CPV.FM";#N/A,#N/A,FALSE,"PREÇO-FOB"}</definedName>
    <definedName name="wrn.ALTA._.ADMINISTRAÇÃO." localSheetId="11" hidden="1">{#N/A,#N/A,FALSE,"PREÇO.CPV.CA60";#N/A,#N/A,FALSE,"PREÇO.CPV.TREFILADOS";#N/A,#N/A,FALSE,"PREÇO.CPV.CA50";#N/A,#N/A,FALSE,"PREÇO.CPV.FM";#N/A,#N/A,FALSE,"PREÇO-FOB"}</definedName>
    <definedName name="wrn.ALTA._.ADMINISTRAÇÃO." localSheetId="12" hidden="1">{#N/A,#N/A,FALSE,"PREÇO.CPV.CA60";#N/A,#N/A,FALSE,"PREÇO.CPV.TREFILADOS";#N/A,#N/A,FALSE,"PREÇO.CPV.CA50";#N/A,#N/A,FALSE,"PREÇO.CPV.FM";#N/A,#N/A,FALSE,"PREÇO-FOB"}</definedName>
    <definedName name="wrn.ALTA._.ADMINISTRAÇÃO." localSheetId="13" hidden="1">{#N/A,#N/A,FALSE,"PREÇO.CPV.CA60";#N/A,#N/A,FALSE,"PREÇO.CPV.TREFILADOS";#N/A,#N/A,FALSE,"PREÇO.CPV.CA50";#N/A,#N/A,FALSE,"PREÇO.CPV.FM";#N/A,#N/A,FALSE,"PREÇO-FOB"}</definedName>
    <definedName name="wrn.ALTA._.ADMINISTRAÇÃO." localSheetId="14" hidden="1">{#N/A,#N/A,FALSE,"PREÇO.CPV.CA60";#N/A,#N/A,FALSE,"PREÇO.CPV.TREFILADOS";#N/A,#N/A,FALSE,"PREÇO.CPV.CA50";#N/A,#N/A,FALSE,"PREÇO.CPV.FM";#N/A,#N/A,FALSE,"PREÇO-FOB"}</definedName>
    <definedName name="wrn.ALTA._.ADMINISTRAÇÃO." localSheetId="15" hidden="1">{#N/A,#N/A,FALSE,"PREÇO.CPV.CA60";#N/A,#N/A,FALSE,"PREÇO.CPV.TREFILADOS";#N/A,#N/A,FALSE,"PREÇO.CPV.CA50";#N/A,#N/A,FALSE,"PREÇO.CPV.FM";#N/A,#N/A,FALSE,"PREÇO-FOB"}</definedName>
    <definedName name="wrn.ALTA._.ADMINISTRAÇÃO." localSheetId="20" hidden="1">{#N/A,#N/A,FALSE,"PREÇO.CPV.CA60";#N/A,#N/A,FALSE,"PREÇO.CPV.TREFILADOS";#N/A,#N/A,FALSE,"PREÇO.CPV.CA50";#N/A,#N/A,FALSE,"PREÇO.CPV.FM";#N/A,#N/A,FALSE,"PREÇO-FOB"}</definedName>
    <definedName name="wrn.ALTA._.ADMINISTRAÇÃO." localSheetId="21" hidden="1">{#N/A,#N/A,FALSE,"PREÇO.CPV.CA60";#N/A,#N/A,FALSE,"PREÇO.CPV.TREFILADOS";#N/A,#N/A,FALSE,"PREÇO.CPV.CA50";#N/A,#N/A,FALSE,"PREÇO.CPV.FM";#N/A,#N/A,FALSE,"PREÇO-FOB"}</definedName>
    <definedName name="wrn.ALTA._.ADMINISTRAÇÃO." localSheetId="22" hidden="1">{#N/A,#N/A,FALSE,"PREÇO.CPV.CA60";#N/A,#N/A,FALSE,"PREÇO.CPV.TREFILADOS";#N/A,#N/A,FALSE,"PREÇO.CPV.CA50";#N/A,#N/A,FALSE,"PREÇO.CPV.FM";#N/A,#N/A,FALSE,"PREÇO-FOB"}</definedName>
    <definedName name="wrn.ALTA._.ADMINISTRAÇÃO." localSheetId="23" hidden="1">{#N/A,#N/A,FALSE,"PREÇO.CPV.CA60";#N/A,#N/A,FALSE,"PREÇO.CPV.TREFILADOS";#N/A,#N/A,FALSE,"PREÇO.CPV.CA50";#N/A,#N/A,FALSE,"PREÇO.CPV.FM";#N/A,#N/A,FALSE,"PREÇO-FOB"}</definedName>
    <definedName name="wrn.ALTA._.ADMINISTRAÇÃO." localSheetId="24" hidden="1">{#N/A,#N/A,FALSE,"PREÇO.CPV.CA60";#N/A,#N/A,FALSE,"PREÇO.CPV.TREFILADOS";#N/A,#N/A,FALSE,"PREÇO.CPV.CA50";#N/A,#N/A,FALSE,"PREÇO.CPV.FM";#N/A,#N/A,FALSE,"PREÇO-FOB"}</definedName>
    <definedName name="wrn.ALTA._.ADMINISTRAÇÃO." localSheetId="25" hidden="1">{#N/A,#N/A,FALSE,"PREÇO.CPV.CA60";#N/A,#N/A,FALSE,"PREÇO.CPV.TREFILADOS";#N/A,#N/A,FALSE,"PREÇO.CPV.CA50";#N/A,#N/A,FALSE,"PREÇO.CPV.FM";#N/A,#N/A,FALSE,"PREÇO-FOB"}</definedName>
    <definedName name="wrn.ALTA._.ADMINISTRAÇÃO." localSheetId="26" hidden="1">{#N/A,#N/A,FALSE,"PREÇO.CPV.CA60";#N/A,#N/A,FALSE,"PREÇO.CPV.TREFILADOS";#N/A,#N/A,FALSE,"PREÇO.CPV.CA50";#N/A,#N/A,FALSE,"PREÇO.CPV.FM";#N/A,#N/A,FALSE,"PREÇO-FOB"}</definedName>
    <definedName name="wrn.ALTA._.ADMINISTRAÇÃO." localSheetId="27" hidden="1">{#N/A,#N/A,FALSE,"PREÇO.CPV.CA60";#N/A,#N/A,FALSE,"PREÇO.CPV.TREFILADOS";#N/A,#N/A,FALSE,"PREÇO.CPV.CA50";#N/A,#N/A,FALSE,"PREÇO.CPV.FM";#N/A,#N/A,FALSE,"PREÇO-FOB"}</definedName>
    <definedName name="wrn.ALTA._.ADMINISTRAÇÃO." localSheetId="28" hidden="1">{#N/A,#N/A,FALSE,"PREÇO.CPV.CA60";#N/A,#N/A,FALSE,"PREÇO.CPV.TREFILADOS";#N/A,#N/A,FALSE,"PREÇO.CPV.CA50";#N/A,#N/A,FALSE,"PREÇO.CPV.FM";#N/A,#N/A,FALSE,"PREÇO-FOB"}</definedName>
    <definedName name="wrn.ALTA._.ADMINISTRAÇÃO." localSheetId="29" hidden="1">{#N/A,#N/A,FALSE,"PREÇO.CPV.CA60";#N/A,#N/A,FALSE,"PREÇO.CPV.TREFILADOS";#N/A,#N/A,FALSE,"PREÇO.CPV.CA50";#N/A,#N/A,FALSE,"PREÇO.CPV.FM";#N/A,#N/A,FALSE,"PREÇO-FOB"}</definedName>
    <definedName name="wrn.ALTA._.ADMINISTRAÇÃO." localSheetId="30" hidden="1">{#N/A,#N/A,FALSE,"PREÇO.CPV.CA60";#N/A,#N/A,FALSE,"PREÇO.CPV.TREFILADOS";#N/A,#N/A,FALSE,"PREÇO.CPV.CA50";#N/A,#N/A,FALSE,"PREÇO.CPV.FM";#N/A,#N/A,FALSE,"PREÇO-FOB"}</definedName>
    <definedName name="wrn.ALTA._.ADMINISTRAÇÃO." localSheetId="31" hidden="1">{#N/A,#N/A,FALSE,"PREÇO.CPV.CA60";#N/A,#N/A,FALSE,"PREÇO.CPV.TREFILADOS";#N/A,#N/A,FALSE,"PREÇO.CPV.CA50";#N/A,#N/A,FALSE,"PREÇO.CPV.FM";#N/A,#N/A,FALSE,"PREÇO-FOB"}</definedName>
    <definedName name="wrn.ALTA._.ADMINISTRAÇÃO." localSheetId="32" hidden="1">{#N/A,#N/A,FALSE,"PREÇO.CPV.CA60";#N/A,#N/A,FALSE,"PREÇO.CPV.TREFILADOS";#N/A,#N/A,FALSE,"PREÇO.CPV.CA50";#N/A,#N/A,FALSE,"PREÇO.CPV.FM";#N/A,#N/A,FALSE,"PREÇO-FOB"}</definedName>
    <definedName name="wrn.ALTA._.ADMINISTRAÇÃO." hidden="1">{#N/A,#N/A,FALSE,"PREÇO.CPV.CA60";#N/A,#N/A,FALSE,"PREÇO.CPV.TREFILADOS";#N/A,#N/A,FALSE,"PREÇO.CPV.CA50";#N/A,#N/A,FALSE,"PREÇO.CPV.FM";#N/A,#N/A,FALSE,"PREÇO-FOB"}</definedName>
    <definedName name="wrn.Caderno._.Sem._.Radares." localSheetId="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8"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3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3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3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oberturas." localSheetId="3" hidden="1">{#N/A,#N/A,FALSE,"COBERTURAS 30";#N/A,#N/A,FALSE,"COBERTURAS Mês e Acum 31";#N/A,#N/A,FALSE,"COBERTURAS Acum 32"}</definedName>
    <definedName name="wrn.Coberturas." localSheetId="5" hidden="1">{#N/A,#N/A,FALSE,"COBERTURAS 30";#N/A,#N/A,FALSE,"COBERTURAS Mês e Acum 31";#N/A,#N/A,FALSE,"COBERTURAS Acum 32"}</definedName>
    <definedName name="wrn.Coberturas." localSheetId="6" hidden="1">{#N/A,#N/A,FALSE,"COBERTURAS 30";#N/A,#N/A,FALSE,"COBERTURAS Mês e Acum 31";#N/A,#N/A,FALSE,"COBERTURAS Acum 32"}</definedName>
    <definedName name="wrn.Coberturas." localSheetId="7" hidden="1">{#N/A,#N/A,FALSE,"COBERTURAS 30";#N/A,#N/A,FALSE,"COBERTURAS Mês e Acum 31";#N/A,#N/A,FALSE,"COBERTURAS Acum 32"}</definedName>
    <definedName name="wrn.Coberturas." localSheetId="9" hidden="1">{#N/A,#N/A,FALSE,"COBERTURAS 30";#N/A,#N/A,FALSE,"COBERTURAS Mês e Acum 31";#N/A,#N/A,FALSE,"COBERTURAS Acum 32"}</definedName>
    <definedName name="wrn.Coberturas." localSheetId="10" hidden="1">{#N/A,#N/A,FALSE,"COBERTURAS 30";#N/A,#N/A,FALSE,"COBERTURAS Mês e Acum 31";#N/A,#N/A,FALSE,"COBERTURAS Acum 32"}</definedName>
    <definedName name="wrn.Coberturas." localSheetId="11" hidden="1">{#N/A,#N/A,FALSE,"COBERTURAS 30";#N/A,#N/A,FALSE,"COBERTURAS Mês e Acum 31";#N/A,#N/A,FALSE,"COBERTURAS Acum 32"}</definedName>
    <definedName name="wrn.Coberturas." localSheetId="12" hidden="1">{#N/A,#N/A,FALSE,"COBERTURAS 30";#N/A,#N/A,FALSE,"COBERTURAS Mês e Acum 31";#N/A,#N/A,FALSE,"COBERTURAS Acum 32"}</definedName>
    <definedName name="wrn.Coberturas." localSheetId="13" hidden="1">{#N/A,#N/A,FALSE,"COBERTURAS 30";#N/A,#N/A,FALSE,"COBERTURAS Mês e Acum 31";#N/A,#N/A,FALSE,"COBERTURAS Acum 32"}</definedName>
    <definedName name="wrn.Coberturas." localSheetId="14" hidden="1">{#N/A,#N/A,FALSE,"COBERTURAS 30";#N/A,#N/A,FALSE,"COBERTURAS Mês e Acum 31";#N/A,#N/A,FALSE,"COBERTURAS Acum 32"}</definedName>
    <definedName name="wrn.Coberturas." localSheetId="15" hidden="1">{#N/A,#N/A,FALSE,"COBERTURAS 30";#N/A,#N/A,FALSE,"COBERTURAS Mês e Acum 31";#N/A,#N/A,FALSE,"COBERTURAS Acum 32"}</definedName>
    <definedName name="wrn.Coberturas." localSheetId="20" hidden="1">{#N/A,#N/A,FALSE,"COBERTURAS 30";#N/A,#N/A,FALSE,"COBERTURAS Mês e Acum 31";#N/A,#N/A,FALSE,"COBERTURAS Acum 32"}</definedName>
    <definedName name="wrn.Coberturas." localSheetId="21" hidden="1">{#N/A,#N/A,FALSE,"COBERTURAS 30";#N/A,#N/A,FALSE,"COBERTURAS Mês e Acum 31";#N/A,#N/A,FALSE,"COBERTURAS Acum 32"}</definedName>
    <definedName name="wrn.Coberturas." localSheetId="22" hidden="1">{#N/A,#N/A,FALSE,"COBERTURAS 30";#N/A,#N/A,FALSE,"COBERTURAS Mês e Acum 31";#N/A,#N/A,FALSE,"COBERTURAS Acum 32"}</definedName>
    <definedName name="wrn.Coberturas." localSheetId="23" hidden="1">{#N/A,#N/A,FALSE,"COBERTURAS 30";#N/A,#N/A,FALSE,"COBERTURAS Mês e Acum 31";#N/A,#N/A,FALSE,"COBERTURAS Acum 32"}</definedName>
    <definedName name="wrn.Coberturas." localSheetId="24" hidden="1">{#N/A,#N/A,FALSE,"COBERTURAS 30";#N/A,#N/A,FALSE,"COBERTURAS Mês e Acum 31";#N/A,#N/A,FALSE,"COBERTURAS Acum 32"}</definedName>
    <definedName name="wrn.Coberturas." localSheetId="25" hidden="1">{#N/A,#N/A,FALSE,"COBERTURAS 30";#N/A,#N/A,FALSE,"COBERTURAS Mês e Acum 31";#N/A,#N/A,FALSE,"COBERTURAS Acum 32"}</definedName>
    <definedName name="wrn.Coberturas." localSheetId="26" hidden="1">{#N/A,#N/A,FALSE,"COBERTURAS 30";#N/A,#N/A,FALSE,"COBERTURAS Mês e Acum 31";#N/A,#N/A,FALSE,"COBERTURAS Acum 32"}</definedName>
    <definedName name="wrn.Coberturas." localSheetId="27" hidden="1">{#N/A,#N/A,FALSE,"COBERTURAS 30";#N/A,#N/A,FALSE,"COBERTURAS Mês e Acum 31";#N/A,#N/A,FALSE,"COBERTURAS Acum 32"}</definedName>
    <definedName name="wrn.Coberturas." localSheetId="28" hidden="1">{#N/A,#N/A,FALSE,"COBERTURAS 30";#N/A,#N/A,FALSE,"COBERTURAS Mês e Acum 31";#N/A,#N/A,FALSE,"COBERTURAS Acum 32"}</definedName>
    <definedName name="wrn.Coberturas." localSheetId="29" hidden="1">{#N/A,#N/A,FALSE,"COBERTURAS 30";#N/A,#N/A,FALSE,"COBERTURAS Mês e Acum 31";#N/A,#N/A,FALSE,"COBERTURAS Acum 32"}</definedName>
    <definedName name="wrn.Coberturas." localSheetId="30" hidden="1">{#N/A,#N/A,FALSE,"COBERTURAS 30";#N/A,#N/A,FALSE,"COBERTURAS Mês e Acum 31";#N/A,#N/A,FALSE,"COBERTURAS Acum 32"}</definedName>
    <definedName name="wrn.Coberturas." localSheetId="31" hidden="1">{#N/A,#N/A,FALSE,"COBERTURAS 30";#N/A,#N/A,FALSE,"COBERTURAS Mês e Acum 31";#N/A,#N/A,FALSE,"COBERTURAS Acum 32"}</definedName>
    <definedName name="wrn.Coberturas." localSheetId="32" hidden="1">{#N/A,#N/A,FALSE,"COBERTURAS 30";#N/A,#N/A,FALSE,"COBERTURAS Mês e Acum 31";#N/A,#N/A,FALSE,"COBERTURAS Acum 32"}</definedName>
    <definedName name="wrn.Coberturas." hidden="1">{#N/A,#N/A,FALSE,"COBERTURAS 30";#N/A,#N/A,FALSE,"COBERTURAS Mês e Acum 31";#N/A,#N/A,FALSE,"COBERTURAS Acum 32"}</definedName>
    <definedName name="wrn.Consolidado." localSheetId="3" hidden="1">{#N/A,#N/A,FALSE,"CONSOL. 5";#N/A,#N/A,FALSE,"CONSOL. ACUM. 6";#N/A,#N/A,FALSE,"CAP. EMPREG. 7";#N/A,#N/A,FALSE,"ORIGENS E APLICAÇÕES 9"}</definedName>
    <definedName name="wrn.Consolidado." localSheetId="5" hidden="1">{#N/A,#N/A,FALSE,"CONSOL. 5";#N/A,#N/A,FALSE,"CONSOL. ACUM. 6";#N/A,#N/A,FALSE,"CAP. EMPREG. 7";#N/A,#N/A,FALSE,"ORIGENS E APLICAÇÕES 9"}</definedName>
    <definedName name="wrn.Consolidado." localSheetId="6" hidden="1">{#N/A,#N/A,FALSE,"CONSOL. 5";#N/A,#N/A,FALSE,"CONSOL. ACUM. 6";#N/A,#N/A,FALSE,"CAP. EMPREG. 7";#N/A,#N/A,FALSE,"ORIGENS E APLICAÇÕES 9"}</definedName>
    <definedName name="wrn.Consolidado." localSheetId="7" hidden="1">{#N/A,#N/A,FALSE,"CONSOL. 5";#N/A,#N/A,FALSE,"CONSOL. ACUM. 6";#N/A,#N/A,FALSE,"CAP. EMPREG. 7";#N/A,#N/A,FALSE,"ORIGENS E APLICAÇÕES 9"}</definedName>
    <definedName name="wrn.Consolidado." localSheetId="9" hidden="1">{#N/A,#N/A,FALSE,"CONSOL. 5";#N/A,#N/A,FALSE,"CONSOL. ACUM. 6";#N/A,#N/A,FALSE,"CAP. EMPREG. 7";#N/A,#N/A,FALSE,"ORIGENS E APLICAÇÕES 9"}</definedName>
    <definedName name="wrn.Consolidado." localSheetId="10" hidden="1">{#N/A,#N/A,FALSE,"CONSOL. 5";#N/A,#N/A,FALSE,"CONSOL. ACUM. 6";#N/A,#N/A,FALSE,"CAP. EMPREG. 7";#N/A,#N/A,FALSE,"ORIGENS E APLICAÇÕES 9"}</definedName>
    <definedName name="wrn.Consolidado." localSheetId="11" hidden="1">{#N/A,#N/A,FALSE,"CONSOL. 5";#N/A,#N/A,FALSE,"CONSOL. ACUM. 6";#N/A,#N/A,FALSE,"CAP. EMPREG. 7";#N/A,#N/A,FALSE,"ORIGENS E APLICAÇÕES 9"}</definedName>
    <definedName name="wrn.Consolidado." localSheetId="12" hidden="1">{#N/A,#N/A,FALSE,"CONSOL. 5";#N/A,#N/A,FALSE,"CONSOL. ACUM. 6";#N/A,#N/A,FALSE,"CAP. EMPREG. 7";#N/A,#N/A,FALSE,"ORIGENS E APLICAÇÕES 9"}</definedName>
    <definedName name="wrn.Consolidado." localSheetId="13" hidden="1">{#N/A,#N/A,FALSE,"CONSOL. 5";#N/A,#N/A,FALSE,"CONSOL. ACUM. 6";#N/A,#N/A,FALSE,"CAP. EMPREG. 7";#N/A,#N/A,FALSE,"ORIGENS E APLICAÇÕES 9"}</definedName>
    <definedName name="wrn.Consolidado." localSheetId="14" hidden="1">{#N/A,#N/A,FALSE,"CONSOL. 5";#N/A,#N/A,FALSE,"CONSOL. ACUM. 6";#N/A,#N/A,FALSE,"CAP. EMPREG. 7";#N/A,#N/A,FALSE,"ORIGENS E APLICAÇÕES 9"}</definedName>
    <definedName name="wrn.Consolidado." localSheetId="15" hidden="1">{#N/A,#N/A,FALSE,"CONSOL. 5";#N/A,#N/A,FALSE,"CONSOL. ACUM. 6";#N/A,#N/A,FALSE,"CAP. EMPREG. 7";#N/A,#N/A,FALSE,"ORIGENS E APLICAÇÕES 9"}</definedName>
    <definedName name="wrn.Consolidado." localSheetId="20" hidden="1">{#N/A,#N/A,FALSE,"CONSOL. 5";#N/A,#N/A,FALSE,"CONSOL. ACUM. 6";#N/A,#N/A,FALSE,"CAP. EMPREG. 7";#N/A,#N/A,FALSE,"ORIGENS E APLICAÇÕES 9"}</definedName>
    <definedName name="wrn.Consolidado." localSheetId="21" hidden="1">{#N/A,#N/A,FALSE,"CONSOL. 5";#N/A,#N/A,FALSE,"CONSOL. ACUM. 6";#N/A,#N/A,FALSE,"CAP. EMPREG. 7";#N/A,#N/A,FALSE,"ORIGENS E APLICAÇÕES 9"}</definedName>
    <definedName name="wrn.Consolidado." localSheetId="22" hidden="1">{#N/A,#N/A,FALSE,"CONSOL. 5";#N/A,#N/A,FALSE,"CONSOL. ACUM. 6";#N/A,#N/A,FALSE,"CAP. EMPREG. 7";#N/A,#N/A,FALSE,"ORIGENS E APLICAÇÕES 9"}</definedName>
    <definedName name="wrn.Consolidado." localSheetId="23" hidden="1">{#N/A,#N/A,FALSE,"CONSOL. 5";#N/A,#N/A,FALSE,"CONSOL. ACUM. 6";#N/A,#N/A,FALSE,"CAP. EMPREG. 7";#N/A,#N/A,FALSE,"ORIGENS E APLICAÇÕES 9"}</definedName>
    <definedName name="wrn.Consolidado." localSheetId="24" hidden="1">{#N/A,#N/A,FALSE,"CONSOL. 5";#N/A,#N/A,FALSE,"CONSOL. ACUM. 6";#N/A,#N/A,FALSE,"CAP. EMPREG. 7";#N/A,#N/A,FALSE,"ORIGENS E APLICAÇÕES 9"}</definedName>
    <definedName name="wrn.Consolidado." localSheetId="25" hidden="1">{#N/A,#N/A,FALSE,"CONSOL. 5";#N/A,#N/A,FALSE,"CONSOL. ACUM. 6";#N/A,#N/A,FALSE,"CAP. EMPREG. 7";#N/A,#N/A,FALSE,"ORIGENS E APLICAÇÕES 9"}</definedName>
    <definedName name="wrn.Consolidado." localSheetId="26" hidden="1">{#N/A,#N/A,FALSE,"CONSOL. 5";#N/A,#N/A,FALSE,"CONSOL. ACUM. 6";#N/A,#N/A,FALSE,"CAP. EMPREG. 7";#N/A,#N/A,FALSE,"ORIGENS E APLICAÇÕES 9"}</definedName>
    <definedName name="wrn.Consolidado." localSheetId="27" hidden="1">{#N/A,#N/A,FALSE,"CONSOL. 5";#N/A,#N/A,FALSE,"CONSOL. ACUM. 6";#N/A,#N/A,FALSE,"CAP. EMPREG. 7";#N/A,#N/A,FALSE,"ORIGENS E APLICAÇÕES 9"}</definedName>
    <definedName name="wrn.Consolidado." localSheetId="28" hidden="1">{#N/A,#N/A,FALSE,"CONSOL. 5";#N/A,#N/A,FALSE,"CONSOL. ACUM. 6";#N/A,#N/A,FALSE,"CAP. EMPREG. 7";#N/A,#N/A,FALSE,"ORIGENS E APLICAÇÕES 9"}</definedName>
    <definedName name="wrn.Consolidado." localSheetId="29" hidden="1">{#N/A,#N/A,FALSE,"CONSOL. 5";#N/A,#N/A,FALSE,"CONSOL. ACUM. 6";#N/A,#N/A,FALSE,"CAP. EMPREG. 7";#N/A,#N/A,FALSE,"ORIGENS E APLICAÇÕES 9"}</definedName>
    <definedName name="wrn.Consolidado." localSheetId="30" hidden="1">{#N/A,#N/A,FALSE,"CONSOL. 5";#N/A,#N/A,FALSE,"CONSOL. ACUM. 6";#N/A,#N/A,FALSE,"CAP. EMPREG. 7";#N/A,#N/A,FALSE,"ORIGENS E APLICAÇÕES 9"}</definedName>
    <definedName name="wrn.Consolidado." localSheetId="31" hidden="1">{#N/A,#N/A,FALSE,"CONSOL. 5";#N/A,#N/A,FALSE,"CONSOL. ACUM. 6";#N/A,#N/A,FALSE,"CAP. EMPREG. 7";#N/A,#N/A,FALSE,"ORIGENS E APLICAÇÕES 9"}</definedName>
    <definedName name="wrn.Consolidado." localSheetId="32" hidden="1">{#N/A,#N/A,FALSE,"CONSOL. 5";#N/A,#N/A,FALSE,"CONSOL. ACUM. 6";#N/A,#N/A,FALSE,"CAP. EMPREG. 7";#N/A,#N/A,FALSE,"ORIGENS E APLICAÇÕES 9"}</definedName>
    <definedName name="wrn.Consolidado." hidden="1">{#N/A,#N/A,FALSE,"CONSOL. 5";#N/A,#N/A,FALSE,"CONSOL. ACUM. 6";#N/A,#N/A,FALSE,"CAP. EMPREG. 7";#N/A,#N/A,FALSE,"ORIGENS E APLICAÇÕES 9"}</definedName>
    <definedName name="wrn.EVENTUAL." localSheetId="3" hidden="1">{#N/A,#N/A,FALSE,"PREÇO.CPV.CA60";#N/A,#N/A,FALSE,"GALVANIZADOS";#N/A,#N/A,FALSE,"OVALADOS";#N/A,#N/A,FALSE,"TREF IND.";#N/A,#N/A,FALSE,"PREGOS";#N/A,#N/A,FALSE,"RECOZIDOS";#N/A,#N/A,FALSE,"FARPADOS";#N/A,#N/A,FALSE,"SEG INDÚSTRIA";#N/A,#N/A,FALSE,"SEG AGROPECUÁRIA";#N/A,#N/A,FALSE,"SEG CONST.CIVIL"}</definedName>
    <definedName name="wrn.EVENTUAL." localSheetId="5" hidden="1">{#N/A,#N/A,FALSE,"PREÇO.CPV.CA60";#N/A,#N/A,FALSE,"GALVANIZADOS";#N/A,#N/A,FALSE,"OVALADOS";#N/A,#N/A,FALSE,"TREF IND.";#N/A,#N/A,FALSE,"PREGOS";#N/A,#N/A,FALSE,"RECOZIDOS";#N/A,#N/A,FALSE,"FARPADOS";#N/A,#N/A,FALSE,"SEG INDÚSTRIA";#N/A,#N/A,FALSE,"SEG AGROPECUÁRIA";#N/A,#N/A,FALSE,"SEG CONST.CIVIL"}</definedName>
    <definedName name="wrn.EVENTUAL." localSheetId="6" hidden="1">{#N/A,#N/A,FALSE,"PREÇO.CPV.CA60";#N/A,#N/A,FALSE,"GALVANIZADOS";#N/A,#N/A,FALSE,"OVALADOS";#N/A,#N/A,FALSE,"TREF IND.";#N/A,#N/A,FALSE,"PREGOS";#N/A,#N/A,FALSE,"RECOZIDOS";#N/A,#N/A,FALSE,"FARPADOS";#N/A,#N/A,FALSE,"SEG INDÚSTRIA";#N/A,#N/A,FALSE,"SEG AGROPECUÁRIA";#N/A,#N/A,FALSE,"SEG CONST.CIVIL"}</definedName>
    <definedName name="wrn.EVENTUAL." localSheetId="7" hidden="1">{#N/A,#N/A,FALSE,"PREÇO.CPV.CA60";#N/A,#N/A,FALSE,"GALVANIZADOS";#N/A,#N/A,FALSE,"OVALADOS";#N/A,#N/A,FALSE,"TREF IND.";#N/A,#N/A,FALSE,"PREGOS";#N/A,#N/A,FALSE,"RECOZIDOS";#N/A,#N/A,FALSE,"FARPADOS";#N/A,#N/A,FALSE,"SEG INDÚSTRIA";#N/A,#N/A,FALSE,"SEG AGROPECUÁRIA";#N/A,#N/A,FALSE,"SEG CONST.CIVIL"}</definedName>
    <definedName name="wrn.EVENTUAL." localSheetId="9" hidden="1">{#N/A,#N/A,FALSE,"PREÇO.CPV.CA60";#N/A,#N/A,FALSE,"GALVANIZADOS";#N/A,#N/A,FALSE,"OVALADOS";#N/A,#N/A,FALSE,"TREF IND.";#N/A,#N/A,FALSE,"PREGOS";#N/A,#N/A,FALSE,"RECOZIDOS";#N/A,#N/A,FALSE,"FARPADOS";#N/A,#N/A,FALSE,"SEG INDÚSTRIA";#N/A,#N/A,FALSE,"SEG AGROPECUÁRIA";#N/A,#N/A,FALSE,"SEG CONST.CIVIL"}</definedName>
    <definedName name="wrn.EVENTUAL." localSheetId="10" hidden="1">{#N/A,#N/A,FALSE,"PREÇO.CPV.CA60";#N/A,#N/A,FALSE,"GALVANIZADOS";#N/A,#N/A,FALSE,"OVALADOS";#N/A,#N/A,FALSE,"TREF IND.";#N/A,#N/A,FALSE,"PREGOS";#N/A,#N/A,FALSE,"RECOZIDOS";#N/A,#N/A,FALSE,"FARPADOS";#N/A,#N/A,FALSE,"SEG INDÚSTRIA";#N/A,#N/A,FALSE,"SEG AGROPECUÁRIA";#N/A,#N/A,FALSE,"SEG CONST.CIVIL"}</definedName>
    <definedName name="wrn.EVENTUAL." localSheetId="11" hidden="1">{#N/A,#N/A,FALSE,"PREÇO.CPV.CA60";#N/A,#N/A,FALSE,"GALVANIZADOS";#N/A,#N/A,FALSE,"OVALADOS";#N/A,#N/A,FALSE,"TREF IND.";#N/A,#N/A,FALSE,"PREGOS";#N/A,#N/A,FALSE,"RECOZIDOS";#N/A,#N/A,FALSE,"FARPADOS";#N/A,#N/A,FALSE,"SEG INDÚSTRIA";#N/A,#N/A,FALSE,"SEG AGROPECUÁRIA";#N/A,#N/A,FALSE,"SEG CONST.CIVIL"}</definedName>
    <definedName name="wrn.EVENTUAL." localSheetId="12" hidden="1">{#N/A,#N/A,FALSE,"PREÇO.CPV.CA60";#N/A,#N/A,FALSE,"GALVANIZADOS";#N/A,#N/A,FALSE,"OVALADOS";#N/A,#N/A,FALSE,"TREF IND.";#N/A,#N/A,FALSE,"PREGOS";#N/A,#N/A,FALSE,"RECOZIDOS";#N/A,#N/A,FALSE,"FARPADOS";#N/A,#N/A,FALSE,"SEG INDÚSTRIA";#N/A,#N/A,FALSE,"SEG AGROPECUÁRIA";#N/A,#N/A,FALSE,"SEG CONST.CIVIL"}</definedName>
    <definedName name="wrn.EVENTUAL." localSheetId="13" hidden="1">{#N/A,#N/A,FALSE,"PREÇO.CPV.CA60";#N/A,#N/A,FALSE,"GALVANIZADOS";#N/A,#N/A,FALSE,"OVALADOS";#N/A,#N/A,FALSE,"TREF IND.";#N/A,#N/A,FALSE,"PREGOS";#N/A,#N/A,FALSE,"RECOZIDOS";#N/A,#N/A,FALSE,"FARPADOS";#N/A,#N/A,FALSE,"SEG INDÚSTRIA";#N/A,#N/A,FALSE,"SEG AGROPECUÁRIA";#N/A,#N/A,FALSE,"SEG CONST.CIVIL"}</definedName>
    <definedName name="wrn.EVENTUAL." localSheetId="14" hidden="1">{#N/A,#N/A,FALSE,"PREÇO.CPV.CA60";#N/A,#N/A,FALSE,"GALVANIZADOS";#N/A,#N/A,FALSE,"OVALADOS";#N/A,#N/A,FALSE,"TREF IND.";#N/A,#N/A,FALSE,"PREGOS";#N/A,#N/A,FALSE,"RECOZIDOS";#N/A,#N/A,FALSE,"FARPADOS";#N/A,#N/A,FALSE,"SEG INDÚSTRIA";#N/A,#N/A,FALSE,"SEG AGROPECUÁRIA";#N/A,#N/A,FALSE,"SEG CONST.CIVIL"}</definedName>
    <definedName name="wrn.EVENTUAL." localSheetId="15" hidden="1">{#N/A,#N/A,FALSE,"PREÇO.CPV.CA60";#N/A,#N/A,FALSE,"GALVANIZADOS";#N/A,#N/A,FALSE,"OVALADOS";#N/A,#N/A,FALSE,"TREF IND.";#N/A,#N/A,FALSE,"PREGOS";#N/A,#N/A,FALSE,"RECOZIDOS";#N/A,#N/A,FALSE,"FARPADOS";#N/A,#N/A,FALSE,"SEG INDÚSTRIA";#N/A,#N/A,FALSE,"SEG AGROPECUÁRIA";#N/A,#N/A,FALSE,"SEG CONST.CIVIL"}</definedName>
    <definedName name="wrn.EVENTUAL." localSheetId="20" hidden="1">{#N/A,#N/A,FALSE,"PREÇO.CPV.CA60";#N/A,#N/A,FALSE,"GALVANIZADOS";#N/A,#N/A,FALSE,"OVALADOS";#N/A,#N/A,FALSE,"TREF IND.";#N/A,#N/A,FALSE,"PREGOS";#N/A,#N/A,FALSE,"RECOZIDOS";#N/A,#N/A,FALSE,"FARPADOS";#N/A,#N/A,FALSE,"SEG INDÚSTRIA";#N/A,#N/A,FALSE,"SEG AGROPECUÁRIA";#N/A,#N/A,FALSE,"SEG CONST.CIVIL"}</definedName>
    <definedName name="wrn.EVENTUAL." localSheetId="21" hidden="1">{#N/A,#N/A,FALSE,"PREÇO.CPV.CA60";#N/A,#N/A,FALSE,"GALVANIZADOS";#N/A,#N/A,FALSE,"OVALADOS";#N/A,#N/A,FALSE,"TREF IND.";#N/A,#N/A,FALSE,"PREGOS";#N/A,#N/A,FALSE,"RECOZIDOS";#N/A,#N/A,FALSE,"FARPADOS";#N/A,#N/A,FALSE,"SEG INDÚSTRIA";#N/A,#N/A,FALSE,"SEG AGROPECUÁRIA";#N/A,#N/A,FALSE,"SEG CONST.CIVIL"}</definedName>
    <definedName name="wrn.EVENTUAL." localSheetId="22" hidden="1">{#N/A,#N/A,FALSE,"PREÇO.CPV.CA60";#N/A,#N/A,FALSE,"GALVANIZADOS";#N/A,#N/A,FALSE,"OVALADOS";#N/A,#N/A,FALSE,"TREF IND.";#N/A,#N/A,FALSE,"PREGOS";#N/A,#N/A,FALSE,"RECOZIDOS";#N/A,#N/A,FALSE,"FARPADOS";#N/A,#N/A,FALSE,"SEG INDÚSTRIA";#N/A,#N/A,FALSE,"SEG AGROPECUÁRIA";#N/A,#N/A,FALSE,"SEG CONST.CIVIL"}</definedName>
    <definedName name="wrn.EVENTUAL." localSheetId="23" hidden="1">{#N/A,#N/A,FALSE,"PREÇO.CPV.CA60";#N/A,#N/A,FALSE,"GALVANIZADOS";#N/A,#N/A,FALSE,"OVALADOS";#N/A,#N/A,FALSE,"TREF IND.";#N/A,#N/A,FALSE,"PREGOS";#N/A,#N/A,FALSE,"RECOZIDOS";#N/A,#N/A,FALSE,"FARPADOS";#N/A,#N/A,FALSE,"SEG INDÚSTRIA";#N/A,#N/A,FALSE,"SEG AGROPECUÁRIA";#N/A,#N/A,FALSE,"SEG CONST.CIVIL"}</definedName>
    <definedName name="wrn.EVENTUAL." localSheetId="24" hidden="1">{#N/A,#N/A,FALSE,"PREÇO.CPV.CA60";#N/A,#N/A,FALSE,"GALVANIZADOS";#N/A,#N/A,FALSE,"OVALADOS";#N/A,#N/A,FALSE,"TREF IND.";#N/A,#N/A,FALSE,"PREGOS";#N/A,#N/A,FALSE,"RECOZIDOS";#N/A,#N/A,FALSE,"FARPADOS";#N/A,#N/A,FALSE,"SEG INDÚSTRIA";#N/A,#N/A,FALSE,"SEG AGROPECUÁRIA";#N/A,#N/A,FALSE,"SEG CONST.CIVIL"}</definedName>
    <definedName name="wrn.EVENTUAL." localSheetId="25" hidden="1">{#N/A,#N/A,FALSE,"PREÇO.CPV.CA60";#N/A,#N/A,FALSE,"GALVANIZADOS";#N/A,#N/A,FALSE,"OVALADOS";#N/A,#N/A,FALSE,"TREF IND.";#N/A,#N/A,FALSE,"PREGOS";#N/A,#N/A,FALSE,"RECOZIDOS";#N/A,#N/A,FALSE,"FARPADOS";#N/A,#N/A,FALSE,"SEG INDÚSTRIA";#N/A,#N/A,FALSE,"SEG AGROPECUÁRIA";#N/A,#N/A,FALSE,"SEG CONST.CIVIL"}</definedName>
    <definedName name="wrn.EVENTUAL." localSheetId="26" hidden="1">{#N/A,#N/A,FALSE,"PREÇO.CPV.CA60";#N/A,#N/A,FALSE,"GALVANIZADOS";#N/A,#N/A,FALSE,"OVALADOS";#N/A,#N/A,FALSE,"TREF IND.";#N/A,#N/A,FALSE,"PREGOS";#N/A,#N/A,FALSE,"RECOZIDOS";#N/A,#N/A,FALSE,"FARPADOS";#N/A,#N/A,FALSE,"SEG INDÚSTRIA";#N/A,#N/A,FALSE,"SEG AGROPECUÁRIA";#N/A,#N/A,FALSE,"SEG CONST.CIVIL"}</definedName>
    <definedName name="wrn.EVENTUAL." localSheetId="27" hidden="1">{#N/A,#N/A,FALSE,"PREÇO.CPV.CA60";#N/A,#N/A,FALSE,"GALVANIZADOS";#N/A,#N/A,FALSE,"OVALADOS";#N/A,#N/A,FALSE,"TREF IND.";#N/A,#N/A,FALSE,"PREGOS";#N/A,#N/A,FALSE,"RECOZIDOS";#N/A,#N/A,FALSE,"FARPADOS";#N/A,#N/A,FALSE,"SEG INDÚSTRIA";#N/A,#N/A,FALSE,"SEG AGROPECUÁRIA";#N/A,#N/A,FALSE,"SEG CONST.CIVIL"}</definedName>
    <definedName name="wrn.EVENTUAL." localSheetId="28" hidden="1">{#N/A,#N/A,FALSE,"PREÇO.CPV.CA60";#N/A,#N/A,FALSE,"GALVANIZADOS";#N/A,#N/A,FALSE,"OVALADOS";#N/A,#N/A,FALSE,"TREF IND.";#N/A,#N/A,FALSE,"PREGOS";#N/A,#N/A,FALSE,"RECOZIDOS";#N/A,#N/A,FALSE,"FARPADOS";#N/A,#N/A,FALSE,"SEG INDÚSTRIA";#N/A,#N/A,FALSE,"SEG AGROPECUÁRIA";#N/A,#N/A,FALSE,"SEG CONST.CIVIL"}</definedName>
    <definedName name="wrn.EVENTUAL." localSheetId="29" hidden="1">{#N/A,#N/A,FALSE,"PREÇO.CPV.CA60";#N/A,#N/A,FALSE,"GALVANIZADOS";#N/A,#N/A,FALSE,"OVALADOS";#N/A,#N/A,FALSE,"TREF IND.";#N/A,#N/A,FALSE,"PREGOS";#N/A,#N/A,FALSE,"RECOZIDOS";#N/A,#N/A,FALSE,"FARPADOS";#N/A,#N/A,FALSE,"SEG INDÚSTRIA";#N/A,#N/A,FALSE,"SEG AGROPECUÁRIA";#N/A,#N/A,FALSE,"SEG CONST.CIVIL"}</definedName>
    <definedName name="wrn.EVENTUAL." localSheetId="30" hidden="1">{#N/A,#N/A,FALSE,"PREÇO.CPV.CA60";#N/A,#N/A,FALSE,"GALVANIZADOS";#N/A,#N/A,FALSE,"OVALADOS";#N/A,#N/A,FALSE,"TREF IND.";#N/A,#N/A,FALSE,"PREGOS";#N/A,#N/A,FALSE,"RECOZIDOS";#N/A,#N/A,FALSE,"FARPADOS";#N/A,#N/A,FALSE,"SEG INDÚSTRIA";#N/A,#N/A,FALSE,"SEG AGROPECUÁRIA";#N/A,#N/A,FALSE,"SEG CONST.CIVIL"}</definedName>
    <definedName name="wrn.EVENTUAL." localSheetId="31" hidden="1">{#N/A,#N/A,FALSE,"PREÇO.CPV.CA60";#N/A,#N/A,FALSE,"GALVANIZADOS";#N/A,#N/A,FALSE,"OVALADOS";#N/A,#N/A,FALSE,"TREF IND.";#N/A,#N/A,FALSE,"PREGOS";#N/A,#N/A,FALSE,"RECOZIDOS";#N/A,#N/A,FALSE,"FARPADOS";#N/A,#N/A,FALSE,"SEG INDÚSTRIA";#N/A,#N/A,FALSE,"SEG AGROPECUÁRIA";#N/A,#N/A,FALSE,"SEG CONST.CIVIL"}</definedName>
    <definedName name="wrn.EVENTUAL." localSheetId="32" hidden="1">{#N/A,#N/A,FALSE,"PREÇO.CPV.CA60";#N/A,#N/A,FALSE,"GALVANIZADOS";#N/A,#N/A,FALSE,"OVALADOS";#N/A,#N/A,FALSE,"TREF IND.";#N/A,#N/A,FALSE,"PREGOS";#N/A,#N/A,FALSE,"RECOZIDOS";#N/A,#N/A,FALSE,"FARPADOS";#N/A,#N/A,FALSE,"SEG INDÚSTRIA";#N/A,#N/A,FALSE,"SEG AGROPECUÁRIA";#N/A,#N/A,FALSE,"SEG CONST.CIVIL"}</definedName>
    <definedName name="wrn.EVENTUAL." hidden="1">{#N/A,#N/A,FALSE,"PREÇO.CPV.CA60";#N/A,#N/A,FALSE,"GALVANIZADOS";#N/A,#N/A,FALSE,"OVALADOS";#N/A,#N/A,FALSE,"TREF IND.";#N/A,#N/A,FALSE,"PREGOS";#N/A,#N/A,FALSE,"RECOZIDOS";#N/A,#N/A,FALSE,"FARPADOS";#N/A,#N/A,FALSE,"SEG INDÚSTRIA";#N/A,#N/A,FALSE,"SEG AGROPECUÁRIA";#N/A,#N/A,FALSE,"SEG CONST.CIVIL"}</definedName>
    <definedName name="wrn.Havaianas._.e._.GDV." localSheetId="3" hidden="1">{#N/A,#N/A,FALSE,"HAVAIANAS 24";#N/A,#N/A,FALSE,"Havaianas Mês e Acum 25";#N/A,#N/A,FALSE,"Havaianas Acum 26";#N/A,#N/A,FALSE,"GRANDES VOLUMES 27";#N/A,#N/A,FALSE,"GDV Mês e Acum 28";#N/A,#N/A,FALSE,"GDV Acum 29"}</definedName>
    <definedName name="wrn.Havaianas._.e._.GDV." localSheetId="5" hidden="1">{#N/A,#N/A,FALSE,"HAVAIANAS 24";#N/A,#N/A,FALSE,"Havaianas Mês e Acum 25";#N/A,#N/A,FALSE,"Havaianas Acum 26";#N/A,#N/A,FALSE,"GRANDES VOLUMES 27";#N/A,#N/A,FALSE,"GDV Mês e Acum 28";#N/A,#N/A,FALSE,"GDV Acum 29"}</definedName>
    <definedName name="wrn.Havaianas._.e._.GDV." localSheetId="6" hidden="1">{#N/A,#N/A,FALSE,"HAVAIANAS 24";#N/A,#N/A,FALSE,"Havaianas Mês e Acum 25";#N/A,#N/A,FALSE,"Havaianas Acum 26";#N/A,#N/A,FALSE,"GRANDES VOLUMES 27";#N/A,#N/A,FALSE,"GDV Mês e Acum 28";#N/A,#N/A,FALSE,"GDV Acum 29"}</definedName>
    <definedName name="wrn.Havaianas._.e._.GDV." localSheetId="7" hidden="1">{#N/A,#N/A,FALSE,"HAVAIANAS 24";#N/A,#N/A,FALSE,"Havaianas Mês e Acum 25";#N/A,#N/A,FALSE,"Havaianas Acum 26";#N/A,#N/A,FALSE,"GRANDES VOLUMES 27";#N/A,#N/A,FALSE,"GDV Mês e Acum 28";#N/A,#N/A,FALSE,"GDV Acum 29"}</definedName>
    <definedName name="wrn.Havaianas._.e._.GDV." localSheetId="9" hidden="1">{#N/A,#N/A,FALSE,"HAVAIANAS 24";#N/A,#N/A,FALSE,"Havaianas Mês e Acum 25";#N/A,#N/A,FALSE,"Havaianas Acum 26";#N/A,#N/A,FALSE,"GRANDES VOLUMES 27";#N/A,#N/A,FALSE,"GDV Mês e Acum 28";#N/A,#N/A,FALSE,"GDV Acum 29"}</definedName>
    <definedName name="wrn.Havaianas._.e._.GDV." localSheetId="10" hidden="1">{#N/A,#N/A,FALSE,"HAVAIANAS 24";#N/A,#N/A,FALSE,"Havaianas Mês e Acum 25";#N/A,#N/A,FALSE,"Havaianas Acum 26";#N/A,#N/A,FALSE,"GRANDES VOLUMES 27";#N/A,#N/A,FALSE,"GDV Mês e Acum 28";#N/A,#N/A,FALSE,"GDV Acum 29"}</definedName>
    <definedName name="wrn.Havaianas._.e._.GDV." localSheetId="11" hidden="1">{#N/A,#N/A,FALSE,"HAVAIANAS 24";#N/A,#N/A,FALSE,"Havaianas Mês e Acum 25";#N/A,#N/A,FALSE,"Havaianas Acum 26";#N/A,#N/A,FALSE,"GRANDES VOLUMES 27";#N/A,#N/A,FALSE,"GDV Mês e Acum 28";#N/A,#N/A,FALSE,"GDV Acum 29"}</definedName>
    <definedName name="wrn.Havaianas._.e._.GDV." localSheetId="12" hidden="1">{#N/A,#N/A,FALSE,"HAVAIANAS 24";#N/A,#N/A,FALSE,"Havaianas Mês e Acum 25";#N/A,#N/A,FALSE,"Havaianas Acum 26";#N/A,#N/A,FALSE,"GRANDES VOLUMES 27";#N/A,#N/A,FALSE,"GDV Mês e Acum 28";#N/A,#N/A,FALSE,"GDV Acum 29"}</definedName>
    <definedName name="wrn.Havaianas._.e._.GDV." localSheetId="13" hidden="1">{#N/A,#N/A,FALSE,"HAVAIANAS 24";#N/A,#N/A,FALSE,"Havaianas Mês e Acum 25";#N/A,#N/A,FALSE,"Havaianas Acum 26";#N/A,#N/A,FALSE,"GRANDES VOLUMES 27";#N/A,#N/A,FALSE,"GDV Mês e Acum 28";#N/A,#N/A,FALSE,"GDV Acum 29"}</definedName>
    <definedName name="wrn.Havaianas._.e._.GDV." localSheetId="14" hidden="1">{#N/A,#N/A,FALSE,"HAVAIANAS 24";#N/A,#N/A,FALSE,"Havaianas Mês e Acum 25";#N/A,#N/A,FALSE,"Havaianas Acum 26";#N/A,#N/A,FALSE,"GRANDES VOLUMES 27";#N/A,#N/A,FALSE,"GDV Mês e Acum 28";#N/A,#N/A,FALSE,"GDV Acum 29"}</definedName>
    <definedName name="wrn.Havaianas._.e._.GDV." localSheetId="15" hidden="1">{#N/A,#N/A,FALSE,"HAVAIANAS 24";#N/A,#N/A,FALSE,"Havaianas Mês e Acum 25";#N/A,#N/A,FALSE,"Havaianas Acum 26";#N/A,#N/A,FALSE,"GRANDES VOLUMES 27";#N/A,#N/A,FALSE,"GDV Mês e Acum 28";#N/A,#N/A,FALSE,"GDV Acum 29"}</definedName>
    <definedName name="wrn.Havaianas._.e._.GDV." localSheetId="20" hidden="1">{#N/A,#N/A,FALSE,"HAVAIANAS 24";#N/A,#N/A,FALSE,"Havaianas Mês e Acum 25";#N/A,#N/A,FALSE,"Havaianas Acum 26";#N/A,#N/A,FALSE,"GRANDES VOLUMES 27";#N/A,#N/A,FALSE,"GDV Mês e Acum 28";#N/A,#N/A,FALSE,"GDV Acum 29"}</definedName>
    <definedName name="wrn.Havaianas._.e._.GDV." localSheetId="21" hidden="1">{#N/A,#N/A,FALSE,"HAVAIANAS 24";#N/A,#N/A,FALSE,"Havaianas Mês e Acum 25";#N/A,#N/A,FALSE,"Havaianas Acum 26";#N/A,#N/A,FALSE,"GRANDES VOLUMES 27";#N/A,#N/A,FALSE,"GDV Mês e Acum 28";#N/A,#N/A,FALSE,"GDV Acum 29"}</definedName>
    <definedName name="wrn.Havaianas._.e._.GDV." localSheetId="22" hidden="1">{#N/A,#N/A,FALSE,"HAVAIANAS 24";#N/A,#N/A,FALSE,"Havaianas Mês e Acum 25";#N/A,#N/A,FALSE,"Havaianas Acum 26";#N/A,#N/A,FALSE,"GRANDES VOLUMES 27";#N/A,#N/A,FALSE,"GDV Mês e Acum 28";#N/A,#N/A,FALSE,"GDV Acum 29"}</definedName>
    <definedName name="wrn.Havaianas._.e._.GDV." localSheetId="23" hidden="1">{#N/A,#N/A,FALSE,"HAVAIANAS 24";#N/A,#N/A,FALSE,"Havaianas Mês e Acum 25";#N/A,#N/A,FALSE,"Havaianas Acum 26";#N/A,#N/A,FALSE,"GRANDES VOLUMES 27";#N/A,#N/A,FALSE,"GDV Mês e Acum 28";#N/A,#N/A,FALSE,"GDV Acum 29"}</definedName>
    <definedName name="wrn.Havaianas._.e._.GDV." localSheetId="24" hidden="1">{#N/A,#N/A,FALSE,"HAVAIANAS 24";#N/A,#N/A,FALSE,"Havaianas Mês e Acum 25";#N/A,#N/A,FALSE,"Havaianas Acum 26";#N/A,#N/A,FALSE,"GRANDES VOLUMES 27";#N/A,#N/A,FALSE,"GDV Mês e Acum 28";#N/A,#N/A,FALSE,"GDV Acum 29"}</definedName>
    <definedName name="wrn.Havaianas._.e._.GDV." localSheetId="25" hidden="1">{#N/A,#N/A,FALSE,"HAVAIANAS 24";#N/A,#N/A,FALSE,"Havaianas Mês e Acum 25";#N/A,#N/A,FALSE,"Havaianas Acum 26";#N/A,#N/A,FALSE,"GRANDES VOLUMES 27";#N/A,#N/A,FALSE,"GDV Mês e Acum 28";#N/A,#N/A,FALSE,"GDV Acum 29"}</definedName>
    <definedName name="wrn.Havaianas._.e._.GDV." localSheetId="26" hidden="1">{#N/A,#N/A,FALSE,"HAVAIANAS 24";#N/A,#N/A,FALSE,"Havaianas Mês e Acum 25";#N/A,#N/A,FALSE,"Havaianas Acum 26";#N/A,#N/A,FALSE,"GRANDES VOLUMES 27";#N/A,#N/A,FALSE,"GDV Mês e Acum 28";#N/A,#N/A,FALSE,"GDV Acum 29"}</definedName>
    <definedName name="wrn.Havaianas._.e._.GDV." localSheetId="27" hidden="1">{#N/A,#N/A,FALSE,"HAVAIANAS 24";#N/A,#N/A,FALSE,"Havaianas Mês e Acum 25";#N/A,#N/A,FALSE,"Havaianas Acum 26";#N/A,#N/A,FALSE,"GRANDES VOLUMES 27";#N/A,#N/A,FALSE,"GDV Mês e Acum 28";#N/A,#N/A,FALSE,"GDV Acum 29"}</definedName>
    <definedName name="wrn.Havaianas._.e._.GDV." localSheetId="28" hidden="1">{#N/A,#N/A,FALSE,"HAVAIANAS 24";#N/A,#N/A,FALSE,"Havaianas Mês e Acum 25";#N/A,#N/A,FALSE,"Havaianas Acum 26";#N/A,#N/A,FALSE,"GRANDES VOLUMES 27";#N/A,#N/A,FALSE,"GDV Mês e Acum 28";#N/A,#N/A,FALSE,"GDV Acum 29"}</definedName>
    <definedName name="wrn.Havaianas._.e._.GDV." localSheetId="29" hidden="1">{#N/A,#N/A,FALSE,"HAVAIANAS 24";#N/A,#N/A,FALSE,"Havaianas Mês e Acum 25";#N/A,#N/A,FALSE,"Havaianas Acum 26";#N/A,#N/A,FALSE,"GRANDES VOLUMES 27";#N/A,#N/A,FALSE,"GDV Mês e Acum 28";#N/A,#N/A,FALSE,"GDV Acum 29"}</definedName>
    <definedName name="wrn.Havaianas._.e._.GDV." localSheetId="30" hidden="1">{#N/A,#N/A,FALSE,"HAVAIANAS 24";#N/A,#N/A,FALSE,"Havaianas Mês e Acum 25";#N/A,#N/A,FALSE,"Havaianas Acum 26";#N/A,#N/A,FALSE,"GRANDES VOLUMES 27";#N/A,#N/A,FALSE,"GDV Mês e Acum 28";#N/A,#N/A,FALSE,"GDV Acum 29"}</definedName>
    <definedName name="wrn.Havaianas._.e._.GDV." localSheetId="31" hidden="1">{#N/A,#N/A,FALSE,"HAVAIANAS 24";#N/A,#N/A,FALSE,"Havaianas Mês e Acum 25";#N/A,#N/A,FALSE,"Havaianas Acum 26";#N/A,#N/A,FALSE,"GRANDES VOLUMES 27";#N/A,#N/A,FALSE,"GDV Mês e Acum 28";#N/A,#N/A,FALSE,"GDV Acum 29"}</definedName>
    <definedName name="wrn.Havaianas._.e._.GDV." localSheetId="32" hidden="1">{#N/A,#N/A,FALSE,"HAVAIANAS 24";#N/A,#N/A,FALSE,"Havaianas Mês e Acum 25";#N/A,#N/A,FALSE,"Havaianas Acum 26";#N/A,#N/A,FALSE,"GRANDES VOLUMES 27";#N/A,#N/A,FALSE,"GDV Mês e Acum 28";#N/A,#N/A,FALSE,"GDV Acum 29"}</definedName>
    <definedName name="wrn.Havaianas._.e._.GDV." hidden="1">{#N/A,#N/A,FALSE,"HAVAIANAS 24";#N/A,#N/A,FALSE,"Havaianas Mês e Acum 25";#N/A,#N/A,FALSE,"Havaianas Acum 26";#N/A,#N/A,FALSE,"GRANDES VOLUMES 27";#N/A,#N/A,FALSE,"GDV Mês e Acum 28";#N/A,#N/A,FALSE,"GDV Acum 29"}</definedName>
    <definedName name="wrn.INVESTIMENTOS." localSheetId="3" hidden="1">{#N/A,#N/A,FALSE,"DIPRE";#N/A,#N/A,FALSE,"DIVIP";#N/A,#N/A,FALSE,"DIRAD";#N/A,#N/A,FALSE,"DIFIR";#N/A,#N/A,FALSE,"DIDEN";#N/A,#N/A,FALSE,"SGP";#N/A,#N/A,FALSE,"SGS";#N/A,#N/A,FALSE,"SGI";#N/A,#N/A,FALSE,"SGC";#N/A,#N/A,FALSE,"SGB"}</definedName>
    <definedName name="wrn.INVESTIMENTOS." localSheetId="5" hidden="1">{#N/A,#N/A,FALSE,"DIPRE";#N/A,#N/A,FALSE,"DIVIP";#N/A,#N/A,FALSE,"DIRAD";#N/A,#N/A,FALSE,"DIFIR";#N/A,#N/A,FALSE,"DIDEN";#N/A,#N/A,FALSE,"SGP";#N/A,#N/A,FALSE,"SGS";#N/A,#N/A,FALSE,"SGI";#N/A,#N/A,FALSE,"SGC";#N/A,#N/A,FALSE,"SGB"}</definedName>
    <definedName name="wrn.INVESTIMENTOS." localSheetId="6" hidden="1">{#N/A,#N/A,FALSE,"DIPRE";#N/A,#N/A,FALSE,"DIVIP";#N/A,#N/A,FALSE,"DIRAD";#N/A,#N/A,FALSE,"DIFIR";#N/A,#N/A,FALSE,"DIDEN";#N/A,#N/A,FALSE,"SGP";#N/A,#N/A,FALSE,"SGS";#N/A,#N/A,FALSE,"SGI";#N/A,#N/A,FALSE,"SGC";#N/A,#N/A,FALSE,"SGB"}</definedName>
    <definedName name="wrn.INVESTIMENTOS." localSheetId="7" hidden="1">{#N/A,#N/A,FALSE,"DIPRE";#N/A,#N/A,FALSE,"DIVIP";#N/A,#N/A,FALSE,"DIRAD";#N/A,#N/A,FALSE,"DIFIR";#N/A,#N/A,FALSE,"DIDEN";#N/A,#N/A,FALSE,"SGP";#N/A,#N/A,FALSE,"SGS";#N/A,#N/A,FALSE,"SGI";#N/A,#N/A,FALSE,"SGC";#N/A,#N/A,FALSE,"SGB"}</definedName>
    <definedName name="wrn.INVESTIMENTOS." localSheetId="9" hidden="1">{#N/A,#N/A,FALSE,"DIPRE";#N/A,#N/A,FALSE,"DIVIP";#N/A,#N/A,FALSE,"DIRAD";#N/A,#N/A,FALSE,"DIFIR";#N/A,#N/A,FALSE,"DIDEN";#N/A,#N/A,FALSE,"SGP";#N/A,#N/A,FALSE,"SGS";#N/A,#N/A,FALSE,"SGI";#N/A,#N/A,FALSE,"SGC";#N/A,#N/A,FALSE,"SGB"}</definedName>
    <definedName name="wrn.INVESTIMENTOS." localSheetId="10" hidden="1">{#N/A,#N/A,FALSE,"DIPRE";#N/A,#N/A,FALSE,"DIVIP";#N/A,#N/A,FALSE,"DIRAD";#N/A,#N/A,FALSE,"DIFIR";#N/A,#N/A,FALSE,"DIDEN";#N/A,#N/A,FALSE,"SGP";#N/A,#N/A,FALSE,"SGS";#N/A,#N/A,FALSE,"SGI";#N/A,#N/A,FALSE,"SGC";#N/A,#N/A,FALSE,"SGB"}</definedName>
    <definedName name="wrn.INVESTIMENTOS." localSheetId="11" hidden="1">{#N/A,#N/A,FALSE,"DIPRE";#N/A,#N/A,FALSE,"DIVIP";#N/A,#N/A,FALSE,"DIRAD";#N/A,#N/A,FALSE,"DIFIR";#N/A,#N/A,FALSE,"DIDEN";#N/A,#N/A,FALSE,"SGP";#N/A,#N/A,FALSE,"SGS";#N/A,#N/A,FALSE,"SGI";#N/A,#N/A,FALSE,"SGC";#N/A,#N/A,FALSE,"SGB"}</definedName>
    <definedName name="wrn.INVESTIMENTOS." localSheetId="12" hidden="1">{#N/A,#N/A,FALSE,"DIPRE";#N/A,#N/A,FALSE,"DIVIP";#N/A,#N/A,FALSE,"DIRAD";#N/A,#N/A,FALSE,"DIFIR";#N/A,#N/A,FALSE,"DIDEN";#N/A,#N/A,FALSE,"SGP";#N/A,#N/A,FALSE,"SGS";#N/A,#N/A,FALSE,"SGI";#N/A,#N/A,FALSE,"SGC";#N/A,#N/A,FALSE,"SGB"}</definedName>
    <definedName name="wrn.INVESTIMENTOS." localSheetId="13" hidden="1">{#N/A,#N/A,FALSE,"DIPRE";#N/A,#N/A,FALSE,"DIVIP";#N/A,#N/A,FALSE,"DIRAD";#N/A,#N/A,FALSE,"DIFIR";#N/A,#N/A,FALSE,"DIDEN";#N/A,#N/A,FALSE,"SGP";#N/A,#N/A,FALSE,"SGS";#N/A,#N/A,FALSE,"SGI";#N/A,#N/A,FALSE,"SGC";#N/A,#N/A,FALSE,"SGB"}</definedName>
    <definedName name="wrn.INVESTIMENTOS." localSheetId="14" hidden="1">{#N/A,#N/A,FALSE,"DIPRE";#N/A,#N/A,FALSE,"DIVIP";#N/A,#N/A,FALSE,"DIRAD";#N/A,#N/A,FALSE,"DIFIR";#N/A,#N/A,FALSE,"DIDEN";#N/A,#N/A,FALSE,"SGP";#N/A,#N/A,FALSE,"SGS";#N/A,#N/A,FALSE,"SGI";#N/A,#N/A,FALSE,"SGC";#N/A,#N/A,FALSE,"SGB"}</definedName>
    <definedName name="wrn.INVESTIMENTOS." localSheetId="15" hidden="1">{#N/A,#N/A,FALSE,"DIPRE";#N/A,#N/A,FALSE,"DIVIP";#N/A,#N/A,FALSE,"DIRAD";#N/A,#N/A,FALSE,"DIFIR";#N/A,#N/A,FALSE,"DIDEN";#N/A,#N/A,FALSE,"SGP";#N/A,#N/A,FALSE,"SGS";#N/A,#N/A,FALSE,"SGI";#N/A,#N/A,FALSE,"SGC";#N/A,#N/A,FALSE,"SGB"}</definedName>
    <definedName name="wrn.INVESTIMENTOS." localSheetId="20" hidden="1">{#N/A,#N/A,FALSE,"DIPRE";#N/A,#N/A,FALSE,"DIVIP";#N/A,#N/A,FALSE,"DIRAD";#N/A,#N/A,FALSE,"DIFIR";#N/A,#N/A,FALSE,"DIDEN";#N/A,#N/A,FALSE,"SGP";#N/A,#N/A,FALSE,"SGS";#N/A,#N/A,FALSE,"SGI";#N/A,#N/A,FALSE,"SGC";#N/A,#N/A,FALSE,"SGB"}</definedName>
    <definedName name="wrn.INVESTIMENTOS." localSheetId="21" hidden="1">{#N/A,#N/A,FALSE,"DIPRE";#N/A,#N/A,FALSE,"DIVIP";#N/A,#N/A,FALSE,"DIRAD";#N/A,#N/A,FALSE,"DIFIR";#N/A,#N/A,FALSE,"DIDEN";#N/A,#N/A,FALSE,"SGP";#N/A,#N/A,FALSE,"SGS";#N/A,#N/A,FALSE,"SGI";#N/A,#N/A,FALSE,"SGC";#N/A,#N/A,FALSE,"SGB"}</definedName>
    <definedName name="wrn.INVESTIMENTOS." localSheetId="22" hidden="1">{#N/A,#N/A,FALSE,"DIPRE";#N/A,#N/A,FALSE,"DIVIP";#N/A,#N/A,FALSE,"DIRAD";#N/A,#N/A,FALSE,"DIFIR";#N/A,#N/A,FALSE,"DIDEN";#N/A,#N/A,FALSE,"SGP";#N/A,#N/A,FALSE,"SGS";#N/A,#N/A,FALSE,"SGI";#N/A,#N/A,FALSE,"SGC";#N/A,#N/A,FALSE,"SGB"}</definedName>
    <definedName name="wrn.INVESTIMENTOS." localSheetId="23" hidden="1">{#N/A,#N/A,FALSE,"DIPRE";#N/A,#N/A,FALSE,"DIVIP";#N/A,#N/A,FALSE,"DIRAD";#N/A,#N/A,FALSE,"DIFIR";#N/A,#N/A,FALSE,"DIDEN";#N/A,#N/A,FALSE,"SGP";#N/A,#N/A,FALSE,"SGS";#N/A,#N/A,FALSE,"SGI";#N/A,#N/A,FALSE,"SGC";#N/A,#N/A,FALSE,"SGB"}</definedName>
    <definedName name="wrn.INVESTIMENTOS." localSheetId="24" hidden="1">{#N/A,#N/A,FALSE,"DIPRE";#N/A,#N/A,FALSE,"DIVIP";#N/A,#N/A,FALSE,"DIRAD";#N/A,#N/A,FALSE,"DIFIR";#N/A,#N/A,FALSE,"DIDEN";#N/A,#N/A,FALSE,"SGP";#N/A,#N/A,FALSE,"SGS";#N/A,#N/A,FALSE,"SGI";#N/A,#N/A,FALSE,"SGC";#N/A,#N/A,FALSE,"SGB"}</definedName>
    <definedName name="wrn.INVESTIMENTOS." localSheetId="25" hidden="1">{#N/A,#N/A,FALSE,"DIPRE";#N/A,#N/A,FALSE,"DIVIP";#N/A,#N/A,FALSE,"DIRAD";#N/A,#N/A,FALSE,"DIFIR";#N/A,#N/A,FALSE,"DIDEN";#N/A,#N/A,FALSE,"SGP";#N/A,#N/A,FALSE,"SGS";#N/A,#N/A,FALSE,"SGI";#N/A,#N/A,FALSE,"SGC";#N/A,#N/A,FALSE,"SGB"}</definedName>
    <definedName name="wrn.INVESTIMENTOS." localSheetId="26" hidden="1">{#N/A,#N/A,FALSE,"DIPRE";#N/A,#N/A,FALSE,"DIVIP";#N/A,#N/A,FALSE,"DIRAD";#N/A,#N/A,FALSE,"DIFIR";#N/A,#N/A,FALSE,"DIDEN";#N/A,#N/A,FALSE,"SGP";#N/A,#N/A,FALSE,"SGS";#N/A,#N/A,FALSE,"SGI";#N/A,#N/A,FALSE,"SGC";#N/A,#N/A,FALSE,"SGB"}</definedName>
    <definedName name="wrn.INVESTIMENTOS." localSheetId="27" hidden="1">{#N/A,#N/A,FALSE,"DIPRE";#N/A,#N/A,FALSE,"DIVIP";#N/A,#N/A,FALSE,"DIRAD";#N/A,#N/A,FALSE,"DIFIR";#N/A,#N/A,FALSE,"DIDEN";#N/A,#N/A,FALSE,"SGP";#N/A,#N/A,FALSE,"SGS";#N/A,#N/A,FALSE,"SGI";#N/A,#N/A,FALSE,"SGC";#N/A,#N/A,FALSE,"SGB"}</definedName>
    <definedName name="wrn.INVESTIMENTOS." localSheetId="28" hidden="1">{#N/A,#N/A,FALSE,"DIPRE";#N/A,#N/A,FALSE,"DIVIP";#N/A,#N/A,FALSE,"DIRAD";#N/A,#N/A,FALSE,"DIFIR";#N/A,#N/A,FALSE,"DIDEN";#N/A,#N/A,FALSE,"SGP";#N/A,#N/A,FALSE,"SGS";#N/A,#N/A,FALSE,"SGI";#N/A,#N/A,FALSE,"SGC";#N/A,#N/A,FALSE,"SGB"}</definedName>
    <definedName name="wrn.INVESTIMENTOS." localSheetId="29" hidden="1">{#N/A,#N/A,FALSE,"DIPRE";#N/A,#N/A,FALSE,"DIVIP";#N/A,#N/A,FALSE,"DIRAD";#N/A,#N/A,FALSE,"DIFIR";#N/A,#N/A,FALSE,"DIDEN";#N/A,#N/A,FALSE,"SGP";#N/A,#N/A,FALSE,"SGS";#N/A,#N/A,FALSE,"SGI";#N/A,#N/A,FALSE,"SGC";#N/A,#N/A,FALSE,"SGB"}</definedName>
    <definedName name="wrn.INVESTIMENTOS." localSheetId="30" hidden="1">{#N/A,#N/A,FALSE,"DIPRE";#N/A,#N/A,FALSE,"DIVIP";#N/A,#N/A,FALSE,"DIRAD";#N/A,#N/A,FALSE,"DIFIR";#N/A,#N/A,FALSE,"DIDEN";#N/A,#N/A,FALSE,"SGP";#N/A,#N/A,FALSE,"SGS";#N/A,#N/A,FALSE,"SGI";#N/A,#N/A,FALSE,"SGC";#N/A,#N/A,FALSE,"SGB"}</definedName>
    <definedName name="wrn.INVESTIMENTOS." localSheetId="31" hidden="1">{#N/A,#N/A,FALSE,"DIPRE";#N/A,#N/A,FALSE,"DIVIP";#N/A,#N/A,FALSE,"DIRAD";#N/A,#N/A,FALSE,"DIFIR";#N/A,#N/A,FALSE,"DIDEN";#N/A,#N/A,FALSE,"SGP";#N/A,#N/A,FALSE,"SGS";#N/A,#N/A,FALSE,"SGI";#N/A,#N/A,FALSE,"SGC";#N/A,#N/A,FALSE,"SGB"}</definedName>
    <definedName name="wrn.INVESTIMENTOS." localSheetId="32" hidden="1">{#N/A,#N/A,FALSE,"DIPRE";#N/A,#N/A,FALSE,"DIVIP";#N/A,#N/A,FALSE,"DIRAD";#N/A,#N/A,FALSE,"DIFIR";#N/A,#N/A,FALSE,"DIDEN";#N/A,#N/A,FALSE,"SGP";#N/A,#N/A,FALSE,"SGS";#N/A,#N/A,FALSE,"SGI";#N/A,#N/A,FALSE,"SGC";#N/A,#N/A,FALSE,"SGB"}</definedName>
    <definedName name="wrn.INVESTIMENTOS." hidden="1">{#N/A,#N/A,FALSE,"DIPRE";#N/A,#N/A,FALSE,"DIVIP";#N/A,#N/A,FALSE,"DIRAD";#N/A,#N/A,FALSE,"DIFIR";#N/A,#N/A,FALSE,"DIDEN";#N/A,#N/A,FALSE,"SGP";#N/A,#N/A,FALSE,"SGS";#N/A,#N/A,FALSE,"SGI";#N/A,#N/A,FALSE,"SGC";#N/A,#N/A,FALSE,"SGB"}</definedName>
    <definedName name="wrn.ITENS._.DE._.CONTROLES." localSheetId="3" hidden="1">{#N/A,#N/A,FALSE,"ORÇADOxREAL %M.P.";#N/A,#N/A,FALSE,"ORÇADOxREAL";#N/A,#N/A,FALSE,"Receb. Clientes";#N/A,#N/A,FALSE,"Pgto Fornecedores";#N/A,#N/A,FALSE,"% M.P.";#N/A,#N/A,FALSE,"Faturamento M²";#N/A,#N/A,FALSE,"IC"}</definedName>
    <definedName name="wrn.ITENS._.DE._.CONTROLES." localSheetId="5" hidden="1">{#N/A,#N/A,FALSE,"ORÇADOxREAL %M.P.";#N/A,#N/A,FALSE,"ORÇADOxREAL";#N/A,#N/A,FALSE,"Receb. Clientes";#N/A,#N/A,FALSE,"Pgto Fornecedores";#N/A,#N/A,FALSE,"% M.P.";#N/A,#N/A,FALSE,"Faturamento M²";#N/A,#N/A,FALSE,"IC"}</definedName>
    <definedName name="wrn.ITENS._.DE._.CONTROLES." localSheetId="6" hidden="1">{#N/A,#N/A,FALSE,"ORÇADOxREAL %M.P.";#N/A,#N/A,FALSE,"ORÇADOxREAL";#N/A,#N/A,FALSE,"Receb. Clientes";#N/A,#N/A,FALSE,"Pgto Fornecedores";#N/A,#N/A,FALSE,"% M.P.";#N/A,#N/A,FALSE,"Faturamento M²";#N/A,#N/A,FALSE,"IC"}</definedName>
    <definedName name="wrn.ITENS._.DE._.CONTROLES." localSheetId="7" hidden="1">{#N/A,#N/A,FALSE,"ORÇADOxREAL %M.P.";#N/A,#N/A,FALSE,"ORÇADOxREAL";#N/A,#N/A,FALSE,"Receb. Clientes";#N/A,#N/A,FALSE,"Pgto Fornecedores";#N/A,#N/A,FALSE,"% M.P.";#N/A,#N/A,FALSE,"Faturamento M²";#N/A,#N/A,FALSE,"IC"}</definedName>
    <definedName name="wrn.ITENS._.DE._.CONTROLES." localSheetId="9" hidden="1">{#N/A,#N/A,FALSE,"ORÇADOxREAL %M.P.";#N/A,#N/A,FALSE,"ORÇADOxREAL";#N/A,#N/A,FALSE,"Receb. Clientes";#N/A,#N/A,FALSE,"Pgto Fornecedores";#N/A,#N/A,FALSE,"% M.P.";#N/A,#N/A,FALSE,"Faturamento M²";#N/A,#N/A,FALSE,"IC"}</definedName>
    <definedName name="wrn.ITENS._.DE._.CONTROLES." localSheetId="10" hidden="1">{#N/A,#N/A,FALSE,"ORÇADOxREAL %M.P.";#N/A,#N/A,FALSE,"ORÇADOxREAL";#N/A,#N/A,FALSE,"Receb. Clientes";#N/A,#N/A,FALSE,"Pgto Fornecedores";#N/A,#N/A,FALSE,"% M.P.";#N/A,#N/A,FALSE,"Faturamento M²";#N/A,#N/A,FALSE,"IC"}</definedName>
    <definedName name="wrn.ITENS._.DE._.CONTROLES." localSheetId="11" hidden="1">{#N/A,#N/A,FALSE,"ORÇADOxREAL %M.P.";#N/A,#N/A,FALSE,"ORÇADOxREAL";#N/A,#N/A,FALSE,"Receb. Clientes";#N/A,#N/A,FALSE,"Pgto Fornecedores";#N/A,#N/A,FALSE,"% M.P.";#N/A,#N/A,FALSE,"Faturamento M²";#N/A,#N/A,FALSE,"IC"}</definedName>
    <definedName name="wrn.ITENS._.DE._.CONTROLES." localSheetId="12" hidden="1">{#N/A,#N/A,FALSE,"ORÇADOxREAL %M.P.";#N/A,#N/A,FALSE,"ORÇADOxREAL";#N/A,#N/A,FALSE,"Receb. Clientes";#N/A,#N/A,FALSE,"Pgto Fornecedores";#N/A,#N/A,FALSE,"% M.P.";#N/A,#N/A,FALSE,"Faturamento M²";#N/A,#N/A,FALSE,"IC"}</definedName>
    <definedName name="wrn.ITENS._.DE._.CONTROLES." localSheetId="13" hidden="1">{#N/A,#N/A,FALSE,"ORÇADOxREAL %M.P.";#N/A,#N/A,FALSE,"ORÇADOxREAL";#N/A,#N/A,FALSE,"Receb. Clientes";#N/A,#N/A,FALSE,"Pgto Fornecedores";#N/A,#N/A,FALSE,"% M.P.";#N/A,#N/A,FALSE,"Faturamento M²";#N/A,#N/A,FALSE,"IC"}</definedName>
    <definedName name="wrn.ITENS._.DE._.CONTROLES." localSheetId="14" hidden="1">{#N/A,#N/A,FALSE,"ORÇADOxREAL %M.P.";#N/A,#N/A,FALSE,"ORÇADOxREAL";#N/A,#N/A,FALSE,"Receb. Clientes";#N/A,#N/A,FALSE,"Pgto Fornecedores";#N/A,#N/A,FALSE,"% M.P.";#N/A,#N/A,FALSE,"Faturamento M²";#N/A,#N/A,FALSE,"IC"}</definedName>
    <definedName name="wrn.ITENS._.DE._.CONTROLES." localSheetId="15" hidden="1">{#N/A,#N/A,FALSE,"ORÇADOxREAL %M.P.";#N/A,#N/A,FALSE,"ORÇADOxREAL";#N/A,#N/A,FALSE,"Receb. Clientes";#N/A,#N/A,FALSE,"Pgto Fornecedores";#N/A,#N/A,FALSE,"% M.P.";#N/A,#N/A,FALSE,"Faturamento M²";#N/A,#N/A,FALSE,"IC"}</definedName>
    <definedName name="wrn.ITENS._.DE._.CONTROLES." localSheetId="20" hidden="1">{#N/A,#N/A,FALSE,"ORÇADOxREAL %M.P.";#N/A,#N/A,FALSE,"ORÇADOxREAL";#N/A,#N/A,FALSE,"Receb. Clientes";#N/A,#N/A,FALSE,"Pgto Fornecedores";#N/A,#N/A,FALSE,"% M.P.";#N/A,#N/A,FALSE,"Faturamento M²";#N/A,#N/A,FALSE,"IC"}</definedName>
    <definedName name="wrn.ITENS._.DE._.CONTROLES." localSheetId="21" hidden="1">{#N/A,#N/A,FALSE,"ORÇADOxREAL %M.P.";#N/A,#N/A,FALSE,"ORÇADOxREAL";#N/A,#N/A,FALSE,"Receb. Clientes";#N/A,#N/A,FALSE,"Pgto Fornecedores";#N/A,#N/A,FALSE,"% M.P.";#N/A,#N/A,FALSE,"Faturamento M²";#N/A,#N/A,FALSE,"IC"}</definedName>
    <definedName name="wrn.ITENS._.DE._.CONTROLES." localSheetId="22" hidden="1">{#N/A,#N/A,FALSE,"ORÇADOxREAL %M.P.";#N/A,#N/A,FALSE,"ORÇADOxREAL";#N/A,#N/A,FALSE,"Receb. Clientes";#N/A,#N/A,FALSE,"Pgto Fornecedores";#N/A,#N/A,FALSE,"% M.P.";#N/A,#N/A,FALSE,"Faturamento M²";#N/A,#N/A,FALSE,"IC"}</definedName>
    <definedName name="wrn.ITENS._.DE._.CONTROLES." localSheetId="23" hidden="1">{#N/A,#N/A,FALSE,"ORÇADOxREAL %M.P.";#N/A,#N/A,FALSE,"ORÇADOxREAL";#N/A,#N/A,FALSE,"Receb. Clientes";#N/A,#N/A,FALSE,"Pgto Fornecedores";#N/A,#N/A,FALSE,"% M.P.";#N/A,#N/A,FALSE,"Faturamento M²";#N/A,#N/A,FALSE,"IC"}</definedName>
    <definedName name="wrn.ITENS._.DE._.CONTROLES." localSheetId="24" hidden="1">{#N/A,#N/A,FALSE,"ORÇADOxREAL %M.P.";#N/A,#N/A,FALSE,"ORÇADOxREAL";#N/A,#N/A,FALSE,"Receb. Clientes";#N/A,#N/A,FALSE,"Pgto Fornecedores";#N/A,#N/A,FALSE,"% M.P.";#N/A,#N/A,FALSE,"Faturamento M²";#N/A,#N/A,FALSE,"IC"}</definedName>
    <definedName name="wrn.ITENS._.DE._.CONTROLES." localSheetId="25" hidden="1">{#N/A,#N/A,FALSE,"ORÇADOxREAL %M.P.";#N/A,#N/A,FALSE,"ORÇADOxREAL";#N/A,#N/A,FALSE,"Receb. Clientes";#N/A,#N/A,FALSE,"Pgto Fornecedores";#N/A,#N/A,FALSE,"% M.P.";#N/A,#N/A,FALSE,"Faturamento M²";#N/A,#N/A,FALSE,"IC"}</definedName>
    <definedName name="wrn.ITENS._.DE._.CONTROLES." localSheetId="26" hidden="1">{#N/A,#N/A,FALSE,"ORÇADOxREAL %M.P.";#N/A,#N/A,FALSE,"ORÇADOxREAL";#N/A,#N/A,FALSE,"Receb. Clientes";#N/A,#N/A,FALSE,"Pgto Fornecedores";#N/A,#N/A,FALSE,"% M.P.";#N/A,#N/A,FALSE,"Faturamento M²";#N/A,#N/A,FALSE,"IC"}</definedName>
    <definedName name="wrn.ITENS._.DE._.CONTROLES." localSheetId="27" hidden="1">{#N/A,#N/A,FALSE,"ORÇADOxREAL %M.P.";#N/A,#N/A,FALSE,"ORÇADOxREAL";#N/A,#N/A,FALSE,"Receb. Clientes";#N/A,#N/A,FALSE,"Pgto Fornecedores";#N/A,#N/A,FALSE,"% M.P.";#N/A,#N/A,FALSE,"Faturamento M²";#N/A,#N/A,FALSE,"IC"}</definedName>
    <definedName name="wrn.ITENS._.DE._.CONTROLES." localSheetId="28" hidden="1">{#N/A,#N/A,FALSE,"ORÇADOxREAL %M.P.";#N/A,#N/A,FALSE,"ORÇADOxREAL";#N/A,#N/A,FALSE,"Receb. Clientes";#N/A,#N/A,FALSE,"Pgto Fornecedores";#N/A,#N/A,FALSE,"% M.P.";#N/A,#N/A,FALSE,"Faturamento M²";#N/A,#N/A,FALSE,"IC"}</definedName>
    <definedName name="wrn.ITENS._.DE._.CONTROLES." localSheetId="29" hidden="1">{#N/A,#N/A,FALSE,"ORÇADOxREAL %M.P.";#N/A,#N/A,FALSE,"ORÇADOxREAL";#N/A,#N/A,FALSE,"Receb. Clientes";#N/A,#N/A,FALSE,"Pgto Fornecedores";#N/A,#N/A,FALSE,"% M.P.";#N/A,#N/A,FALSE,"Faturamento M²";#N/A,#N/A,FALSE,"IC"}</definedName>
    <definedName name="wrn.ITENS._.DE._.CONTROLES." localSheetId="30" hidden="1">{#N/A,#N/A,FALSE,"ORÇADOxREAL %M.P.";#N/A,#N/A,FALSE,"ORÇADOxREAL";#N/A,#N/A,FALSE,"Receb. Clientes";#N/A,#N/A,FALSE,"Pgto Fornecedores";#N/A,#N/A,FALSE,"% M.P.";#N/A,#N/A,FALSE,"Faturamento M²";#N/A,#N/A,FALSE,"IC"}</definedName>
    <definedName name="wrn.ITENS._.DE._.CONTROLES." localSheetId="31" hidden="1">{#N/A,#N/A,FALSE,"ORÇADOxREAL %M.P.";#N/A,#N/A,FALSE,"ORÇADOxREAL";#N/A,#N/A,FALSE,"Receb. Clientes";#N/A,#N/A,FALSE,"Pgto Fornecedores";#N/A,#N/A,FALSE,"% M.P.";#N/A,#N/A,FALSE,"Faturamento M²";#N/A,#N/A,FALSE,"IC"}</definedName>
    <definedName name="wrn.ITENS._.DE._.CONTROLES." localSheetId="32" hidden="1">{#N/A,#N/A,FALSE,"ORÇADOxREAL %M.P.";#N/A,#N/A,FALSE,"ORÇADOxREAL";#N/A,#N/A,FALSE,"Receb. Clientes";#N/A,#N/A,FALSE,"Pgto Fornecedores";#N/A,#N/A,FALSE,"% M.P.";#N/A,#N/A,FALSE,"Faturamento M²";#N/A,#N/A,FALSE,"IC"}</definedName>
    <definedName name="wrn.ITENS._.DE._.CONTROLES." hidden="1">{#N/A,#N/A,FALSE,"ORÇADOxREAL %M.P.";#N/A,#N/A,FALSE,"ORÇADOxREAL";#N/A,#N/A,FALSE,"Receb. Clientes";#N/A,#N/A,FALSE,"Pgto Fornecedores";#N/A,#N/A,FALSE,"% M.P.";#N/A,#N/A,FALSE,"Faturamento M²";#N/A,#N/A,FALSE,"IC"}</definedName>
    <definedName name="wrn.Meggashop." localSheetId="3" hidden="1">{#N/A,#N/A,FALSE,"MEGGASHOP 36";#N/A,#N/A,FALSE,"MEGGASHOP Mês e Acum 37";#N/A,#N/A,FALSE,"MEGGASHOP Acum 38"}</definedName>
    <definedName name="wrn.Meggashop." localSheetId="5" hidden="1">{#N/A,#N/A,FALSE,"MEGGASHOP 36";#N/A,#N/A,FALSE,"MEGGASHOP Mês e Acum 37";#N/A,#N/A,FALSE,"MEGGASHOP Acum 38"}</definedName>
    <definedName name="wrn.Meggashop." localSheetId="6" hidden="1">{#N/A,#N/A,FALSE,"MEGGASHOP 36";#N/A,#N/A,FALSE,"MEGGASHOP Mês e Acum 37";#N/A,#N/A,FALSE,"MEGGASHOP Acum 38"}</definedName>
    <definedName name="wrn.Meggashop." localSheetId="7" hidden="1">{#N/A,#N/A,FALSE,"MEGGASHOP 36";#N/A,#N/A,FALSE,"MEGGASHOP Mês e Acum 37";#N/A,#N/A,FALSE,"MEGGASHOP Acum 38"}</definedName>
    <definedName name="wrn.Meggashop." localSheetId="9" hidden="1">{#N/A,#N/A,FALSE,"MEGGASHOP 36";#N/A,#N/A,FALSE,"MEGGASHOP Mês e Acum 37";#N/A,#N/A,FALSE,"MEGGASHOP Acum 38"}</definedName>
    <definedName name="wrn.Meggashop." localSheetId="10" hidden="1">{#N/A,#N/A,FALSE,"MEGGASHOP 36";#N/A,#N/A,FALSE,"MEGGASHOP Mês e Acum 37";#N/A,#N/A,FALSE,"MEGGASHOP Acum 38"}</definedName>
    <definedName name="wrn.Meggashop." localSheetId="11" hidden="1">{#N/A,#N/A,FALSE,"MEGGASHOP 36";#N/A,#N/A,FALSE,"MEGGASHOP Mês e Acum 37";#N/A,#N/A,FALSE,"MEGGASHOP Acum 38"}</definedName>
    <definedName name="wrn.Meggashop." localSheetId="12" hidden="1">{#N/A,#N/A,FALSE,"MEGGASHOP 36";#N/A,#N/A,FALSE,"MEGGASHOP Mês e Acum 37";#N/A,#N/A,FALSE,"MEGGASHOP Acum 38"}</definedName>
    <definedName name="wrn.Meggashop." localSheetId="13" hidden="1">{#N/A,#N/A,FALSE,"MEGGASHOP 36";#N/A,#N/A,FALSE,"MEGGASHOP Mês e Acum 37";#N/A,#N/A,FALSE,"MEGGASHOP Acum 38"}</definedName>
    <definedName name="wrn.Meggashop." localSheetId="14" hidden="1">{#N/A,#N/A,FALSE,"MEGGASHOP 36";#N/A,#N/A,FALSE,"MEGGASHOP Mês e Acum 37";#N/A,#N/A,FALSE,"MEGGASHOP Acum 38"}</definedName>
    <definedName name="wrn.Meggashop." localSheetId="15" hidden="1">{#N/A,#N/A,FALSE,"MEGGASHOP 36";#N/A,#N/A,FALSE,"MEGGASHOP Mês e Acum 37";#N/A,#N/A,FALSE,"MEGGASHOP Acum 38"}</definedName>
    <definedName name="wrn.Meggashop." localSheetId="20" hidden="1">{#N/A,#N/A,FALSE,"MEGGASHOP 36";#N/A,#N/A,FALSE,"MEGGASHOP Mês e Acum 37";#N/A,#N/A,FALSE,"MEGGASHOP Acum 38"}</definedName>
    <definedName name="wrn.Meggashop." localSheetId="21" hidden="1">{#N/A,#N/A,FALSE,"MEGGASHOP 36";#N/A,#N/A,FALSE,"MEGGASHOP Mês e Acum 37";#N/A,#N/A,FALSE,"MEGGASHOP Acum 38"}</definedName>
    <definedName name="wrn.Meggashop." localSheetId="22" hidden="1">{#N/A,#N/A,FALSE,"MEGGASHOP 36";#N/A,#N/A,FALSE,"MEGGASHOP Mês e Acum 37";#N/A,#N/A,FALSE,"MEGGASHOP Acum 38"}</definedName>
    <definedName name="wrn.Meggashop." localSheetId="23" hidden="1">{#N/A,#N/A,FALSE,"MEGGASHOP 36";#N/A,#N/A,FALSE,"MEGGASHOP Mês e Acum 37";#N/A,#N/A,FALSE,"MEGGASHOP Acum 38"}</definedName>
    <definedName name="wrn.Meggashop." localSheetId="24" hidden="1">{#N/A,#N/A,FALSE,"MEGGASHOP 36";#N/A,#N/A,FALSE,"MEGGASHOP Mês e Acum 37";#N/A,#N/A,FALSE,"MEGGASHOP Acum 38"}</definedName>
    <definedName name="wrn.Meggashop." localSheetId="25" hidden="1">{#N/A,#N/A,FALSE,"MEGGASHOP 36";#N/A,#N/A,FALSE,"MEGGASHOP Mês e Acum 37";#N/A,#N/A,FALSE,"MEGGASHOP Acum 38"}</definedName>
    <definedName name="wrn.Meggashop." localSheetId="26" hidden="1">{#N/A,#N/A,FALSE,"MEGGASHOP 36";#N/A,#N/A,FALSE,"MEGGASHOP Mês e Acum 37";#N/A,#N/A,FALSE,"MEGGASHOP Acum 38"}</definedName>
    <definedName name="wrn.Meggashop." localSheetId="27" hidden="1">{#N/A,#N/A,FALSE,"MEGGASHOP 36";#N/A,#N/A,FALSE,"MEGGASHOP Mês e Acum 37";#N/A,#N/A,FALSE,"MEGGASHOP Acum 38"}</definedName>
    <definedName name="wrn.Meggashop." localSheetId="28" hidden="1">{#N/A,#N/A,FALSE,"MEGGASHOP 36";#N/A,#N/A,FALSE,"MEGGASHOP Mês e Acum 37";#N/A,#N/A,FALSE,"MEGGASHOP Acum 38"}</definedName>
    <definedName name="wrn.Meggashop." localSheetId="29" hidden="1">{#N/A,#N/A,FALSE,"MEGGASHOP 36";#N/A,#N/A,FALSE,"MEGGASHOP Mês e Acum 37";#N/A,#N/A,FALSE,"MEGGASHOP Acum 38"}</definedName>
    <definedName name="wrn.Meggashop." localSheetId="30" hidden="1">{#N/A,#N/A,FALSE,"MEGGASHOP 36";#N/A,#N/A,FALSE,"MEGGASHOP Mês e Acum 37";#N/A,#N/A,FALSE,"MEGGASHOP Acum 38"}</definedName>
    <definedName name="wrn.Meggashop." localSheetId="31" hidden="1">{#N/A,#N/A,FALSE,"MEGGASHOP 36";#N/A,#N/A,FALSE,"MEGGASHOP Mês e Acum 37";#N/A,#N/A,FALSE,"MEGGASHOP Acum 38"}</definedName>
    <definedName name="wrn.Meggashop." localSheetId="32" hidden="1">{#N/A,#N/A,FALSE,"MEGGASHOP 36";#N/A,#N/A,FALSE,"MEGGASHOP Mês e Acum 37";#N/A,#N/A,FALSE,"MEGGASHOP Acum 38"}</definedName>
    <definedName name="wrn.Meggashop." hidden="1">{#N/A,#N/A,FALSE,"MEGGASHOP 36";#N/A,#N/A,FALSE,"MEGGASHOP Mês e Acum 37";#N/A,#N/A,FALSE,"MEGGASHOP Acum 38"}</definedName>
    <definedName name="wrn.Mizuno." localSheetId="3" hidden="1">{#N/A,#N/A,FALSE,"MIZUNO 21";#N/A,#N/A,FALSE,"Mizuno Mês e Acum 22";#N/A,#N/A,FALSE,"Mizuno Acum 23"}</definedName>
    <definedName name="wrn.Mizuno." localSheetId="5" hidden="1">{#N/A,#N/A,FALSE,"MIZUNO 21";#N/A,#N/A,FALSE,"Mizuno Mês e Acum 22";#N/A,#N/A,FALSE,"Mizuno Acum 23"}</definedName>
    <definedName name="wrn.Mizuno." localSheetId="6" hidden="1">{#N/A,#N/A,FALSE,"MIZUNO 21";#N/A,#N/A,FALSE,"Mizuno Mês e Acum 22";#N/A,#N/A,FALSE,"Mizuno Acum 23"}</definedName>
    <definedName name="wrn.Mizuno." localSheetId="7" hidden="1">{#N/A,#N/A,FALSE,"MIZUNO 21";#N/A,#N/A,FALSE,"Mizuno Mês e Acum 22";#N/A,#N/A,FALSE,"Mizuno Acum 23"}</definedName>
    <definedName name="wrn.Mizuno." localSheetId="9" hidden="1">{#N/A,#N/A,FALSE,"MIZUNO 21";#N/A,#N/A,FALSE,"Mizuno Mês e Acum 22";#N/A,#N/A,FALSE,"Mizuno Acum 23"}</definedName>
    <definedName name="wrn.Mizuno." localSheetId="10" hidden="1">{#N/A,#N/A,FALSE,"MIZUNO 21";#N/A,#N/A,FALSE,"Mizuno Mês e Acum 22";#N/A,#N/A,FALSE,"Mizuno Acum 23"}</definedName>
    <definedName name="wrn.Mizuno." localSheetId="11" hidden="1">{#N/A,#N/A,FALSE,"MIZUNO 21";#N/A,#N/A,FALSE,"Mizuno Mês e Acum 22";#N/A,#N/A,FALSE,"Mizuno Acum 23"}</definedName>
    <definedName name="wrn.Mizuno." localSheetId="12" hidden="1">{#N/A,#N/A,FALSE,"MIZUNO 21";#N/A,#N/A,FALSE,"Mizuno Mês e Acum 22";#N/A,#N/A,FALSE,"Mizuno Acum 23"}</definedName>
    <definedName name="wrn.Mizuno." localSheetId="13" hidden="1">{#N/A,#N/A,FALSE,"MIZUNO 21";#N/A,#N/A,FALSE,"Mizuno Mês e Acum 22";#N/A,#N/A,FALSE,"Mizuno Acum 23"}</definedName>
    <definedName name="wrn.Mizuno." localSheetId="14" hidden="1">{#N/A,#N/A,FALSE,"MIZUNO 21";#N/A,#N/A,FALSE,"Mizuno Mês e Acum 22";#N/A,#N/A,FALSE,"Mizuno Acum 23"}</definedName>
    <definedName name="wrn.Mizuno." localSheetId="15" hidden="1">{#N/A,#N/A,FALSE,"MIZUNO 21";#N/A,#N/A,FALSE,"Mizuno Mês e Acum 22";#N/A,#N/A,FALSE,"Mizuno Acum 23"}</definedName>
    <definedName name="wrn.Mizuno." localSheetId="20" hidden="1">{#N/A,#N/A,FALSE,"MIZUNO 21";#N/A,#N/A,FALSE,"Mizuno Mês e Acum 22";#N/A,#N/A,FALSE,"Mizuno Acum 23"}</definedName>
    <definedName name="wrn.Mizuno." localSheetId="21" hidden="1">{#N/A,#N/A,FALSE,"MIZUNO 21";#N/A,#N/A,FALSE,"Mizuno Mês e Acum 22";#N/A,#N/A,FALSE,"Mizuno Acum 23"}</definedName>
    <definedName name="wrn.Mizuno." localSheetId="22" hidden="1">{#N/A,#N/A,FALSE,"MIZUNO 21";#N/A,#N/A,FALSE,"Mizuno Mês e Acum 22";#N/A,#N/A,FALSE,"Mizuno Acum 23"}</definedName>
    <definedName name="wrn.Mizuno." localSheetId="23" hidden="1">{#N/A,#N/A,FALSE,"MIZUNO 21";#N/A,#N/A,FALSE,"Mizuno Mês e Acum 22";#N/A,#N/A,FALSE,"Mizuno Acum 23"}</definedName>
    <definedName name="wrn.Mizuno." localSheetId="24" hidden="1">{#N/A,#N/A,FALSE,"MIZUNO 21";#N/A,#N/A,FALSE,"Mizuno Mês e Acum 22";#N/A,#N/A,FALSE,"Mizuno Acum 23"}</definedName>
    <definedName name="wrn.Mizuno." localSheetId="25" hidden="1">{#N/A,#N/A,FALSE,"MIZUNO 21";#N/A,#N/A,FALSE,"Mizuno Mês e Acum 22";#N/A,#N/A,FALSE,"Mizuno Acum 23"}</definedName>
    <definedName name="wrn.Mizuno." localSheetId="26" hidden="1">{#N/A,#N/A,FALSE,"MIZUNO 21";#N/A,#N/A,FALSE,"Mizuno Mês e Acum 22";#N/A,#N/A,FALSE,"Mizuno Acum 23"}</definedName>
    <definedName name="wrn.Mizuno." localSheetId="27" hidden="1">{#N/A,#N/A,FALSE,"MIZUNO 21";#N/A,#N/A,FALSE,"Mizuno Mês e Acum 22";#N/A,#N/A,FALSE,"Mizuno Acum 23"}</definedName>
    <definedName name="wrn.Mizuno." localSheetId="28" hidden="1">{#N/A,#N/A,FALSE,"MIZUNO 21";#N/A,#N/A,FALSE,"Mizuno Mês e Acum 22";#N/A,#N/A,FALSE,"Mizuno Acum 23"}</definedName>
    <definedName name="wrn.Mizuno." localSheetId="29" hidden="1">{#N/A,#N/A,FALSE,"MIZUNO 21";#N/A,#N/A,FALSE,"Mizuno Mês e Acum 22";#N/A,#N/A,FALSE,"Mizuno Acum 23"}</definedName>
    <definedName name="wrn.Mizuno." localSheetId="30" hidden="1">{#N/A,#N/A,FALSE,"MIZUNO 21";#N/A,#N/A,FALSE,"Mizuno Mês e Acum 22";#N/A,#N/A,FALSE,"Mizuno Acum 23"}</definedName>
    <definedName name="wrn.Mizuno." localSheetId="31" hidden="1">{#N/A,#N/A,FALSE,"MIZUNO 21";#N/A,#N/A,FALSE,"Mizuno Mês e Acum 22";#N/A,#N/A,FALSE,"Mizuno Acum 23"}</definedName>
    <definedName name="wrn.Mizuno." localSheetId="32" hidden="1">{#N/A,#N/A,FALSE,"MIZUNO 21";#N/A,#N/A,FALSE,"Mizuno Mês e Acum 22";#N/A,#N/A,FALSE,"Mizuno Acum 23"}</definedName>
    <definedName name="wrn.Mizuno." hidden="1">{#N/A,#N/A,FALSE,"MIZUNO 21";#N/A,#N/A,FALSE,"Mizuno Mês e Acum 22";#N/A,#N/A,FALSE,"Mizuno Acum 23"}</definedName>
    <definedName name="wrn.O._.and._.I._.Worksheet." localSheetId="3" hidden="1">{#N/A,#N/A,FALSE,"O&amp;I Worksheet"}</definedName>
    <definedName name="wrn.O._.and._.I._.Worksheet." localSheetId="5" hidden="1">{#N/A,#N/A,FALSE,"O&amp;I Worksheet"}</definedName>
    <definedName name="wrn.O._.and._.I._.Worksheet." localSheetId="6" hidden="1">{#N/A,#N/A,FALSE,"O&amp;I Worksheet"}</definedName>
    <definedName name="wrn.O._.and._.I._.Worksheet." localSheetId="7" hidden="1">{#N/A,#N/A,FALSE,"O&amp;I Worksheet"}</definedName>
    <definedName name="wrn.O._.and._.I._.Worksheet." localSheetId="9" hidden="1">{#N/A,#N/A,FALSE,"O&amp;I Worksheet"}</definedName>
    <definedName name="wrn.O._.and._.I._.Worksheet." localSheetId="10" hidden="1">{#N/A,#N/A,FALSE,"O&amp;I Worksheet"}</definedName>
    <definedName name="wrn.O._.and._.I._.Worksheet." localSheetId="11" hidden="1">{#N/A,#N/A,FALSE,"O&amp;I Worksheet"}</definedName>
    <definedName name="wrn.O._.and._.I._.Worksheet." localSheetId="12" hidden="1">{#N/A,#N/A,FALSE,"O&amp;I Worksheet"}</definedName>
    <definedName name="wrn.O._.and._.I._.Worksheet." localSheetId="13" hidden="1">{#N/A,#N/A,FALSE,"O&amp;I Worksheet"}</definedName>
    <definedName name="wrn.O._.and._.I._.Worksheet." localSheetId="14" hidden="1">{#N/A,#N/A,FALSE,"O&amp;I Worksheet"}</definedName>
    <definedName name="wrn.O._.and._.I._.Worksheet." localSheetId="15" hidden="1">{#N/A,#N/A,FALSE,"O&amp;I Worksheet"}</definedName>
    <definedName name="wrn.O._.and._.I._.Worksheet." localSheetId="20" hidden="1">{#N/A,#N/A,FALSE,"O&amp;I Worksheet"}</definedName>
    <definedName name="wrn.O._.and._.I._.Worksheet." localSheetId="21" hidden="1">{#N/A,#N/A,FALSE,"O&amp;I Worksheet"}</definedName>
    <definedName name="wrn.O._.and._.I._.Worksheet." localSheetId="22" hidden="1">{#N/A,#N/A,FALSE,"O&amp;I Worksheet"}</definedName>
    <definedName name="wrn.O._.and._.I._.Worksheet." localSheetId="23" hidden="1">{#N/A,#N/A,FALSE,"O&amp;I Worksheet"}</definedName>
    <definedName name="wrn.O._.and._.I._.Worksheet." localSheetId="24" hidden="1">{#N/A,#N/A,FALSE,"O&amp;I Worksheet"}</definedName>
    <definedName name="wrn.O._.and._.I._.Worksheet." localSheetId="25" hidden="1">{#N/A,#N/A,FALSE,"O&amp;I Worksheet"}</definedName>
    <definedName name="wrn.O._.and._.I._.Worksheet." localSheetId="26" hidden="1">{#N/A,#N/A,FALSE,"O&amp;I Worksheet"}</definedName>
    <definedName name="wrn.O._.and._.I._.Worksheet." localSheetId="27" hidden="1">{#N/A,#N/A,FALSE,"O&amp;I Worksheet"}</definedName>
    <definedName name="wrn.O._.and._.I._.Worksheet." localSheetId="28" hidden="1">{#N/A,#N/A,FALSE,"O&amp;I Worksheet"}</definedName>
    <definedName name="wrn.O._.and._.I._.Worksheet." localSheetId="29" hidden="1">{#N/A,#N/A,FALSE,"O&amp;I Worksheet"}</definedName>
    <definedName name="wrn.O._.and._.I._.Worksheet." localSheetId="30" hidden="1">{#N/A,#N/A,FALSE,"O&amp;I Worksheet"}</definedName>
    <definedName name="wrn.O._.and._.I._.Worksheet." localSheetId="31" hidden="1">{#N/A,#N/A,FALSE,"O&amp;I Worksheet"}</definedName>
    <definedName name="wrn.O._.and._.I._.Worksheet." localSheetId="32" hidden="1">{#N/A,#N/A,FALSE,"O&amp;I Worksheet"}</definedName>
    <definedName name="wrn.O._.and._.I._.Worksheet." hidden="1">{#N/A,#N/A,FALSE,"O&amp;I Worksheet"}</definedName>
    <definedName name="wrn.Orçamento." localSheetId="3" hidden="1">{#N/A,#N/A,FALSE,"C.Direto";#N/A,#N/A,FALSE,"Evolução";#N/A,#N/A,FALSE,"C.Direto Prod";#N/A,#N/A,FALSE,"C.Indireto";#N/A,#N/A,FALSE,"Mobra";#N/A,#N/A,FALSE,"Orç.Inv.";#N/A,#N/A,FALSE,"Equiv. US$";#N/A,#N/A,FALSE,"NewFin";#N/A,#N/A,FALSE,"Ev.Receita";#N/A,#N/A,FALSE,"Ev.Venda"}</definedName>
    <definedName name="wrn.Orçamento." localSheetId="5" hidden="1">{#N/A,#N/A,FALSE,"C.Direto";#N/A,#N/A,FALSE,"Evolução";#N/A,#N/A,FALSE,"C.Direto Prod";#N/A,#N/A,FALSE,"C.Indireto";#N/A,#N/A,FALSE,"Mobra";#N/A,#N/A,FALSE,"Orç.Inv.";#N/A,#N/A,FALSE,"Equiv. US$";#N/A,#N/A,FALSE,"NewFin";#N/A,#N/A,FALSE,"Ev.Receita";#N/A,#N/A,FALSE,"Ev.Venda"}</definedName>
    <definedName name="wrn.Orçamento." localSheetId="6" hidden="1">{#N/A,#N/A,FALSE,"C.Direto";#N/A,#N/A,FALSE,"Evolução";#N/A,#N/A,FALSE,"C.Direto Prod";#N/A,#N/A,FALSE,"C.Indireto";#N/A,#N/A,FALSE,"Mobra";#N/A,#N/A,FALSE,"Orç.Inv.";#N/A,#N/A,FALSE,"Equiv. US$";#N/A,#N/A,FALSE,"NewFin";#N/A,#N/A,FALSE,"Ev.Receita";#N/A,#N/A,FALSE,"Ev.Venda"}</definedName>
    <definedName name="wrn.Orçamento." localSheetId="7" hidden="1">{#N/A,#N/A,FALSE,"C.Direto";#N/A,#N/A,FALSE,"Evolução";#N/A,#N/A,FALSE,"C.Direto Prod";#N/A,#N/A,FALSE,"C.Indireto";#N/A,#N/A,FALSE,"Mobra";#N/A,#N/A,FALSE,"Orç.Inv.";#N/A,#N/A,FALSE,"Equiv. US$";#N/A,#N/A,FALSE,"NewFin";#N/A,#N/A,FALSE,"Ev.Receita";#N/A,#N/A,FALSE,"Ev.Venda"}</definedName>
    <definedName name="wrn.Orçamento." localSheetId="9" hidden="1">{#N/A,#N/A,FALSE,"C.Direto";#N/A,#N/A,FALSE,"Evolução";#N/A,#N/A,FALSE,"C.Direto Prod";#N/A,#N/A,FALSE,"C.Indireto";#N/A,#N/A,FALSE,"Mobra";#N/A,#N/A,FALSE,"Orç.Inv.";#N/A,#N/A,FALSE,"Equiv. US$";#N/A,#N/A,FALSE,"NewFin";#N/A,#N/A,FALSE,"Ev.Receita";#N/A,#N/A,FALSE,"Ev.Venda"}</definedName>
    <definedName name="wrn.Orçamento." localSheetId="10" hidden="1">{#N/A,#N/A,FALSE,"C.Direto";#N/A,#N/A,FALSE,"Evolução";#N/A,#N/A,FALSE,"C.Direto Prod";#N/A,#N/A,FALSE,"C.Indireto";#N/A,#N/A,FALSE,"Mobra";#N/A,#N/A,FALSE,"Orç.Inv.";#N/A,#N/A,FALSE,"Equiv. US$";#N/A,#N/A,FALSE,"NewFin";#N/A,#N/A,FALSE,"Ev.Receita";#N/A,#N/A,FALSE,"Ev.Venda"}</definedName>
    <definedName name="wrn.Orçamento." localSheetId="11" hidden="1">{#N/A,#N/A,FALSE,"C.Direto";#N/A,#N/A,FALSE,"Evolução";#N/A,#N/A,FALSE,"C.Direto Prod";#N/A,#N/A,FALSE,"C.Indireto";#N/A,#N/A,FALSE,"Mobra";#N/A,#N/A,FALSE,"Orç.Inv.";#N/A,#N/A,FALSE,"Equiv. US$";#N/A,#N/A,FALSE,"NewFin";#N/A,#N/A,FALSE,"Ev.Receita";#N/A,#N/A,FALSE,"Ev.Venda"}</definedName>
    <definedName name="wrn.Orçamento." localSheetId="12" hidden="1">{#N/A,#N/A,FALSE,"C.Direto";#N/A,#N/A,FALSE,"Evolução";#N/A,#N/A,FALSE,"C.Direto Prod";#N/A,#N/A,FALSE,"C.Indireto";#N/A,#N/A,FALSE,"Mobra";#N/A,#N/A,FALSE,"Orç.Inv.";#N/A,#N/A,FALSE,"Equiv. US$";#N/A,#N/A,FALSE,"NewFin";#N/A,#N/A,FALSE,"Ev.Receita";#N/A,#N/A,FALSE,"Ev.Venda"}</definedName>
    <definedName name="wrn.Orçamento." localSheetId="13" hidden="1">{#N/A,#N/A,FALSE,"C.Direto";#N/A,#N/A,FALSE,"Evolução";#N/A,#N/A,FALSE,"C.Direto Prod";#N/A,#N/A,FALSE,"C.Indireto";#N/A,#N/A,FALSE,"Mobra";#N/A,#N/A,FALSE,"Orç.Inv.";#N/A,#N/A,FALSE,"Equiv. US$";#N/A,#N/A,FALSE,"NewFin";#N/A,#N/A,FALSE,"Ev.Receita";#N/A,#N/A,FALSE,"Ev.Venda"}</definedName>
    <definedName name="wrn.Orçamento." localSheetId="14" hidden="1">{#N/A,#N/A,FALSE,"C.Direto";#N/A,#N/A,FALSE,"Evolução";#N/A,#N/A,FALSE,"C.Direto Prod";#N/A,#N/A,FALSE,"C.Indireto";#N/A,#N/A,FALSE,"Mobra";#N/A,#N/A,FALSE,"Orç.Inv.";#N/A,#N/A,FALSE,"Equiv. US$";#N/A,#N/A,FALSE,"NewFin";#N/A,#N/A,FALSE,"Ev.Receita";#N/A,#N/A,FALSE,"Ev.Venda"}</definedName>
    <definedName name="wrn.Orçamento." localSheetId="15" hidden="1">{#N/A,#N/A,FALSE,"C.Direto";#N/A,#N/A,FALSE,"Evolução";#N/A,#N/A,FALSE,"C.Direto Prod";#N/A,#N/A,FALSE,"C.Indireto";#N/A,#N/A,FALSE,"Mobra";#N/A,#N/A,FALSE,"Orç.Inv.";#N/A,#N/A,FALSE,"Equiv. US$";#N/A,#N/A,FALSE,"NewFin";#N/A,#N/A,FALSE,"Ev.Receita";#N/A,#N/A,FALSE,"Ev.Venda"}</definedName>
    <definedName name="wrn.Orçamento." localSheetId="20" hidden="1">{#N/A,#N/A,FALSE,"C.Direto";#N/A,#N/A,FALSE,"Evolução";#N/A,#N/A,FALSE,"C.Direto Prod";#N/A,#N/A,FALSE,"C.Indireto";#N/A,#N/A,FALSE,"Mobra";#N/A,#N/A,FALSE,"Orç.Inv.";#N/A,#N/A,FALSE,"Equiv. US$";#N/A,#N/A,FALSE,"NewFin";#N/A,#N/A,FALSE,"Ev.Receita";#N/A,#N/A,FALSE,"Ev.Venda"}</definedName>
    <definedName name="wrn.Orçamento." localSheetId="21" hidden="1">{#N/A,#N/A,FALSE,"C.Direto";#N/A,#N/A,FALSE,"Evolução";#N/A,#N/A,FALSE,"C.Direto Prod";#N/A,#N/A,FALSE,"C.Indireto";#N/A,#N/A,FALSE,"Mobra";#N/A,#N/A,FALSE,"Orç.Inv.";#N/A,#N/A,FALSE,"Equiv. US$";#N/A,#N/A,FALSE,"NewFin";#N/A,#N/A,FALSE,"Ev.Receita";#N/A,#N/A,FALSE,"Ev.Venda"}</definedName>
    <definedName name="wrn.Orçamento." localSheetId="22" hidden="1">{#N/A,#N/A,FALSE,"C.Direto";#N/A,#N/A,FALSE,"Evolução";#N/A,#N/A,FALSE,"C.Direto Prod";#N/A,#N/A,FALSE,"C.Indireto";#N/A,#N/A,FALSE,"Mobra";#N/A,#N/A,FALSE,"Orç.Inv.";#N/A,#N/A,FALSE,"Equiv. US$";#N/A,#N/A,FALSE,"NewFin";#N/A,#N/A,FALSE,"Ev.Receita";#N/A,#N/A,FALSE,"Ev.Venda"}</definedName>
    <definedName name="wrn.Orçamento." localSheetId="23" hidden="1">{#N/A,#N/A,FALSE,"C.Direto";#N/A,#N/A,FALSE,"Evolução";#N/A,#N/A,FALSE,"C.Direto Prod";#N/A,#N/A,FALSE,"C.Indireto";#N/A,#N/A,FALSE,"Mobra";#N/A,#N/A,FALSE,"Orç.Inv.";#N/A,#N/A,FALSE,"Equiv. US$";#N/A,#N/A,FALSE,"NewFin";#N/A,#N/A,FALSE,"Ev.Receita";#N/A,#N/A,FALSE,"Ev.Venda"}</definedName>
    <definedName name="wrn.Orçamento." localSheetId="24" hidden="1">{#N/A,#N/A,FALSE,"C.Direto";#N/A,#N/A,FALSE,"Evolução";#N/A,#N/A,FALSE,"C.Direto Prod";#N/A,#N/A,FALSE,"C.Indireto";#N/A,#N/A,FALSE,"Mobra";#N/A,#N/A,FALSE,"Orç.Inv.";#N/A,#N/A,FALSE,"Equiv. US$";#N/A,#N/A,FALSE,"NewFin";#N/A,#N/A,FALSE,"Ev.Receita";#N/A,#N/A,FALSE,"Ev.Venda"}</definedName>
    <definedName name="wrn.Orçamento." localSheetId="25" hidden="1">{#N/A,#N/A,FALSE,"C.Direto";#N/A,#N/A,FALSE,"Evolução";#N/A,#N/A,FALSE,"C.Direto Prod";#N/A,#N/A,FALSE,"C.Indireto";#N/A,#N/A,FALSE,"Mobra";#N/A,#N/A,FALSE,"Orç.Inv.";#N/A,#N/A,FALSE,"Equiv. US$";#N/A,#N/A,FALSE,"NewFin";#N/A,#N/A,FALSE,"Ev.Receita";#N/A,#N/A,FALSE,"Ev.Venda"}</definedName>
    <definedName name="wrn.Orçamento." localSheetId="26" hidden="1">{#N/A,#N/A,FALSE,"C.Direto";#N/A,#N/A,FALSE,"Evolução";#N/A,#N/A,FALSE,"C.Direto Prod";#N/A,#N/A,FALSE,"C.Indireto";#N/A,#N/A,FALSE,"Mobra";#N/A,#N/A,FALSE,"Orç.Inv.";#N/A,#N/A,FALSE,"Equiv. US$";#N/A,#N/A,FALSE,"NewFin";#N/A,#N/A,FALSE,"Ev.Receita";#N/A,#N/A,FALSE,"Ev.Venda"}</definedName>
    <definedName name="wrn.Orçamento." localSheetId="27" hidden="1">{#N/A,#N/A,FALSE,"C.Direto";#N/A,#N/A,FALSE,"Evolução";#N/A,#N/A,FALSE,"C.Direto Prod";#N/A,#N/A,FALSE,"C.Indireto";#N/A,#N/A,FALSE,"Mobra";#N/A,#N/A,FALSE,"Orç.Inv.";#N/A,#N/A,FALSE,"Equiv. US$";#N/A,#N/A,FALSE,"NewFin";#N/A,#N/A,FALSE,"Ev.Receita";#N/A,#N/A,FALSE,"Ev.Venda"}</definedName>
    <definedName name="wrn.Orçamento." localSheetId="28" hidden="1">{#N/A,#N/A,FALSE,"C.Direto";#N/A,#N/A,FALSE,"Evolução";#N/A,#N/A,FALSE,"C.Direto Prod";#N/A,#N/A,FALSE,"C.Indireto";#N/A,#N/A,FALSE,"Mobra";#N/A,#N/A,FALSE,"Orç.Inv.";#N/A,#N/A,FALSE,"Equiv. US$";#N/A,#N/A,FALSE,"NewFin";#N/A,#N/A,FALSE,"Ev.Receita";#N/A,#N/A,FALSE,"Ev.Venda"}</definedName>
    <definedName name="wrn.Orçamento." localSheetId="29" hidden="1">{#N/A,#N/A,FALSE,"C.Direto";#N/A,#N/A,FALSE,"Evolução";#N/A,#N/A,FALSE,"C.Direto Prod";#N/A,#N/A,FALSE,"C.Indireto";#N/A,#N/A,FALSE,"Mobra";#N/A,#N/A,FALSE,"Orç.Inv.";#N/A,#N/A,FALSE,"Equiv. US$";#N/A,#N/A,FALSE,"NewFin";#N/A,#N/A,FALSE,"Ev.Receita";#N/A,#N/A,FALSE,"Ev.Venda"}</definedName>
    <definedName name="wrn.Orçamento." localSheetId="30" hidden="1">{#N/A,#N/A,FALSE,"C.Direto";#N/A,#N/A,FALSE,"Evolução";#N/A,#N/A,FALSE,"C.Direto Prod";#N/A,#N/A,FALSE,"C.Indireto";#N/A,#N/A,FALSE,"Mobra";#N/A,#N/A,FALSE,"Orç.Inv.";#N/A,#N/A,FALSE,"Equiv. US$";#N/A,#N/A,FALSE,"NewFin";#N/A,#N/A,FALSE,"Ev.Receita";#N/A,#N/A,FALSE,"Ev.Venda"}</definedName>
    <definedName name="wrn.Orçamento." localSheetId="31" hidden="1">{#N/A,#N/A,FALSE,"C.Direto";#N/A,#N/A,FALSE,"Evolução";#N/A,#N/A,FALSE,"C.Direto Prod";#N/A,#N/A,FALSE,"C.Indireto";#N/A,#N/A,FALSE,"Mobra";#N/A,#N/A,FALSE,"Orç.Inv.";#N/A,#N/A,FALSE,"Equiv. US$";#N/A,#N/A,FALSE,"NewFin";#N/A,#N/A,FALSE,"Ev.Receita";#N/A,#N/A,FALSE,"Ev.Venda"}</definedName>
    <definedName name="wrn.Orçamento." localSheetId="32" hidden="1">{#N/A,#N/A,FALSE,"C.Direto";#N/A,#N/A,FALSE,"Evolução";#N/A,#N/A,FALSE,"C.Direto Prod";#N/A,#N/A,FALSE,"C.Indireto";#N/A,#N/A,FALSE,"Mobra";#N/A,#N/A,FALSE,"Orç.Inv.";#N/A,#N/A,FALSE,"Equiv. US$";#N/A,#N/A,FALSE,"NewFin";#N/A,#N/A,FALSE,"Ev.Receita";#N/A,#N/A,FALSE,"Ev.Venda"}</definedName>
    <definedName name="wrn.Orçamento." hidden="1">{#N/A,#N/A,FALSE,"C.Direto";#N/A,#N/A,FALSE,"Evolução";#N/A,#N/A,FALSE,"C.Direto Prod";#N/A,#N/A,FALSE,"C.Indireto";#N/A,#N/A,FALSE,"Mobra";#N/A,#N/A,FALSE,"Orç.Inv.";#N/A,#N/A,FALSE,"Equiv. US$";#N/A,#N/A,FALSE,"NewFin";#N/A,#N/A,FALSE,"Ev.Receita";#N/A,#N/A,FALSE,"Ev.Venda"}</definedName>
    <definedName name="wrn.P.._.Orç.._.Módulo._.1." localSheetId="3" hidden="1">{#N/A,#N/A,FALSE,"Índice";#N/A,#N/A,FALSE,"Result.Ec.";#N/A,#N/A,FALSE,"Par.Conj. ";#N/A,#N/A,FALSE,"Prod.Fis";#N/A,#N/A,FALSE,"Est.Físico";#N/A,#N/A,FALSE,"Mix";#N/A,#N/A,FALSE,"P.Médio";#N/A,#N/A,FALSE,"Rec.Bruta";#N/A,#N/A,FALSE,"Vendas.4";#N/A,#N/A,FALSE,"C.Dir.Vend"}</definedName>
    <definedName name="wrn.P.._.Orç.._.Módulo._.1." localSheetId="5" hidden="1">{#N/A,#N/A,FALSE,"Índice";#N/A,#N/A,FALSE,"Result.Ec.";#N/A,#N/A,FALSE,"Par.Conj. ";#N/A,#N/A,FALSE,"Prod.Fis";#N/A,#N/A,FALSE,"Est.Físico";#N/A,#N/A,FALSE,"Mix";#N/A,#N/A,FALSE,"P.Médio";#N/A,#N/A,FALSE,"Rec.Bruta";#N/A,#N/A,FALSE,"Vendas.4";#N/A,#N/A,FALSE,"C.Dir.Vend"}</definedName>
    <definedName name="wrn.P.._.Orç.._.Módulo._.1." localSheetId="6" hidden="1">{#N/A,#N/A,FALSE,"Índice";#N/A,#N/A,FALSE,"Result.Ec.";#N/A,#N/A,FALSE,"Par.Conj. ";#N/A,#N/A,FALSE,"Prod.Fis";#N/A,#N/A,FALSE,"Est.Físico";#N/A,#N/A,FALSE,"Mix";#N/A,#N/A,FALSE,"P.Médio";#N/A,#N/A,FALSE,"Rec.Bruta";#N/A,#N/A,FALSE,"Vendas.4";#N/A,#N/A,FALSE,"C.Dir.Vend"}</definedName>
    <definedName name="wrn.P.._.Orç.._.Módulo._.1." localSheetId="7" hidden="1">{#N/A,#N/A,FALSE,"Índice";#N/A,#N/A,FALSE,"Result.Ec.";#N/A,#N/A,FALSE,"Par.Conj. ";#N/A,#N/A,FALSE,"Prod.Fis";#N/A,#N/A,FALSE,"Est.Físico";#N/A,#N/A,FALSE,"Mix";#N/A,#N/A,FALSE,"P.Médio";#N/A,#N/A,FALSE,"Rec.Bruta";#N/A,#N/A,FALSE,"Vendas.4";#N/A,#N/A,FALSE,"C.Dir.Vend"}</definedName>
    <definedName name="wrn.P.._.Orç.._.Módulo._.1." localSheetId="9" hidden="1">{#N/A,#N/A,FALSE,"Índice";#N/A,#N/A,FALSE,"Result.Ec.";#N/A,#N/A,FALSE,"Par.Conj. ";#N/A,#N/A,FALSE,"Prod.Fis";#N/A,#N/A,FALSE,"Est.Físico";#N/A,#N/A,FALSE,"Mix";#N/A,#N/A,FALSE,"P.Médio";#N/A,#N/A,FALSE,"Rec.Bruta";#N/A,#N/A,FALSE,"Vendas.4";#N/A,#N/A,FALSE,"C.Dir.Vend"}</definedName>
    <definedName name="wrn.P.._.Orç.._.Módulo._.1." localSheetId="10" hidden="1">{#N/A,#N/A,FALSE,"Índice";#N/A,#N/A,FALSE,"Result.Ec.";#N/A,#N/A,FALSE,"Par.Conj. ";#N/A,#N/A,FALSE,"Prod.Fis";#N/A,#N/A,FALSE,"Est.Físico";#N/A,#N/A,FALSE,"Mix";#N/A,#N/A,FALSE,"P.Médio";#N/A,#N/A,FALSE,"Rec.Bruta";#N/A,#N/A,FALSE,"Vendas.4";#N/A,#N/A,FALSE,"C.Dir.Vend"}</definedName>
    <definedName name="wrn.P.._.Orç.._.Módulo._.1." localSheetId="11" hidden="1">{#N/A,#N/A,FALSE,"Índice";#N/A,#N/A,FALSE,"Result.Ec.";#N/A,#N/A,FALSE,"Par.Conj. ";#N/A,#N/A,FALSE,"Prod.Fis";#N/A,#N/A,FALSE,"Est.Físico";#N/A,#N/A,FALSE,"Mix";#N/A,#N/A,FALSE,"P.Médio";#N/A,#N/A,FALSE,"Rec.Bruta";#N/A,#N/A,FALSE,"Vendas.4";#N/A,#N/A,FALSE,"C.Dir.Vend"}</definedName>
    <definedName name="wrn.P.._.Orç.._.Módulo._.1." localSheetId="12" hidden="1">{#N/A,#N/A,FALSE,"Índice";#N/A,#N/A,FALSE,"Result.Ec.";#N/A,#N/A,FALSE,"Par.Conj. ";#N/A,#N/A,FALSE,"Prod.Fis";#N/A,#N/A,FALSE,"Est.Físico";#N/A,#N/A,FALSE,"Mix";#N/A,#N/A,FALSE,"P.Médio";#N/A,#N/A,FALSE,"Rec.Bruta";#N/A,#N/A,FALSE,"Vendas.4";#N/A,#N/A,FALSE,"C.Dir.Vend"}</definedName>
    <definedName name="wrn.P.._.Orç.._.Módulo._.1." localSheetId="13" hidden="1">{#N/A,#N/A,FALSE,"Índice";#N/A,#N/A,FALSE,"Result.Ec.";#N/A,#N/A,FALSE,"Par.Conj. ";#N/A,#N/A,FALSE,"Prod.Fis";#N/A,#N/A,FALSE,"Est.Físico";#N/A,#N/A,FALSE,"Mix";#N/A,#N/A,FALSE,"P.Médio";#N/A,#N/A,FALSE,"Rec.Bruta";#N/A,#N/A,FALSE,"Vendas.4";#N/A,#N/A,FALSE,"C.Dir.Vend"}</definedName>
    <definedName name="wrn.P.._.Orç.._.Módulo._.1." localSheetId="14" hidden="1">{#N/A,#N/A,FALSE,"Índice";#N/A,#N/A,FALSE,"Result.Ec.";#N/A,#N/A,FALSE,"Par.Conj. ";#N/A,#N/A,FALSE,"Prod.Fis";#N/A,#N/A,FALSE,"Est.Físico";#N/A,#N/A,FALSE,"Mix";#N/A,#N/A,FALSE,"P.Médio";#N/A,#N/A,FALSE,"Rec.Bruta";#N/A,#N/A,FALSE,"Vendas.4";#N/A,#N/A,FALSE,"C.Dir.Vend"}</definedName>
    <definedName name="wrn.P.._.Orç.._.Módulo._.1." localSheetId="15" hidden="1">{#N/A,#N/A,FALSE,"Índice";#N/A,#N/A,FALSE,"Result.Ec.";#N/A,#N/A,FALSE,"Par.Conj. ";#N/A,#N/A,FALSE,"Prod.Fis";#N/A,#N/A,FALSE,"Est.Físico";#N/A,#N/A,FALSE,"Mix";#N/A,#N/A,FALSE,"P.Médio";#N/A,#N/A,FALSE,"Rec.Bruta";#N/A,#N/A,FALSE,"Vendas.4";#N/A,#N/A,FALSE,"C.Dir.Vend"}</definedName>
    <definedName name="wrn.P.._.Orç.._.Módulo._.1." localSheetId="20" hidden="1">{#N/A,#N/A,FALSE,"Índice";#N/A,#N/A,FALSE,"Result.Ec.";#N/A,#N/A,FALSE,"Par.Conj. ";#N/A,#N/A,FALSE,"Prod.Fis";#N/A,#N/A,FALSE,"Est.Físico";#N/A,#N/A,FALSE,"Mix";#N/A,#N/A,FALSE,"P.Médio";#N/A,#N/A,FALSE,"Rec.Bruta";#N/A,#N/A,FALSE,"Vendas.4";#N/A,#N/A,FALSE,"C.Dir.Vend"}</definedName>
    <definedName name="wrn.P.._.Orç.._.Módulo._.1." localSheetId="21" hidden="1">{#N/A,#N/A,FALSE,"Índice";#N/A,#N/A,FALSE,"Result.Ec.";#N/A,#N/A,FALSE,"Par.Conj. ";#N/A,#N/A,FALSE,"Prod.Fis";#N/A,#N/A,FALSE,"Est.Físico";#N/A,#N/A,FALSE,"Mix";#N/A,#N/A,FALSE,"P.Médio";#N/A,#N/A,FALSE,"Rec.Bruta";#N/A,#N/A,FALSE,"Vendas.4";#N/A,#N/A,FALSE,"C.Dir.Vend"}</definedName>
    <definedName name="wrn.P.._.Orç.._.Módulo._.1." localSheetId="22" hidden="1">{#N/A,#N/A,FALSE,"Índice";#N/A,#N/A,FALSE,"Result.Ec.";#N/A,#N/A,FALSE,"Par.Conj. ";#N/A,#N/A,FALSE,"Prod.Fis";#N/A,#N/A,FALSE,"Est.Físico";#N/A,#N/A,FALSE,"Mix";#N/A,#N/A,FALSE,"P.Médio";#N/A,#N/A,FALSE,"Rec.Bruta";#N/A,#N/A,FALSE,"Vendas.4";#N/A,#N/A,FALSE,"C.Dir.Vend"}</definedName>
    <definedName name="wrn.P.._.Orç.._.Módulo._.1." localSheetId="23" hidden="1">{#N/A,#N/A,FALSE,"Índice";#N/A,#N/A,FALSE,"Result.Ec.";#N/A,#N/A,FALSE,"Par.Conj. ";#N/A,#N/A,FALSE,"Prod.Fis";#N/A,#N/A,FALSE,"Est.Físico";#N/A,#N/A,FALSE,"Mix";#N/A,#N/A,FALSE,"P.Médio";#N/A,#N/A,FALSE,"Rec.Bruta";#N/A,#N/A,FALSE,"Vendas.4";#N/A,#N/A,FALSE,"C.Dir.Vend"}</definedName>
    <definedName name="wrn.P.._.Orç.._.Módulo._.1." localSheetId="24" hidden="1">{#N/A,#N/A,FALSE,"Índice";#N/A,#N/A,FALSE,"Result.Ec.";#N/A,#N/A,FALSE,"Par.Conj. ";#N/A,#N/A,FALSE,"Prod.Fis";#N/A,#N/A,FALSE,"Est.Físico";#N/A,#N/A,FALSE,"Mix";#N/A,#N/A,FALSE,"P.Médio";#N/A,#N/A,FALSE,"Rec.Bruta";#N/A,#N/A,FALSE,"Vendas.4";#N/A,#N/A,FALSE,"C.Dir.Vend"}</definedName>
    <definedName name="wrn.P.._.Orç.._.Módulo._.1." localSheetId="25" hidden="1">{#N/A,#N/A,FALSE,"Índice";#N/A,#N/A,FALSE,"Result.Ec.";#N/A,#N/A,FALSE,"Par.Conj. ";#N/A,#N/A,FALSE,"Prod.Fis";#N/A,#N/A,FALSE,"Est.Físico";#N/A,#N/A,FALSE,"Mix";#N/A,#N/A,FALSE,"P.Médio";#N/A,#N/A,FALSE,"Rec.Bruta";#N/A,#N/A,FALSE,"Vendas.4";#N/A,#N/A,FALSE,"C.Dir.Vend"}</definedName>
    <definedName name="wrn.P.._.Orç.._.Módulo._.1." localSheetId="26" hidden="1">{#N/A,#N/A,FALSE,"Índice";#N/A,#N/A,FALSE,"Result.Ec.";#N/A,#N/A,FALSE,"Par.Conj. ";#N/A,#N/A,FALSE,"Prod.Fis";#N/A,#N/A,FALSE,"Est.Físico";#N/A,#N/A,FALSE,"Mix";#N/A,#N/A,FALSE,"P.Médio";#N/A,#N/A,FALSE,"Rec.Bruta";#N/A,#N/A,FALSE,"Vendas.4";#N/A,#N/A,FALSE,"C.Dir.Vend"}</definedName>
    <definedName name="wrn.P.._.Orç.._.Módulo._.1." localSheetId="27" hidden="1">{#N/A,#N/A,FALSE,"Índice";#N/A,#N/A,FALSE,"Result.Ec.";#N/A,#N/A,FALSE,"Par.Conj. ";#N/A,#N/A,FALSE,"Prod.Fis";#N/A,#N/A,FALSE,"Est.Físico";#N/A,#N/A,FALSE,"Mix";#N/A,#N/A,FALSE,"P.Médio";#N/A,#N/A,FALSE,"Rec.Bruta";#N/A,#N/A,FALSE,"Vendas.4";#N/A,#N/A,FALSE,"C.Dir.Vend"}</definedName>
    <definedName name="wrn.P.._.Orç.._.Módulo._.1." localSheetId="28" hidden="1">{#N/A,#N/A,FALSE,"Índice";#N/A,#N/A,FALSE,"Result.Ec.";#N/A,#N/A,FALSE,"Par.Conj. ";#N/A,#N/A,FALSE,"Prod.Fis";#N/A,#N/A,FALSE,"Est.Físico";#N/A,#N/A,FALSE,"Mix";#N/A,#N/A,FALSE,"P.Médio";#N/A,#N/A,FALSE,"Rec.Bruta";#N/A,#N/A,FALSE,"Vendas.4";#N/A,#N/A,FALSE,"C.Dir.Vend"}</definedName>
    <definedName name="wrn.P.._.Orç.._.Módulo._.1." localSheetId="29" hidden="1">{#N/A,#N/A,FALSE,"Índice";#N/A,#N/A,FALSE,"Result.Ec.";#N/A,#N/A,FALSE,"Par.Conj. ";#N/A,#N/A,FALSE,"Prod.Fis";#N/A,#N/A,FALSE,"Est.Físico";#N/A,#N/A,FALSE,"Mix";#N/A,#N/A,FALSE,"P.Médio";#N/A,#N/A,FALSE,"Rec.Bruta";#N/A,#N/A,FALSE,"Vendas.4";#N/A,#N/A,FALSE,"C.Dir.Vend"}</definedName>
    <definedName name="wrn.P.._.Orç.._.Módulo._.1." localSheetId="30" hidden="1">{#N/A,#N/A,FALSE,"Índice";#N/A,#N/A,FALSE,"Result.Ec.";#N/A,#N/A,FALSE,"Par.Conj. ";#N/A,#N/A,FALSE,"Prod.Fis";#N/A,#N/A,FALSE,"Est.Físico";#N/A,#N/A,FALSE,"Mix";#N/A,#N/A,FALSE,"P.Médio";#N/A,#N/A,FALSE,"Rec.Bruta";#N/A,#N/A,FALSE,"Vendas.4";#N/A,#N/A,FALSE,"C.Dir.Vend"}</definedName>
    <definedName name="wrn.P.._.Orç.._.Módulo._.1." localSheetId="31" hidden="1">{#N/A,#N/A,FALSE,"Índice";#N/A,#N/A,FALSE,"Result.Ec.";#N/A,#N/A,FALSE,"Par.Conj. ";#N/A,#N/A,FALSE,"Prod.Fis";#N/A,#N/A,FALSE,"Est.Físico";#N/A,#N/A,FALSE,"Mix";#N/A,#N/A,FALSE,"P.Médio";#N/A,#N/A,FALSE,"Rec.Bruta";#N/A,#N/A,FALSE,"Vendas.4";#N/A,#N/A,FALSE,"C.Dir.Vend"}</definedName>
    <definedName name="wrn.P.._.Orç.._.Módulo._.1." localSheetId="32" hidden="1">{#N/A,#N/A,FALSE,"Índice";#N/A,#N/A,FALSE,"Result.Ec.";#N/A,#N/A,FALSE,"Par.Conj. ";#N/A,#N/A,FALSE,"Prod.Fis";#N/A,#N/A,FALSE,"Est.Físico";#N/A,#N/A,FALSE,"Mix";#N/A,#N/A,FALSE,"P.Médio";#N/A,#N/A,FALSE,"Rec.Bruta";#N/A,#N/A,FALSE,"Vendas.4";#N/A,#N/A,FALSE,"C.Dir.Vend"}</definedName>
    <definedName name="wrn.P.._.Orç.._.Módulo._.1." hidden="1">{#N/A,#N/A,FALSE,"Índice";#N/A,#N/A,FALSE,"Result.Ec.";#N/A,#N/A,FALSE,"Par.Conj. ";#N/A,#N/A,FALSE,"Prod.Fis";#N/A,#N/A,FALSE,"Est.Físico";#N/A,#N/A,FALSE,"Mix";#N/A,#N/A,FALSE,"P.Médio";#N/A,#N/A,FALSE,"Rec.Bruta";#N/A,#N/A,FALSE,"Vendas.4";#N/A,#N/A,FALSE,"C.Dir.Vend"}</definedName>
    <definedName name="wrn.P.Orç.._.Módulo._.2." localSheetId="3" hidden="1">{#N/A,#N/A,FALSE,"C.Direto";#N/A,#N/A,FALSE,"Evolução";#N/A,#N/A,FALSE,"C.Direto Prod";#N/A,#N/A,FALSE,"C.Indireto";#N/A,#N/A,FALSE,"Mobra";#N/A,#N/A,FALSE,"Orç.Inv.";#N/A,#N/A,FALSE,"Eq.Patrim";#N/A,#N/A,FALSE,"Equiv. US$";#N/A,#N/A,FALSE,"NewFin";#N/A,#N/A,FALSE,"Ev.Receita";#N/A,#N/A,FALSE,"Ev.Venda"}</definedName>
    <definedName name="wrn.P.Orç.._.Módulo._.2." localSheetId="5" hidden="1">{#N/A,#N/A,FALSE,"C.Direto";#N/A,#N/A,FALSE,"Evolução";#N/A,#N/A,FALSE,"C.Direto Prod";#N/A,#N/A,FALSE,"C.Indireto";#N/A,#N/A,FALSE,"Mobra";#N/A,#N/A,FALSE,"Orç.Inv.";#N/A,#N/A,FALSE,"Eq.Patrim";#N/A,#N/A,FALSE,"Equiv. US$";#N/A,#N/A,FALSE,"NewFin";#N/A,#N/A,FALSE,"Ev.Receita";#N/A,#N/A,FALSE,"Ev.Venda"}</definedName>
    <definedName name="wrn.P.Orç.._.Módulo._.2." localSheetId="6" hidden="1">{#N/A,#N/A,FALSE,"C.Direto";#N/A,#N/A,FALSE,"Evolução";#N/A,#N/A,FALSE,"C.Direto Prod";#N/A,#N/A,FALSE,"C.Indireto";#N/A,#N/A,FALSE,"Mobra";#N/A,#N/A,FALSE,"Orç.Inv.";#N/A,#N/A,FALSE,"Eq.Patrim";#N/A,#N/A,FALSE,"Equiv. US$";#N/A,#N/A,FALSE,"NewFin";#N/A,#N/A,FALSE,"Ev.Receita";#N/A,#N/A,FALSE,"Ev.Venda"}</definedName>
    <definedName name="wrn.P.Orç.._.Módulo._.2." localSheetId="7" hidden="1">{#N/A,#N/A,FALSE,"C.Direto";#N/A,#N/A,FALSE,"Evolução";#N/A,#N/A,FALSE,"C.Direto Prod";#N/A,#N/A,FALSE,"C.Indireto";#N/A,#N/A,FALSE,"Mobra";#N/A,#N/A,FALSE,"Orç.Inv.";#N/A,#N/A,FALSE,"Eq.Patrim";#N/A,#N/A,FALSE,"Equiv. US$";#N/A,#N/A,FALSE,"NewFin";#N/A,#N/A,FALSE,"Ev.Receita";#N/A,#N/A,FALSE,"Ev.Venda"}</definedName>
    <definedName name="wrn.P.Orç.._.Módulo._.2." localSheetId="9" hidden="1">{#N/A,#N/A,FALSE,"C.Direto";#N/A,#N/A,FALSE,"Evolução";#N/A,#N/A,FALSE,"C.Direto Prod";#N/A,#N/A,FALSE,"C.Indireto";#N/A,#N/A,FALSE,"Mobra";#N/A,#N/A,FALSE,"Orç.Inv.";#N/A,#N/A,FALSE,"Eq.Patrim";#N/A,#N/A,FALSE,"Equiv. US$";#N/A,#N/A,FALSE,"NewFin";#N/A,#N/A,FALSE,"Ev.Receita";#N/A,#N/A,FALSE,"Ev.Venda"}</definedName>
    <definedName name="wrn.P.Orç.._.Módulo._.2." localSheetId="10" hidden="1">{#N/A,#N/A,FALSE,"C.Direto";#N/A,#N/A,FALSE,"Evolução";#N/A,#N/A,FALSE,"C.Direto Prod";#N/A,#N/A,FALSE,"C.Indireto";#N/A,#N/A,FALSE,"Mobra";#N/A,#N/A,FALSE,"Orç.Inv.";#N/A,#N/A,FALSE,"Eq.Patrim";#N/A,#N/A,FALSE,"Equiv. US$";#N/A,#N/A,FALSE,"NewFin";#N/A,#N/A,FALSE,"Ev.Receita";#N/A,#N/A,FALSE,"Ev.Venda"}</definedName>
    <definedName name="wrn.P.Orç.._.Módulo._.2." localSheetId="11" hidden="1">{#N/A,#N/A,FALSE,"C.Direto";#N/A,#N/A,FALSE,"Evolução";#N/A,#N/A,FALSE,"C.Direto Prod";#N/A,#N/A,FALSE,"C.Indireto";#N/A,#N/A,FALSE,"Mobra";#N/A,#N/A,FALSE,"Orç.Inv.";#N/A,#N/A,FALSE,"Eq.Patrim";#N/A,#N/A,FALSE,"Equiv. US$";#N/A,#N/A,FALSE,"NewFin";#N/A,#N/A,FALSE,"Ev.Receita";#N/A,#N/A,FALSE,"Ev.Venda"}</definedName>
    <definedName name="wrn.P.Orç.._.Módulo._.2." localSheetId="12" hidden="1">{#N/A,#N/A,FALSE,"C.Direto";#N/A,#N/A,FALSE,"Evolução";#N/A,#N/A,FALSE,"C.Direto Prod";#N/A,#N/A,FALSE,"C.Indireto";#N/A,#N/A,FALSE,"Mobra";#N/A,#N/A,FALSE,"Orç.Inv.";#N/A,#N/A,FALSE,"Eq.Patrim";#N/A,#N/A,FALSE,"Equiv. US$";#N/A,#N/A,FALSE,"NewFin";#N/A,#N/A,FALSE,"Ev.Receita";#N/A,#N/A,FALSE,"Ev.Venda"}</definedName>
    <definedName name="wrn.P.Orç.._.Módulo._.2." localSheetId="13" hidden="1">{#N/A,#N/A,FALSE,"C.Direto";#N/A,#N/A,FALSE,"Evolução";#N/A,#N/A,FALSE,"C.Direto Prod";#N/A,#N/A,FALSE,"C.Indireto";#N/A,#N/A,FALSE,"Mobra";#N/A,#N/A,FALSE,"Orç.Inv.";#N/A,#N/A,FALSE,"Eq.Patrim";#N/A,#N/A,FALSE,"Equiv. US$";#N/A,#N/A,FALSE,"NewFin";#N/A,#N/A,FALSE,"Ev.Receita";#N/A,#N/A,FALSE,"Ev.Venda"}</definedName>
    <definedName name="wrn.P.Orç.._.Módulo._.2." localSheetId="14" hidden="1">{#N/A,#N/A,FALSE,"C.Direto";#N/A,#N/A,FALSE,"Evolução";#N/A,#N/A,FALSE,"C.Direto Prod";#N/A,#N/A,FALSE,"C.Indireto";#N/A,#N/A,FALSE,"Mobra";#N/A,#N/A,FALSE,"Orç.Inv.";#N/A,#N/A,FALSE,"Eq.Patrim";#N/A,#N/A,FALSE,"Equiv. US$";#N/A,#N/A,FALSE,"NewFin";#N/A,#N/A,FALSE,"Ev.Receita";#N/A,#N/A,FALSE,"Ev.Venda"}</definedName>
    <definedName name="wrn.P.Orç.._.Módulo._.2." localSheetId="15" hidden="1">{#N/A,#N/A,FALSE,"C.Direto";#N/A,#N/A,FALSE,"Evolução";#N/A,#N/A,FALSE,"C.Direto Prod";#N/A,#N/A,FALSE,"C.Indireto";#N/A,#N/A,FALSE,"Mobra";#N/A,#N/A,FALSE,"Orç.Inv.";#N/A,#N/A,FALSE,"Eq.Patrim";#N/A,#N/A,FALSE,"Equiv. US$";#N/A,#N/A,FALSE,"NewFin";#N/A,#N/A,FALSE,"Ev.Receita";#N/A,#N/A,FALSE,"Ev.Venda"}</definedName>
    <definedName name="wrn.P.Orç.._.Módulo._.2." localSheetId="20" hidden="1">{#N/A,#N/A,FALSE,"C.Direto";#N/A,#N/A,FALSE,"Evolução";#N/A,#N/A,FALSE,"C.Direto Prod";#N/A,#N/A,FALSE,"C.Indireto";#N/A,#N/A,FALSE,"Mobra";#N/A,#N/A,FALSE,"Orç.Inv.";#N/A,#N/A,FALSE,"Eq.Patrim";#N/A,#N/A,FALSE,"Equiv. US$";#N/A,#N/A,FALSE,"NewFin";#N/A,#N/A,FALSE,"Ev.Receita";#N/A,#N/A,FALSE,"Ev.Venda"}</definedName>
    <definedName name="wrn.P.Orç.._.Módulo._.2." localSheetId="21" hidden="1">{#N/A,#N/A,FALSE,"C.Direto";#N/A,#N/A,FALSE,"Evolução";#N/A,#N/A,FALSE,"C.Direto Prod";#N/A,#N/A,FALSE,"C.Indireto";#N/A,#N/A,FALSE,"Mobra";#N/A,#N/A,FALSE,"Orç.Inv.";#N/A,#N/A,FALSE,"Eq.Patrim";#N/A,#N/A,FALSE,"Equiv. US$";#N/A,#N/A,FALSE,"NewFin";#N/A,#N/A,FALSE,"Ev.Receita";#N/A,#N/A,FALSE,"Ev.Venda"}</definedName>
    <definedName name="wrn.P.Orç.._.Módulo._.2." localSheetId="22" hidden="1">{#N/A,#N/A,FALSE,"C.Direto";#N/A,#N/A,FALSE,"Evolução";#N/A,#N/A,FALSE,"C.Direto Prod";#N/A,#N/A,FALSE,"C.Indireto";#N/A,#N/A,FALSE,"Mobra";#N/A,#N/A,FALSE,"Orç.Inv.";#N/A,#N/A,FALSE,"Eq.Patrim";#N/A,#N/A,FALSE,"Equiv. US$";#N/A,#N/A,FALSE,"NewFin";#N/A,#N/A,FALSE,"Ev.Receita";#N/A,#N/A,FALSE,"Ev.Venda"}</definedName>
    <definedName name="wrn.P.Orç.._.Módulo._.2." localSheetId="23" hidden="1">{#N/A,#N/A,FALSE,"C.Direto";#N/A,#N/A,FALSE,"Evolução";#N/A,#N/A,FALSE,"C.Direto Prod";#N/A,#N/A,FALSE,"C.Indireto";#N/A,#N/A,FALSE,"Mobra";#N/A,#N/A,FALSE,"Orç.Inv.";#N/A,#N/A,FALSE,"Eq.Patrim";#N/A,#N/A,FALSE,"Equiv. US$";#N/A,#N/A,FALSE,"NewFin";#N/A,#N/A,FALSE,"Ev.Receita";#N/A,#N/A,FALSE,"Ev.Venda"}</definedName>
    <definedName name="wrn.P.Orç.._.Módulo._.2." localSheetId="24" hidden="1">{#N/A,#N/A,FALSE,"C.Direto";#N/A,#N/A,FALSE,"Evolução";#N/A,#N/A,FALSE,"C.Direto Prod";#N/A,#N/A,FALSE,"C.Indireto";#N/A,#N/A,FALSE,"Mobra";#N/A,#N/A,FALSE,"Orç.Inv.";#N/A,#N/A,FALSE,"Eq.Patrim";#N/A,#N/A,FALSE,"Equiv. US$";#N/A,#N/A,FALSE,"NewFin";#N/A,#N/A,FALSE,"Ev.Receita";#N/A,#N/A,FALSE,"Ev.Venda"}</definedName>
    <definedName name="wrn.P.Orç.._.Módulo._.2." localSheetId="25" hidden="1">{#N/A,#N/A,FALSE,"C.Direto";#N/A,#N/A,FALSE,"Evolução";#N/A,#N/A,FALSE,"C.Direto Prod";#N/A,#N/A,FALSE,"C.Indireto";#N/A,#N/A,FALSE,"Mobra";#N/A,#N/A,FALSE,"Orç.Inv.";#N/A,#N/A,FALSE,"Eq.Patrim";#N/A,#N/A,FALSE,"Equiv. US$";#N/A,#N/A,FALSE,"NewFin";#N/A,#N/A,FALSE,"Ev.Receita";#N/A,#N/A,FALSE,"Ev.Venda"}</definedName>
    <definedName name="wrn.P.Orç.._.Módulo._.2." localSheetId="26" hidden="1">{#N/A,#N/A,FALSE,"C.Direto";#N/A,#N/A,FALSE,"Evolução";#N/A,#N/A,FALSE,"C.Direto Prod";#N/A,#N/A,FALSE,"C.Indireto";#N/A,#N/A,FALSE,"Mobra";#N/A,#N/A,FALSE,"Orç.Inv.";#N/A,#N/A,FALSE,"Eq.Patrim";#N/A,#N/A,FALSE,"Equiv. US$";#N/A,#N/A,FALSE,"NewFin";#N/A,#N/A,FALSE,"Ev.Receita";#N/A,#N/A,FALSE,"Ev.Venda"}</definedName>
    <definedName name="wrn.P.Orç.._.Módulo._.2." localSheetId="27" hidden="1">{#N/A,#N/A,FALSE,"C.Direto";#N/A,#N/A,FALSE,"Evolução";#N/A,#N/A,FALSE,"C.Direto Prod";#N/A,#N/A,FALSE,"C.Indireto";#N/A,#N/A,FALSE,"Mobra";#N/A,#N/A,FALSE,"Orç.Inv.";#N/A,#N/A,FALSE,"Eq.Patrim";#N/A,#N/A,FALSE,"Equiv. US$";#N/A,#N/A,FALSE,"NewFin";#N/A,#N/A,FALSE,"Ev.Receita";#N/A,#N/A,FALSE,"Ev.Venda"}</definedName>
    <definedName name="wrn.P.Orç.._.Módulo._.2." localSheetId="28" hidden="1">{#N/A,#N/A,FALSE,"C.Direto";#N/A,#N/A,FALSE,"Evolução";#N/A,#N/A,FALSE,"C.Direto Prod";#N/A,#N/A,FALSE,"C.Indireto";#N/A,#N/A,FALSE,"Mobra";#N/A,#N/A,FALSE,"Orç.Inv.";#N/A,#N/A,FALSE,"Eq.Patrim";#N/A,#N/A,FALSE,"Equiv. US$";#N/A,#N/A,FALSE,"NewFin";#N/A,#N/A,FALSE,"Ev.Receita";#N/A,#N/A,FALSE,"Ev.Venda"}</definedName>
    <definedName name="wrn.P.Orç.._.Módulo._.2." localSheetId="29" hidden="1">{#N/A,#N/A,FALSE,"C.Direto";#N/A,#N/A,FALSE,"Evolução";#N/A,#N/A,FALSE,"C.Direto Prod";#N/A,#N/A,FALSE,"C.Indireto";#N/A,#N/A,FALSE,"Mobra";#N/A,#N/A,FALSE,"Orç.Inv.";#N/A,#N/A,FALSE,"Eq.Patrim";#N/A,#N/A,FALSE,"Equiv. US$";#N/A,#N/A,FALSE,"NewFin";#N/A,#N/A,FALSE,"Ev.Receita";#N/A,#N/A,FALSE,"Ev.Venda"}</definedName>
    <definedName name="wrn.P.Orç.._.Módulo._.2." localSheetId="30" hidden="1">{#N/A,#N/A,FALSE,"C.Direto";#N/A,#N/A,FALSE,"Evolução";#N/A,#N/A,FALSE,"C.Direto Prod";#N/A,#N/A,FALSE,"C.Indireto";#N/A,#N/A,FALSE,"Mobra";#N/A,#N/A,FALSE,"Orç.Inv.";#N/A,#N/A,FALSE,"Eq.Patrim";#N/A,#N/A,FALSE,"Equiv. US$";#N/A,#N/A,FALSE,"NewFin";#N/A,#N/A,FALSE,"Ev.Receita";#N/A,#N/A,FALSE,"Ev.Venda"}</definedName>
    <definedName name="wrn.P.Orç.._.Módulo._.2." localSheetId="31" hidden="1">{#N/A,#N/A,FALSE,"C.Direto";#N/A,#N/A,FALSE,"Evolução";#N/A,#N/A,FALSE,"C.Direto Prod";#N/A,#N/A,FALSE,"C.Indireto";#N/A,#N/A,FALSE,"Mobra";#N/A,#N/A,FALSE,"Orç.Inv.";#N/A,#N/A,FALSE,"Eq.Patrim";#N/A,#N/A,FALSE,"Equiv. US$";#N/A,#N/A,FALSE,"NewFin";#N/A,#N/A,FALSE,"Ev.Receita";#N/A,#N/A,FALSE,"Ev.Venda"}</definedName>
    <definedName name="wrn.P.Orç.._.Módulo._.2." localSheetId="32" hidden="1">{#N/A,#N/A,FALSE,"C.Direto";#N/A,#N/A,FALSE,"Evolução";#N/A,#N/A,FALSE,"C.Direto Prod";#N/A,#N/A,FALSE,"C.Indireto";#N/A,#N/A,FALSE,"Mobra";#N/A,#N/A,FALSE,"Orç.Inv.";#N/A,#N/A,FALSE,"Eq.Patrim";#N/A,#N/A,FALSE,"Equiv. US$";#N/A,#N/A,FALSE,"NewFin";#N/A,#N/A,FALSE,"Ev.Receita";#N/A,#N/A,FALSE,"Ev.Venda"}</definedName>
    <definedName name="wrn.P.Orç.._.Módulo._.2." hidden="1">{#N/A,#N/A,FALSE,"C.Direto";#N/A,#N/A,FALSE,"Evolução";#N/A,#N/A,FALSE,"C.Direto Prod";#N/A,#N/A,FALSE,"C.Indireto";#N/A,#N/A,FALSE,"Mobra";#N/A,#N/A,FALSE,"Orç.Inv.";#N/A,#N/A,FALSE,"Eq.Patrim";#N/A,#N/A,FALSE,"Equiv. US$";#N/A,#N/A,FALSE,"NewFin";#N/A,#N/A,FALSE,"Ev.Receita";#N/A,#N/A,FALSE,"Ev.Venda"}</definedName>
    <definedName name="wrn.processo."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jeto" localSheetId="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8"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3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3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3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8"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hidden="1">{#N/A,#N/A,FALSE,"Investimentos";#N/A,#N/A,FALSE,"Resumo";#N/A,#N/A,FALSE,"42";#N/A,#N/A,FALSE,"AF A";#N/A,#N/A,FALSE,"Inj Carvão";#N/A,#N/A,FALSE,"Coke";#N/A,#N/A,FALSE,"MLC";#N/A,#N/A,FALSE,"43";#N/A,#N/A,FALSE,"Barras";#N/A,#N/A,FALSE,"DPCC";#N/A,#N/A,FALSE,"41";#N/A,#N/A,FALSE,"Gás";#N/A,#N/A,FALSE,"Desempoei";#N/A,#N/A,FALSE,"ETA aciari";#N/A,#N/A,FALSE,"ETA lamina";#N/A,#N/A,FALSE,"SAP"}</definedName>
    <definedName name="wrn.prop2." localSheetId="3" hidden="1">{#N/A,#N/A,FALSE,"C.Direto";#N/A,#N/A,FALSE,"Evolução";#N/A,#N/A,FALSE,"C.Indireto";#N/A,#N/A,FALSE,"Mobra";#N/A,#N/A,FALSE,"Equiv. US$";#N/A,#N/A,FALSE,"NewFin"}</definedName>
    <definedName name="wrn.prop2." localSheetId="5" hidden="1">{#N/A,#N/A,FALSE,"C.Direto";#N/A,#N/A,FALSE,"Evolução";#N/A,#N/A,FALSE,"C.Indireto";#N/A,#N/A,FALSE,"Mobra";#N/A,#N/A,FALSE,"Equiv. US$";#N/A,#N/A,FALSE,"NewFin"}</definedName>
    <definedName name="wrn.prop2." localSheetId="6" hidden="1">{#N/A,#N/A,FALSE,"C.Direto";#N/A,#N/A,FALSE,"Evolução";#N/A,#N/A,FALSE,"C.Indireto";#N/A,#N/A,FALSE,"Mobra";#N/A,#N/A,FALSE,"Equiv. US$";#N/A,#N/A,FALSE,"NewFin"}</definedName>
    <definedName name="wrn.prop2." localSheetId="7" hidden="1">{#N/A,#N/A,FALSE,"C.Direto";#N/A,#N/A,FALSE,"Evolução";#N/A,#N/A,FALSE,"C.Indireto";#N/A,#N/A,FALSE,"Mobra";#N/A,#N/A,FALSE,"Equiv. US$";#N/A,#N/A,FALSE,"NewFin"}</definedName>
    <definedName name="wrn.prop2." localSheetId="9" hidden="1">{#N/A,#N/A,FALSE,"C.Direto";#N/A,#N/A,FALSE,"Evolução";#N/A,#N/A,FALSE,"C.Indireto";#N/A,#N/A,FALSE,"Mobra";#N/A,#N/A,FALSE,"Equiv. US$";#N/A,#N/A,FALSE,"NewFin"}</definedName>
    <definedName name="wrn.prop2." localSheetId="10" hidden="1">{#N/A,#N/A,FALSE,"C.Direto";#N/A,#N/A,FALSE,"Evolução";#N/A,#N/A,FALSE,"C.Indireto";#N/A,#N/A,FALSE,"Mobra";#N/A,#N/A,FALSE,"Equiv. US$";#N/A,#N/A,FALSE,"NewFin"}</definedName>
    <definedName name="wrn.prop2." localSheetId="11" hidden="1">{#N/A,#N/A,FALSE,"C.Direto";#N/A,#N/A,FALSE,"Evolução";#N/A,#N/A,FALSE,"C.Indireto";#N/A,#N/A,FALSE,"Mobra";#N/A,#N/A,FALSE,"Equiv. US$";#N/A,#N/A,FALSE,"NewFin"}</definedName>
    <definedName name="wrn.prop2." localSheetId="12" hidden="1">{#N/A,#N/A,FALSE,"C.Direto";#N/A,#N/A,FALSE,"Evolução";#N/A,#N/A,FALSE,"C.Indireto";#N/A,#N/A,FALSE,"Mobra";#N/A,#N/A,FALSE,"Equiv. US$";#N/A,#N/A,FALSE,"NewFin"}</definedName>
    <definedName name="wrn.prop2." localSheetId="13" hidden="1">{#N/A,#N/A,FALSE,"C.Direto";#N/A,#N/A,FALSE,"Evolução";#N/A,#N/A,FALSE,"C.Indireto";#N/A,#N/A,FALSE,"Mobra";#N/A,#N/A,FALSE,"Equiv. US$";#N/A,#N/A,FALSE,"NewFin"}</definedName>
    <definedName name="wrn.prop2." localSheetId="14" hidden="1">{#N/A,#N/A,FALSE,"C.Direto";#N/A,#N/A,FALSE,"Evolução";#N/A,#N/A,FALSE,"C.Indireto";#N/A,#N/A,FALSE,"Mobra";#N/A,#N/A,FALSE,"Equiv. US$";#N/A,#N/A,FALSE,"NewFin"}</definedName>
    <definedName name="wrn.prop2." localSheetId="15" hidden="1">{#N/A,#N/A,FALSE,"C.Direto";#N/A,#N/A,FALSE,"Evolução";#N/A,#N/A,FALSE,"C.Indireto";#N/A,#N/A,FALSE,"Mobra";#N/A,#N/A,FALSE,"Equiv. US$";#N/A,#N/A,FALSE,"NewFin"}</definedName>
    <definedName name="wrn.prop2." localSheetId="20" hidden="1">{#N/A,#N/A,FALSE,"C.Direto";#N/A,#N/A,FALSE,"Evolução";#N/A,#N/A,FALSE,"C.Indireto";#N/A,#N/A,FALSE,"Mobra";#N/A,#N/A,FALSE,"Equiv. US$";#N/A,#N/A,FALSE,"NewFin"}</definedName>
    <definedName name="wrn.prop2." localSheetId="21" hidden="1">{#N/A,#N/A,FALSE,"C.Direto";#N/A,#N/A,FALSE,"Evolução";#N/A,#N/A,FALSE,"C.Indireto";#N/A,#N/A,FALSE,"Mobra";#N/A,#N/A,FALSE,"Equiv. US$";#N/A,#N/A,FALSE,"NewFin"}</definedName>
    <definedName name="wrn.prop2." localSheetId="22" hidden="1">{#N/A,#N/A,FALSE,"C.Direto";#N/A,#N/A,FALSE,"Evolução";#N/A,#N/A,FALSE,"C.Indireto";#N/A,#N/A,FALSE,"Mobra";#N/A,#N/A,FALSE,"Equiv. US$";#N/A,#N/A,FALSE,"NewFin"}</definedName>
    <definedName name="wrn.prop2." localSheetId="23" hidden="1">{#N/A,#N/A,FALSE,"C.Direto";#N/A,#N/A,FALSE,"Evolução";#N/A,#N/A,FALSE,"C.Indireto";#N/A,#N/A,FALSE,"Mobra";#N/A,#N/A,FALSE,"Equiv. US$";#N/A,#N/A,FALSE,"NewFin"}</definedName>
    <definedName name="wrn.prop2." localSheetId="24" hidden="1">{#N/A,#N/A,FALSE,"C.Direto";#N/A,#N/A,FALSE,"Evolução";#N/A,#N/A,FALSE,"C.Indireto";#N/A,#N/A,FALSE,"Mobra";#N/A,#N/A,FALSE,"Equiv. US$";#N/A,#N/A,FALSE,"NewFin"}</definedName>
    <definedName name="wrn.prop2." localSheetId="25" hidden="1">{#N/A,#N/A,FALSE,"C.Direto";#N/A,#N/A,FALSE,"Evolução";#N/A,#N/A,FALSE,"C.Indireto";#N/A,#N/A,FALSE,"Mobra";#N/A,#N/A,FALSE,"Equiv. US$";#N/A,#N/A,FALSE,"NewFin"}</definedName>
    <definedName name="wrn.prop2." localSheetId="26" hidden="1">{#N/A,#N/A,FALSE,"C.Direto";#N/A,#N/A,FALSE,"Evolução";#N/A,#N/A,FALSE,"C.Indireto";#N/A,#N/A,FALSE,"Mobra";#N/A,#N/A,FALSE,"Equiv. US$";#N/A,#N/A,FALSE,"NewFin"}</definedName>
    <definedName name="wrn.prop2." localSheetId="27" hidden="1">{#N/A,#N/A,FALSE,"C.Direto";#N/A,#N/A,FALSE,"Evolução";#N/A,#N/A,FALSE,"C.Indireto";#N/A,#N/A,FALSE,"Mobra";#N/A,#N/A,FALSE,"Equiv. US$";#N/A,#N/A,FALSE,"NewFin"}</definedName>
    <definedName name="wrn.prop2." localSheetId="28" hidden="1">{#N/A,#N/A,FALSE,"C.Direto";#N/A,#N/A,FALSE,"Evolução";#N/A,#N/A,FALSE,"C.Indireto";#N/A,#N/A,FALSE,"Mobra";#N/A,#N/A,FALSE,"Equiv. US$";#N/A,#N/A,FALSE,"NewFin"}</definedName>
    <definedName name="wrn.prop2." localSheetId="29" hidden="1">{#N/A,#N/A,FALSE,"C.Direto";#N/A,#N/A,FALSE,"Evolução";#N/A,#N/A,FALSE,"C.Indireto";#N/A,#N/A,FALSE,"Mobra";#N/A,#N/A,FALSE,"Equiv. US$";#N/A,#N/A,FALSE,"NewFin"}</definedName>
    <definedName name="wrn.prop2." localSheetId="30" hidden="1">{#N/A,#N/A,FALSE,"C.Direto";#N/A,#N/A,FALSE,"Evolução";#N/A,#N/A,FALSE,"C.Indireto";#N/A,#N/A,FALSE,"Mobra";#N/A,#N/A,FALSE,"Equiv. US$";#N/A,#N/A,FALSE,"NewFin"}</definedName>
    <definedName name="wrn.prop2." localSheetId="31" hidden="1">{#N/A,#N/A,FALSE,"C.Direto";#N/A,#N/A,FALSE,"Evolução";#N/A,#N/A,FALSE,"C.Indireto";#N/A,#N/A,FALSE,"Mobra";#N/A,#N/A,FALSE,"Equiv. US$";#N/A,#N/A,FALSE,"NewFin"}</definedName>
    <definedName name="wrn.prop2." localSheetId="32" hidden="1">{#N/A,#N/A,FALSE,"C.Direto";#N/A,#N/A,FALSE,"Evolução";#N/A,#N/A,FALSE,"C.Indireto";#N/A,#N/A,FALSE,"Mobra";#N/A,#N/A,FALSE,"Equiv. US$";#N/A,#N/A,FALSE,"NewFin"}</definedName>
    <definedName name="wrn.prop2." hidden="1">{#N/A,#N/A,FALSE,"C.Direto";#N/A,#N/A,FALSE,"Evolução";#N/A,#N/A,FALSE,"C.Indireto";#N/A,#N/A,FALSE,"Mobra";#N/A,#N/A,FALSE,"Equiv. US$";#N/A,#N/A,FALSE,"NewFin"}</definedName>
    <definedName name="wrn.Proposta._.2." localSheetId="3" hidden="1">{#N/A,#N/A,FALSE,"Evolução";#N/A,#N/A,FALSE,"C.Direto Prod";#N/A,#N/A,FALSE,"C.Indireto";#N/A,#N/A,FALSE,"Mobra";#N/A,#N/A,FALSE,"Orç.Inv.";#N/A,#N/A,FALSE,"Eq.Patrim"}</definedName>
    <definedName name="wrn.Proposta._.2." localSheetId="5" hidden="1">{#N/A,#N/A,FALSE,"Evolução";#N/A,#N/A,FALSE,"C.Direto Prod";#N/A,#N/A,FALSE,"C.Indireto";#N/A,#N/A,FALSE,"Mobra";#N/A,#N/A,FALSE,"Orç.Inv.";#N/A,#N/A,FALSE,"Eq.Patrim"}</definedName>
    <definedName name="wrn.Proposta._.2." localSheetId="6" hidden="1">{#N/A,#N/A,FALSE,"Evolução";#N/A,#N/A,FALSE,"C.Direto Prod";#N/A,#N/A,FALSE,"C.Indireto";#N/A,#N/A,FALSE,"Mobra";#N/A,#N/A,FALSE,"Orç.Inv.";#N/A,#N/A,FALSE,"Eq.Patrim"}</definedName>
    <definedName name="wrn.Proposta._.2." localSheetId="7" hidden="1">{#N/A,#N/A,FALSE,"Evolução";#N/A,#N/A,FALSE,"C.Direto Prod";#N/A,#N/A,FALSE,"C.Indireto";#N/A,#N/A,FALSE,"Mobra";#N/A,#N/A,FALSE,"Orç.Inv.";#N/A,#N/A,FALSE,"Eq.Patrim"}</definedName>
    <definedName name="wrn.Proposta._.2." localSheetId="9" hidden="1">{#N/A,#N/A,FALSE,"Evolução";#N/A,#N/A,FALSE,"C.Direto Prod";#N/A,#N/A,FALSE,"C.Indireto";#N/A,#N/A,FALSE,"Mobra";#N/A,#N/A,FALSE,"Orç.Inv.";#N/A,#N/A,FALSE,"Eq.Patrim"}</definedName>
    <definedName name="wrn.Proposta._.2." localSheetId="10" hidden="1">{#N/A,#N/A,FALSE,"Evolução";#N/A,#N/A,FALSE,"C.Direto Prod";#N/A,#N/A,FALSE,"C.Indireto";#N/A,#N/A,FALSE,"Mobra";#N/A,#N/A,FALSE,"Orç.Inv.";#N/A,#N/A,FALSE,"Eq.Patrim"}</definedName>
    <definedName name="wrn.Proposta._.2." localSheetId="11" hidden="1">{#N/A,#N/A,FALSE,"Evolução";#N/A,#N/A,FALSE,"C.Direto Prod";#N/A,#N/A,FALSE,"C.Indireto";#N/A,#N/A,FALSE,"Mobra";#N/A,#N/A,FALSE,"Orç.Inv.";#N/A,#N/A,FALSE,"Eq.Patrim"}</definedName>
    <definedName name="wrn.Proposta._.2." localSheetId="12" hidden="1">{#N/A,#N/A,FALSE,"Evolução";#N/A,#N/A,FALSE,"C.Direto Prod";#N/A,#N/A,FALSE,"C.Indireto";#N/A,#N/A,FALSE,"Mobra";#N/A,#N/A,FALSE,"Orç.Inv.";#N/A,#N/A,FALSE,"Eq.Patrim"}</definedName>
    <definedName name="wrn.Proposta._.2." localSheetId="13" hidden="1">{#N/A,#N/A,FALSE,"Evolução";#N/A,#N/A,FALSE,"C.Direto Prod";#N/A,#N/A,FALSE,"C.Indireto";#N/A,#N/A,FALSE,"Mobra";#N/A,#N/A,FALSE,"Orç.Inv.";#N/A,#N/A,FALSE,"Eq.Patrim"}</definedName>
    <definedName name="wrn.Proposta._.2." localSheetId="14" hidden="1">{#N/A,#N/A,FALSE,"Evolução";#N/A,#N/A,FALSE,"C.Direto Prod";#N/A,#N/A,FALSE,"C.Indireto";#N/A,#N/A,FALSE,"Mobra";#N/A,#N/A,FALSE,"Orç.Inv.";#N/A,#N/A,FALSE,"Eq.Patrim"}</definedName>
    <definedName name="wrn.Proposta._.2." localSheetId="15" hidden="1">{#N/A,#N/A,FALSE,"Evolução";#N/A,#N/A,FALSE,"C.Direto Prod";#N/A,#N/A,FALSE,"C.Indireto";#N/A,#N/A,FALSE,"Mobra";#N/A,#N/A,FALSE,"Orç.Inv.";#N/A,#N/A,FALSE,"Eq.Patrim"}</definedName>
    <definedName name="wrn.Proposta._.2." localSheetId="20" hidden="1">{#N/A,#N/A,FALSE,"Evolução";#N/A,#N/A,FALSE,"C.Direto Prod";#N/A,#N/A,FALSE,"C.Indireto";#N/A,#N/A,FALSE,"Mobra";#N/A,#N/A,FALSE,"Orç.Inv.";#N/A,#N/A,FALSE,"Eq.Patrim"}</definedName>
    <definedName name="wrn.Proposta._.2." localSheetId="21" hidden="1">{#N/A,#N/A,FALSE,"Evolução";#N/A,#N/A,FALSE,"C.Direto Prod";#N/A,#N/A,FALSE,"C.Indireto";#N/A,#N/A,FALSE,"Mobra";#N/A,#N/A,FALSE,"Orç.Inv.";#N/A,#N/A,FALSE,"Eq.Patrim"}</definedName>
    <definedName name="wrn.Proposta._.2." localSheetId="22" hidden="1">{#N/A,#N/A,FALSE,"Evolução";#N/A,#N/A,FALSE,"C.Direto Prod";#N/A,#N/A,FALSE,"C.Indireto";#N/A,#N/A,FALSE,"Mobra";#N/A,#N/A,FALSE,"Orç.Inv.";#N/A,#N/A,FALSE,"Eq.Patrim"}</definedName>
    <definedName name="wrn.Proposta._.2." localSheetId="23" hidden="1">{#N/A,#N/A,FALSE,"Evolução";#N/A,#N/A,FALSE,"C.Direto Prod";#N/A,#N/A,FALSE,"C.Indireto";#N/A,#N/A,FALSE,"Mobra";#N/A,#N/A,FALSE,"Orç.Inv.";#N/A,#N/A,FALSE,"Eq.Patrim"}</definedName>
    <definedName name="wrn.Proposta._.2." localSheetId="24" hidden="1">{#N/A,#N/A,FALSE,"Evolução";#N/A,#N/A,FALSE,"C.Direto Prod";#N/A,#N/A,FALSE,"C.Indireto";#N/A,#N/A,FALSE,"Mobra";#N/A,#N/A,FALSE,"Orç.Inv.";#N/A,#N/A,FALSE,"Eq.Patrim"}</definedName>
    <definedName name="wrn.Proposta._.2." localSheetId="25" hidden="1">{#N/A,#N/A,FALSE,"Evolução";#N/A,#N/A,FALSE,"C.Direto Prod";#N/A,#N/A,FALSE,"C.Indireto";#N/A,#N/A,FALSE,"Mobra";#N/A,#N/A,FALSE,"Orç.Inv.";#N/A,#N/A,FALSE,"Eq.Patrim"}</definedName>
    <definedName name="wrn.Proposta._.2." localSheetId="26" hidden="1">{#N/A,#N/A,FALSE,"Evolução";#N/A,#N/A,FALSE,"C.Direto Prod";#N/A,#N/A,FALSE,"C.Indireto";#N/A,#N/A,FALSE,"Mobra";#N/A,#N/A,FALSE,"Orç.Inv.";#N/A,#N/A,FALSE,"Eq.Patrim"}</definedName>
    <definedName name="wrn.Proposta._.2." localSheetId="27" hidden="1">{#N/A,#N/A,FALSE,"Evolução";#N/A,#N/A,FALSE,"C.Direto Prod";#N/A,#N/A,FALSE,"C.Indireto";#N/A,#N/A,FALSE,"Mobra";#N/A,#N/A,FALSE,"Orç.Inv.";#N/A,#N/A,FALSE,"Eq.Patrim"}</definedName>
    <definedName name="wrn.Proposta._.2." localSheetId="28" hidden="1">{#N/A,#N/A,FALSE,"Evolução";#N/A,#N/A,FALSE,"C.Direto Prod";#N/A,#N/A,FALSE,"C.Indireto";#N/A,#N/A,FALSE,"Mobra";#N/A,#N/A,FALSE,"Orç.Inv.";#N/A,#N/A,FALSE,"Eq.Patrim"}</definedName>
    <definedName name="wrn.Proposta._.2." localSheetId="29" hidden="1">{#N/A,#N/A,FALSE,"Evolução";#N/A,#N/A,FALSE,"C.Direto Prod";#N/A,#N/A,FALSE,"C.Indireto";#N/A,#N/A,FALSE,"Mobra";#N/A,#N/A,FALSE,"Orç.Inv.";#N/A,#N/A,FALSE,"Eq.Patrim"}</definedName>
    <definedName name="wrn.Proposta._.2." localSheetId="30" hidden="1">{#N/A,#N/A,FALSE,"Evolução";#N/A,#N/A,FALSE,"C.Direto Prod";#N/A,#N/A,FALSE,"C.Indireto";#N/A,#N/A,FALSE,"Mobra";#N/A,#N/A,FALSE,"Orç.Inv.";#N/A,#N/A,FALSE,"Eq.Patrim"}</definedName>
    <definedName name="wrn.Proposta._.2." localSheetId="31" hidden="1">{#N/A,#N/A,FALSE,"Evolução";#N/A,#N/A,FALSE,"C.Direto Prod";#N/A,#N/A,FALSE,"C.Indireto";#N/A,#N/A,FALSE,"Mobra";#N/A,#N/A,FALSE,"Orç.Inv.";#N/A,#N/A,FALSE,"Eq.Patrim"}</definedName>
    <definedName name="wrn.Proposta._.2." localSheetId="32" hidden="1">{#N/A,#N/A,FALSE,"Evolução";#N/A,#N/A,FALSE,"C.Direto Prod";#N/A,#N/A,FALSE,"C.Indireto";#N/A,#N/A,FALSE,"Mobra";#N/A,#N/A,FALSE,"Orç.Inv.";#N/A,#N/A,FALSE,"Eq.Patrim"}</definedName>
    <definedName name="wrn.Proposta._.2." hidden="1">{#N/A,#N/A,FALSE,"Evolução";#N/A,#N/A,FALSE,"C.Direto Prod";#N/A,#N/A,FALSE,"C.Indireto";#N/A,#N/A,FALSE,"Mobra";#N/A,#N/A,FALSE,"Orç.Inv.";#N/A,#N/A,FALSE,"Eq.Patrim"}</definedName>
    <definedName name="wrn.Radar._.Consolidado." localSheetId="3" hidden="1">{#N/A,#N/A,FALSE,"Radar CONS Mês e Acum  3";#N/A,#N/A,FALSE,"Radar CONS Acum 4"}</definedName>
    <definedName name="wrn.Radar._.Consolidado." localSheetId="5" hidden="1">{#N/A,#N/A,FALSE,"Radar CONS Mês e Acum  3";#N/A,#N/A,FALSE,"Radar CONS Acum 4"}</definedName>
    <definedName name="wrn.Radar._.Consolidado." localSheetId="6" hidden="1">{#N/A,#N/A,FALSE,"Radar CONS Mês e Acum  3";#N/A,#N/A,FALSE,"Radar CONS Acum 4"}</definedName>
    <definedName name="wrn.Radar._.Consolidado." localSheetId="7" hidden="1">{#N/A,#N/A,FALSE,"Radar CONS Mês e Acum  3";#N/A,#N/A,FALSE,"Radar CONS Acum 4"}</definedName>
    <definedName name="wrn.Radar._.Consolidado." localSheetId="9" hidden="1">{#N/A,#N/A,FALSE,"Radar CONS Mês e Acum  3";#N/A,#N/A,FALSE,"Radar CONS Acum 4"}</definedName>
    <definedName name="wrn.Radar._.Consolidado." localSheetId="10" hidden="1">{#N/A,#N/A,FALSE,"Radar CONS Mês e Acum  3";#N/A,#N/A,FALSE,"Radar CONS Acum 4"}</definedName>
    <definedName name="wrn.Radar._.Consolidado." localSheetId="11" hidden="1">{#N/A,#N/A,FALSE,"Radar CONS Mês e Acum  3";#N/A,#N/A,FALSE,"Radar CONS Acum 4"}</definedName>
    <definedName name="wrn.Radar._.Consolidado." localSheetId="12" hidden="1">{#N/A,#N/A,FALSE,"Radar CONS Mês e Acum  3";#N/A,#N/A,FALSE,"Radar CONS Acum 4"}</definedName>
    <definedName name="wrn.Radar._.Consolidado." localSheetId="13" hidden="1">{#N/A,#N/A,FALSE,"Radar CONS Mês e Acum  3";#N/A,#N/A,FALSE,"Radar CONS Acum 4"}</definedName>
    <definedName name="wrn.Radar._.Consolidado." localSheetId="14" hidden="1">{#N/A,#N/A,FALSE,"Radar CONS Mês e Acum  3";#N/A,#N/A,FALSE,"Radar CONS Acum 4"}</definedName>
    <definedName name="wrn.Radar._.Consolidado." localSheetId="15" hidden="1">{#N/A,#N/A,FALSE,"Radar CONS Mês e Acum  3";#N/A,#N/A,FALSE,"Radar CONS Acum 4"}</definedName>
    <definedName name="wrn.Radar._.Consolidado." localSheetId="20" hidden="1">{#N/A,#N/A,FALSE,"Radar CONS Mês e Acum  3";#N/A,#N/A,FALSE,"Radar CONS Acum 4"}</definedName>
    <definedName name="wrn.Radar._.Consolidado." localSheetId="21" hidden="1">{#N/A,#N/A,FALSE,"Radar CONS Mês e Acum  3";#N/A,#N/A,FALSE,"Radar CONS Acum 4"}</definedName>
    <definedName name="wrn.Radar._.Consolidado." localSheetId="22" hidden="1">{#N/A,#N/A,FALSE,"Radar CONS Mês e Acum  3";#N/A,#N/A,FALSE,"Radar CONS Acum 4"}</definedName>
    <definedName name="wrn.Radar._.Consolidado." localSheetId="23" hidden="1">{#N/A,#N/A,FALSE,"Radar CONS Mês e Acum  3";#N/A,#N/A,FALSE,"Radar CONS Acum 4"}</definedName>
    <definedName name="wrn.Radar._.Consolidado." localSheetId="24" hidden="1">{#N/A,#N/A,FALSE,"Radar CONS Mês e Acum  3";#N/A,#N/A,FALSE,"Radar CONS Acum 4"}</definedName>
    <definedName name="wrn.Radar._.Consolidado." localSheetId="25" hidden="1">{#N/A,#N/A,FALSE,"Radar CONS Mês e Acum  3";#N/A,#N/A,FALSE,"Radar CONS Acum 4"}</definedName>
    <definedName name="wrn.Radar._.Consolidado." localSheetId="26" hidden="1">{#N/A,#N/A,FALSE,"Radar CONS Mês e Acum  3";#N/A,#N/A,FALSE,"Radar CONS Acum 4"}</definedName>
    <definedName name="wrn.Radar._.Consolidado." localSheetId="27" hidden="1">{#N/A,#N/A,FALSE,"Radar CONS Mês e Acum  3";#N/A,#N/A,FALSE,"Radar CONS Acum 4"}</definedName>
    <definedName name="wrn.Radar._.Consolidado." localSheetId="28" hidden="1">{#N/A,#N/A,FALSE,"Radar CONS Mês e Acum  3";#N/A,#N/A,FALSE,"Radar CONS Acum 4"}</definedName>
    <definedName name="wrn.Radar._.Consolidado." localSheetId="29" hidden="1">{#N/A,#N/A,FALSE,"Radar CONS Mês e Acum  3";#N/A,#N/A,FALSE,"Radar CONS Acum 4"}</definedName>
    <definedName name="wrn.Radar._.Consolidado." localSheetId="30" hidden="1">{#N/A,#N/A,FALSE,"Radar CONS Mês e Acum  3";#N/A,#N/A,FALSE,"Radar CONS Acum 4"}</definedName>
    <definedName name="wrn.Radar._.Consolidado." localSheetId="31" hidden="1">{#N/A,#N/A,FALSE,"Radar CONS Mês e Acum  3";#N/A,#N/A,FALSE,"Radar CONS Acum 4"}</definedName>
    <definedName name="wrn.Radar._.Consolidado." localSheetId="32" hidden="1">{#N/A,#N/A,FALSE,"Radar CONS Mês e Acum  3";#N/A,#N/A,FALSE,"Radar CONS Acum 4"}</definedName>
    <definedName name="wrn.Radar._.Consolidado." hidden="1">{#N/A,#N/A,FALSE,"Radar CONS Mês e Acum  3";#N/A,#N/A,FALSE,"Radar CONS Acum 4"}</definedName>
    <definedName name="wrn.Radares._.Todos." localSheetId="3"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5"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6"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7"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9"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0"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3"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4"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5"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0"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3"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4"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5"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6"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7"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8"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9"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30"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3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3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inha._.e._.Topper." localSheetId="3" hidden="1">{#N/A,#N/A,FALSE,"RAINHA TOPPER CONSOL 16";#N/A,#N/A,FALSE,"BOLAS 17";#N/A,#N/A,FALSE,"VESTUÁRIO 18";#N/A,#N/A,FALSE,"Rainha Topper Mês e Acum 19";#N/A,#N/A,FALSE,"Rainha Topper Acum 20"}</definedName>
    <definedName name="wrn.Rainha._.e._.Topper." localSheetId="5" hidden="1">{#N/A,#N/A,FALSE,"RAINHA TOPPER CONSOL 16";#N/A,#N/A,FALSE,"BOLAS 17";#N/A,#N/A,FALSE,"VESTUÁRIO 18";#N/A,#N/A,FALSE,"Rainha Topper Mês e Acum 19";#N/A,#N/A,FALSE,"Rainha Topper Acum 20"}</definedName>
    <definedName name="wrn.Rainha._.e._.Topper." localSheetId="6" hidden="1">{#N/A,#N/A,FALSE,"RAINHA TOPPER CONSOL 16";#N/A,#N/A,FALSE,"BOLAS 17";#N/A,#N/A,FALSE,"VESTUÁRIO 18";#N/A,#N/A,FALSE,"Rainha Topper Mês e Acum 19";#N/A,#N/A,FALSE,"Rainha Topper Acum 20"}</definedName>
    <definedName name="wrn.Rainha._.e._.Topper." localSheetId="7" hidden="1">{#N/A,#N/A,FALSE,"RAINHA TOPPER CONSOL 16";#N/A,#N/A,FALSE,"BOLAS 17";#N/A,#N/A,FALSE,"VESTUÁRIO 18";#N/A,#N/A,FALSE,"Rainha Topper Mês e Acum 19";#N/A,#N/A,FALSE,"Rainha Topper Acum 20"}</definedName>
    <definedName name="wrn.Rainha._.e._.Topper." localSheetId="9" hidden="1">{#N/A,#N/A,FALSE,"RAINHA TOPPER CONSOL 16";#N/A,#N/A,FALSE,"BOLAS 17";#N/A,#N/A,FALSE,"VESTUÁRIO 18";#N/A,#N/A,FALSE,"Rainha Topper Mês e Acum 19";#N/A,#N/A,FALSE,"Rainha Topper Acum 20"}</definedName>
    <definedName name="wrn.Rainha._.e._.Topper." localSheetId="10" hidden="1">{#N/A,#N/A,FALSE,"RAINHA TOPPER CONSOL 16";#N/A,#N/A,FALSE,"BOLAS 17";#N/A,#N/A,FALSE,"VESTUÁRIO 18";#N/A,#N/A,FALSE,"Rainha Topper Mês e Acum 19";#N/A,#N/A,FALSE,"Rainha Topper Acum 20"}</definedName>
    <definedName name="wrn.Rainha._.e._.Topper." localSheetId="11" hidden="1">{#N/A,#N/A,FALSE,"RAINHA TOPPER CONSOL 16";#N/A,#N/A,FALSE,"BOLAS 17";#N/A,#N/A,FALSE,"VESTUÁRIO 18";#N/A,#N/A,FALSE,"Rainha Topper Mês e Acum 19";#N/A,#N/A,FALSE,"Rainha Topper Acum 20"}</definedName>
    <definedName name="wrn.Rainha._.e._.Topper." localSheetId="12" hidden="1">{#N/A,#N/A,FALSE,"RAINHA TOPPER CONSOL 16";#N/A,#N/A,FALSE,"BOLAS 17";#N/A,#N/A,FALSE,"VESTUÁRIO 18";#N/A,#N/A,FALSE,"Rainha Topper Mês e Acum 19";#N/A,#N/A,FALSE,"Rainha Topper Acum 20"}</definedName>
    <definedName name="wrn.Rainha._.e._.Topper." localSheetId="13" hidden="1">{#N/A,#N/A,FALSE,"RAINHA TOPPER CONSOL 16";#N/A,#N/A,FALSE,"BOLAS 17";#N/A,#N/A,FALSE,"VESTUÁRIO 18";#N/A,#N/A,FALSE,"Rainha Topper Mês e Acum 19";#N/A,#N/A,FALSE,"Rainha Topper Acum 20"}</definedName>
    <definedName name="wrn.Rainha._.e._.Topper." localSheetId="14" hidden="1">{#N/A,#N/A,FALSE,"RAINHA TOPPER CONSOL 16";#N/A,#N/A,FALSE,"BOLAS 17";#N/A,#N/A,FALSE,"VESTUÁRIO 18";#N/A,#N/A,FALSE,"Rainha Topper Mês e Acum 19";#N/A,#N/A,FALSE,"Rainha Topper Acum 20"}</definedName>
    <definedName name="wrn.Rainha._.e._.Topper." localSheetId="15" hidden="1">{#N/A,#N/A,FALSE,"RAINHA TOPPER CONSOL 16";#N/A,#N/A,FALSE,"BOLAS 17";#N/A,#N/A,FALSE,"VESTUÁRIO 18";#N/A,#N/A,FALSE,"Rainha Topper Mês e Acum 19";#N/A,#N/A,FALSE,"Rainha Topper Acum 20"}</definedName>
    <definedName name="wrn.Rainha._.e._.Topper." localSheetId="20" hidden="1">{#N/A,#N/A,FALSE,"RAINHA TOPPER CONSOL 16";#N/A,#N/A,FALSE,"BOLAS 17";#N/A,#N/A,FALSE,"VESTUÁRIO 18";#N/A,#N/A,FALSE,"Rainha Topper Mês e Acum 19";#N/A,#N/A,FALSE,"Rainha Topper Acum 20"}</definedName>
    <definedName name="wrn.Rainha._.e._.Topper." localSheetId="21" hidden="1">{#N/A,#N/A,FALSE,"RAINHA TOPPER CONSOL 16";#N/A,#N/A,FALSE,"BOLAS 17";#N/A,#N/A,FALSE,"VESTUÁRIO 18";#N/A,#N/A,FALSE,"Rainha Topper Mês e Acum 19";#N/A,#N/A,FALSE,"Rainha Topper Acum 20"}</definedName>
    <definedName name="wrn.Rainha._.e._.Topper." localSheetId="22" hidden="1">{#N/A,#N/A,FALSE,"RAINHA TOPPER CONSOL 16";#N/A,#N/A,FALSE,"BOLAS 17";#N/A,#N/A,FALSE,"VESTUÁRIO 18";#N/A,#N/A,FALSE,"Rainha Topper Mês e Acum 19";#N/A,#N/A,FALSE,"Rainha Topper Acum 20"}</definedName>
    <definedName name="wrn.Rainha._.e._.Topper." localSheetId="23" hidden="1">{#N/A,#N/A,FALSE,"RAINHA TOPPER CONSOL 16";#N/A,#N/A,FALSE,"BOLAS 17";#N/A,#N/A,FALSE,"VESTUÁRIO 18";#N/A,#N/A,FALSE,"Rainha Topper Mês e Acum 19";#N/A,#N/A,FALSE,"Rainha Topper Acum 20"}</definedName>
    <definedName name="wrn.Rainha._.e._.Topper." localSheetId="24" hidden="1">{#N/A,#N/A,FALSE,"RAINHA TOPPER CONSOL 16";#N/A,#N/A,FALSE,"BOLAS 17";#N/A,#N/A,FALSE,"VESTUÁRIO 18";#N/A,#N/A,FALSE,"Rainha Topper Mês e Acum 19";#N/A,#N/A,FALSE,"Rainha Topper Acum 20"}</definedName>
    <definedName name="wrn.Rainha._.e._.Topper." localSheetId="25" hidden="1">{#N/A,#N/A,FALSE,"RAINHA TOPPER CONSOL 16";#N/A,#N/A,FALSE,"BOLAS 17";#N/A,#N/A,FALSE,"VESTUÁRIO 18";#N/A,#N/A,FALSE,"Rainha Topper Mês e Acum 19";#N/A,#N/A,FALSE,"Rainha Topper Acum 20"}</definedName>
    <definedName name="wrn.Rainha._.e._.Topper." localSheetId="26" hidden="1">{#N/A,#N/A,FALSE,"RAINHA TOPPER CONSOL 16";#N/A,#N/A,FALSE,"BOLAS 17";#N/A,#N/A,FALSE,"VESTUÁRIO 18";#N/A,#N/A,FALSE,"Rainha Topper Mês e Acum 19";#N/A,#N/A,FALSE,"Rainha Topper Acum 20"}</definedName>
    <definedName name="wrn.Rainha._.e._.Topper." localSheetId="27" hidden="1">{#N/A,#N/A,FALSE,"RAINHA TOPPER CONSOL 16";#N/A,#N/A,FALSE,"BOLAS 17";#N/A,#N/A,FALSE,"VESTUÁRIO 18";#N/A,#N/A,FALSE,"Rainha Topper Mês e Acum 19";#N/A,#N/A,FALSE,"Rainha Topper Acum 20"}</definedName>
    <definedName name="wrn.Rainha._.e._.Topper." localSheetId="28" hidden="1">{#N/A,#N/A,FALSE,"RAINHA TOPPER CONSOL 16";#N/A,#N/A,FALSE,"BOLAS 17";#N/A,#N/A,FALSE,"VESTUÁRIO 18";#N/A,#N/A,FALSE,"Rainha Topper Mês e Acum 19";#N/A,#N/A,FALSE,"Rainha Topper Acum 20"}</definedName>
    <definedName name="wrn.Rainha._.e._.Topper." localSheetId="29" hidden="1">{#N/A,#N/A,FALSE,"RAINHA TOPPER CONSOL 16";#N/A,#N/A,FALSE,"BOLAS 17";#N/A,#N/A,FALSE,"VESTUÁRIO 18";#N/A,#N/A,FALSE,"Rainha Topper Mês e Acum 19";#N/A,#N/A,FALSE,"Rainha Topper Acum 20"}</definedName>
    <definedName name="wrn.Rainha._.e._.Topper." localSheetId="30" hidden="1">{#N/A,#N/A,FALSE,"RAINHA TOPPER CONSOL 16";#N/A,#N/A,FALSE,"BOLAS 17";#N/A,#N/A,FALSE,"VESTUÁRIO 18";#N/A,#N/A,FALSE,"Rainha Topper Mês e Acum 19";#N/A,#N/A,FALSE,"Rainha Topper Acum 20"}</definedName>
    <definedName name="wrn.Rainha._.e._.Topper." localSheetId="31" hidden="1">{#N/A,#N/A,FALSE,"RAINHA TOPPER CONSOL 16";#N/A,#N/A,FALSE,"BOLAS 17";#N/A,#N/A,FALSE,"VESTUÁRIO 18";#N/A,#N/A,FALSE,"Rainha Topper Mês e Acum 19";#N/A,#N/A,FALSE,"Rainha Topper Acum 20"}</definedName>
    <definedName name="wrn.Rainha._.e._.Topper." localSheetId="32" hidden="1">{#N/A,#N/A,FALSE,"RAINHA TOPPER CONSOL 16";#N/A,#N/A,FALSE,"BOLAS 17";#N/A,#N/A,FALSE,"VESTUÁRIO 18";#N/A,#N/A,FALSE,"Rainha Topper Mês e Acum 19";#N/A,#N/A,FALSE,"Rainha Topper Acum 20"}</definedName>
    <definedName name="wrn.Rainha._.e._.Topper." hidden="1">{#N/A,#N/A,FALSE,"RAINHA TOPPER CONSOL 16";#N/A,#N/A,FALSE,"BOLAS 17";#N/A,#N/A,FALSE,"VESTUÁRIO 18";#N/A,#N/A,FALSE,"Rainha Topper Mês e Acum 19";#N/A,#N/A,FALSE,"Rainha Topper Acum 20"}</definedName>
    <definedName name="wrn.REMO." localSheetId="3" hidden="1">{#N/A,#N/A,FALSE,"Desp.Indir";#N/A,#N/A,FALSE,"DPindir";#N/A,#N/A,FALSE,"D.Ind.Op";#N/A,#N/A,FALSE,"Estoq";#N/A,#N/A,FALSE,"Estoq Ger.";#N/A,#N/A,FALSE,"Estoq.R$";#N/A,#N/A,FALSE,"Receita";#N/A,#N/A,FALSE,"Vendas_Ton";#N/A,#N/A,FALSE,"P.Médio";#N/A,#N/A,FALSE,"PMDet";#N/A,#N/A,FALSE,"Inv_Barras"}</definedName>
    <definedName name="wrn.REMO." localSheetId="5" hidden="1">{#N/A,#N/A,FALSE,"Desp.Indir";#N/A,#N/A,FALSE,"DPindir";#N/A,#N/A,FALSE,"D.Ind.Op";#N/A,#N/A,FALSE,"Estoq";#N/A,#N/A,FALSE,"Estoq Ger.";#N/A,#N/A,FALSE,"Estoq.R$";#N/A,#N/A,FALSE,"Receita";#N/A,#N/A,FALSE,"Vendas_Ton";#N/A,#N/A,FALSE,"P.Médio";#N/A,#N/A,FALSE,"PMDet";#N/A,#N/A,FALSE,"Inv_Barras"}</definedName>
    <definedName name="wrn.REMO." localSheetId="6" hidden="1">{#N/A,#N/A,FALSE,"Desp.Indir";#N/A,#N/A,FALSE,"DPindir";#N/A,#N/A,FALSE,"D.Ind.Op";#N/A,#N/A,FALSE,"Estoq";#N/A,#N/A,FALSE,"Estoq Ger.";#N/A,#N/A,FALSE,"Estoq.R$";#N/A,#N/A,FALSE,"Receita";#N/A,#N/A,FALSE,"Vendas_Ton";#N/A,#N/A,FALSE,"P.Médio";#N/A,#N/A,FALSE,"PMDet";#N/A,#N/A,FALSE,"Inv_Barras"}</definedName>
    <definedName name="wrn.REMO." localSheetId="7" hidden="1">{#N/A,#N/A,FALSE,"Desp.Indir";#N/A,#N/A,FALSE,"DPindir";#N/A,#N/A,FALSE,"D.Ind.Op";#N/A,#N/A,FALSE,"Estoq";#N/A,#N/A,FALSE,"Estoq Ger.";#N/A,#N/A,FALSE,"Estoq.R$";#N/A,#N/A,FALSE,"Receita";#N/A,#N/A,FALSE,"Vendas_Ton";#N/A,#N/A,FALSE,"P.Médio";#N/A,#N/A,FALSE,"PMDet";#N/A,#N/A,FALSE,"Inv_Barras"}</definedName>
    <definedName name="wrn.REMO." localSheetId="9" hidden="1">{#N/A,#N/A,FALSE,"Desp.Indir";#N/A,#N/A,FALSE,"DPindir";#N/A,#N/A,FALSE,"D.Ind.Op";#N/A,#N/A,FALSE,"Estoq";#N/A,#N/A,FALSE,"Estoq Ger.";#N/A,#N/A,FALSE,"Estoq.R$";#N/A,#N/A,FALSE,"Receita";#N/A,#N/A,FALSE,"Vendas_Ton";#N/A,#N/A,FALSE,"P.Médio";#N/A,#N/A,FALSE,"PMDet";#N/A,#N/A,FALSE,"Inv_Barras"}</definedName>
    <definedName name="wrn.REMO." localSheetId="10" hidden="1">{#N/A,#N/A,FALSE,"Desp.Indir";#N/A,#N/A,FALSE,"DPindir";#N/A,#N/A,FALSE,"D.Ind.Op";#N/A,#N/A,FALSE,"Estoq";#N/A,#N/A,FALSE,"Estoq Ger.";#N/A,#N/A,FALSE,"Estoq.R$";#N/A,#N/A,FALSE,"Receita";#N/A,#N/A,FALSE,"Vendas_Ton";#N/A,#N/A,FALSE,"P.Médio";#N/A,#N/A,FALSE,"PMDet";#N/A,#N/A,FALSE,"Inv_Barras"}</definedName>
    <definedName name="wrn.REMO." localSheetId="11" hidden="1">{#N/A,#N/A,FALSE,"Desp.Indir";#N/A,#N/A,FALSE,"DPindir";#N/A,#N/A,FALSE,"D.Ind.Op";#N/A,#N/A,FALSE,"Estoq";#N/A,#N/A,FALSE,"Estoq Ger.";#N/A,#N/A,FALSE,"Estoq.R$";#N/A,#N/A,FALSE,"Receita";#N/A,#N/A,FALSE,"Vendas_Ton";#N/A,#N/A,FALSE,"P.Médio";#N/A,#N/A,FALSE,"PMDet";#N/A,#N/A,FALSE,"Inv_Barras"}</definedName>
    <definedName name="wrn.REMO." localSheetId="12" hidden="1">{#N/A,#N/A,FALSE,"Desp.Indir";#N/A,#N/A,FALSE,"DPindir";#N/A,#N/A,FALSE,"D.Ind.Op";#N/A,#N/A,FALSE,"Estoq";#N/A,#N/A,FALSE,"Estoq Ger.";#N/A,#N/A,FALSE,"Estoq.R$";#N/A,#N/A,FALSE,"Receita";#N/A,#N/A,FALSE,"Vendas_Ton";#N/A,#N/A,FALSE,"P.Médio";#N/A,#N/A,FALSE,"PMDet";#N/A,#N/A,FALSE,"Inv_Barras"}</definedName>
    <definedName name="wrn.REMO." localSheetId="13" hidden="1">{#N/A,#N/A,FALSE,"Desp.Indir";#N/A,#N/A,FALSE,"DPindir";#N/A,#N/A,FALSE,"D.Ind.Op";#N/A,#N/A,FALSE,"Estoq";#N/A,#N/A,FALSE,"Estoq Ger.";#N/A,#N/A,FALSE,"Estoq.R$";#N/A,#N/A,FALSE,"Receita";#N/A,#N/A,FALSE,"Vendas_Ton";#N/A,#N/A,FALSE,"P.Médio";#N/A,#N/A,FALSE,"PMDet";#N/A,#N/A,FALSE,"Inv_Barras"}</definedName>
    <definedName name="wrn.REMO." localSheetId="14" hidden="1">{#N/A,#N/A,FALSE,"Desp.Indir";#N/A,#N/A,FALSE,"DPindir";#N/A,#N/A,FALSE,"D.Ind.Op";#N/A,#N/A,FALSE,"Estoq";#N/A,#N/A,FALSE,"Estoq Ger.";#N/A,#N/A,FALSE,"Estoq.R$";#N/A,#N/A,FALSE,"Receita";#N/A,#N/A,FALSE,"Vendas_Ton";#N/A,#N/A,FALSE,"P.Médio";#N/A,#N/A,FALSE,"PMDet";#N/A,#N/A,FALSE,"Inv_Barras"}</definedName>
    <definedName name="wrn.REMO." localSheetId="15" hidden="1">{#N/A,#N/A,FALSE,"Desp.Indir";#N/A,#N/A,FALSE,"DPindir";#N/A,#N/A,FALSE,"D.Ind.Op";#N/A,#N/A,FALSE,"Estoq";#N/A,#N/A,FALSE,"Estoq Ger.";#N/A,#N/A,FALSE,"Estoq.R$";#N/A,#N/A,FALSE,"Receita";#N/A,#N/A,FALSE,"Vendas_Ton";#N/A,#N/A,FALSE,"P.Médio";#N/A,#N/A,FALSE,"PMDet";#N/A,#N/A,FALSE,"Inv_Barras"}</definedName>
    <definedName name="wrn.REMO." localSheetId="20" hidden="1">{#N/A,#N/A,FALSE,"Desp.Indir";#N/A,#N/A,FALSE,"DPindir";#N/A,#N/A,FALSE,"D.Ind.Op";#N/A,#N/A,FALSE,"Estoq";#N/A,#N/A,FALSE,"Estoq Ger.";#N/A,#N/A,FALSE,"Estoq.R$";#N/A,#N/A,FALSE,"Receita";#N/A,#N/A,FALSE,"Vendas_Ton";#N/A,#N/A,FALSE,"P.Médio";#N/A,#N/A,FALSE,"PMDet";#N/A,#N/A,FALSE,"Inv_Barras"}</definedName>
    <definedName name="wrn.REMO." localSheetId="21" hidden="1">{#N/A,#N/A,FALSE,"Desp.Indir";#N/A,#N/A,FALSE,"DPindir";#N/A,#N/A,FALSE,"D.Ind.Op";#N/A,#N/A,FALSE,"Estoq";#N/A,#N/A,FALSE,"Estoq Ger.";#N/A,#N/A,FALSE,"Estoq.R$";#N/A,#N/A,FALSE,"Receita";#N/A,#N/A,FALSE,"Vendas_Ton";#N/A,#N/A,FALSE,"P.Médio";#N/A,#N/A,FALSE,"PMDet";#N/A,#N/A,FALSE,"Inv_Barras"}</definedName>
    <definedName name="wrn.REMO." localSheetId="22" hidden="1">{#N/A,#N/A,FALSE,"Desp.Indir";#N/A,#N/A,FALSE,"DPindir";#N/A,#N/A,FALSE,"D.Ind.Op";#N/A,#N/A,FALSE,"Estoq";#N/A,#N/A,FALSE,"Estoq Ger.";#N/A,#N/A,FALSE,"Estoq.R$";#N/A,#N/A,FALSE,"Receita";#N/A,#N/A,FALSE,"Vendas_Ton";#N/A,#N/A,FALSE,"P.Médio";#N/A,#N/A,FALSE,"PMDet";#N/A,#N/A,FALSE,"Inv_Barras"}</definedName>
    <definedName name="wrn.REMO." localSheetId="23" hidden="1">{#N/A,#N/A,FALSE,"Desp.Indir";#N/A,#N/A,FALSE,"DPindir";#N/A,#N/A,FALSE,"D.Ind.Op";#N/A,#N/A,FALSE,"Estoq";#N/A,#N/A,FALSE,"Estoq Ger.";#N/A,#N/A,FALSE,"Estoq.R$";#N/A,#N/A,FALSE,"Receita";#N/A,#N/A,FALSE,"Vendas_Ton";#N/A,#N/A,FALSE,"P.Médio";#N/A,#N/A,FALSE,"PMDet";#N/A,#N/A,FALSE,"Inv_Barras"}</definedName>
    <definedName name="wrn.REMO." localSheetId="24" hidden="1">{#N/A,#N/A,FALSE,"Desp.Indir";#N/A,#N/A,FALSE,"DPindir";#N/A,#N/A,FALSE,"D.Ind.Op";#N/A,#N/A,FALSE,"Estoq";#N/A,#N/A,FALSE,"Estoq Ger.";#N/A,#N/A,FALSE,"Estoq.R$";#N/A,#N/A,FALSE,"Receita";#N/A,#N/A,FALSE,"Vendas_Ton";#N/A,#N/A,FALSE,"P.Médio";#N/A,#N/A,FALSE,"PMDet";#N/A,#N/A,FALSE,"Inv_Barras"}</definedName>
    <definedName name="wrn.REMO." localSheetId="25" hidden="1">{#N/A,#N/A,FALSE,"Desp.Indir";#N/A,#N/A,FALSE,"DPindir";#N/A,#N/A,FALSE,"D.Ind.Op";#N/A,#N/A,FALSE,"Estoq";#N/A,#N/A,FALSE,"Estoq Ger.";#N/A,#N/A,FALSE,"Estoq.R$";#N/A,#N/A,FALSE,"Receita";#N/A,#N/A,FALSE,"Vendas_Ton";#N/A,#N/A,FALSE,"P.Médio";#N/A,#N/A,FALSE,"PMDet";#N/A,#N/A,FALSE,"Inv_Barras"}</definedName>
    <definedName name="wrn.REMO." localSheetId="26" hidden="1">{#N/A,#N/A,FALSE,"Desp.Indir";#N/A,#N/A,FALSE,"DPindir";#N/A,#N/A,FALSE,"D.Ind.Op";#N/A,#N/A,FALSE,"Estoq";#N/A,#N/A,FALSE,"Estoq Ger.";#N/A,#N/A,FALSE,"Estoq.R$";#N/A,#N/A,FALSE,"Receita";#N/A,#N/A,FALSE,"Vendas_Ton";#N/A,#N/A,FALSE,"P.Médio";#N/A,#N/A,FALSE,"PMDet";#N/A,#N/A,FALSE,"Inv_Barras"}</definedName>
    <definedName name="wrn.REMO." localSheetId="27" hidden="1">{#N/A,#N/A,FALSE,"Desp.Indir";#N/A,#N/A,FALSE,"DPindir";#N/A,#N/A,FALSE,"D.Ind.Op";#N/A,#N/A,FALSE,"Estoq";#N/A,#N/A,FALSE,"Estoq Ger.";#N/A,#N/A,FALSE,"Estoq.R$";#N/A,#N/A,FALSE,"Receita";#N/A,#N/A,FALSE,"Vendas_Ton";#N/A,#N/A,FALSE,"P.Médio";#N/A,#N/A,FALSE,"PMDet";#N/A,#N/A,FALSE,"Inv_Barras"}</definedName>
    <definedName name="wrn.REMO." localSheetId="28" hidden="1">{#N/A,#N/A,FALSE,"Desp.Indir";#N/A,#N/A,FALSE,"DPindir";#N/A,#N/A,FALSE,"D.Ind.Op";#N/A,#N/A,FALSE,"Estoq";#N/A,#N/A,FALSE,"Estoq Ger.";#N/A,#N/A,FALSE,"Estoq.R$";#N/A,#N/A,FALSE,"Receita";#N/A,#N/A,FALSE,"Vendas_Ton";#N/A,#N/A,FALSE,"P.Médio";#N/A,#N/A,FALSE,"PMDet";#N/A,#N/A,FALSE,"Inv_Barras"}</definedName>
    <definedName name="wrn.REMO." localSheetId="29" hidden="1">{#N/A,#N/A,FALSE,"Desp.Indir";#N/A,#N/A,FALSE,"DPindir";#N/A,#N/A,FALSE,"D.Ind.Op";#N/A,#N/A,FALSE,"Estoq";#N/A,#N/A,FALSE,"Estoq Ger.";#N/A,#N/A,FALSE,"Estoq.R$";#N/A,#N/A,FALSE,"Receita";#N/A,#N/A,FALSE,"Vendas_Ton";#N/A,#N/A,FALSE,"P.Médio";#N/A,#N/A,FALSE,"PMDet";#N/A,#N/A,FALSE,"Inv_Barras"}</definedName>
    <definedName name="wrn.REMO." localSheetId="30" hidden="1">{#N/A,#N/A,FALSE,"Desp.Indir";#N/A,#N/A,FALSE,"DPindir";#N/A,#N/A,FALSE,"D.Ind.Op";#N/A,#N/A,FALSE,"Estoq";#N/A,#N/A,FALSE,"Estoq Ger.";#N/A,#N/A,FALSE,"Estoq.R$";#N/A,#N/A,FALSE,"Receita";#N/A,#N/A,FALSE,"Vendas_Ton";#N/A,#N/A,FALSE,"P.Médio";#N/A,#N/A,FALSE,"PMDet";#N/A,#N/A,FALSE,"Inv_Barras"}</definedName>
    <definedName name="wrn.REMO." localSheetId="31" hidden="1">{#N/A,#N/A,FALSE,"Desp.Indir";#N/A,#N/A,FALSE,"DPindir";#N/A,#N/A,FALSE,"D.Ind.Op";#N/A,#N/A,FALSE,"Estoq";#N/A,#N/A,FALSE,"Estoq Ger.";#N/A,#N/A,FALSE,"Estoq.R$";#N/A,#N/A,FALSE,"Receita";#N/A,#N/A,FALSE,"Vendas_Ton";#N/A,#N/A,FALSE,"P.Médio";#N/A,#N/A,FALSE,"PMDet";#N/A,#N/A,FALSE,"Inv_Barras"}</definedName>
    <definedName name="wrn.REMO." localSheetId="32" hidden="1">{#N/A,#N/A,FALSE,"Desp.Indir";#N/A,#N/A,FALSE,"DPindir";#N/A,#N/A,FALSE,"D.Ind.Op";#N/A,#N/A,FALSE,"Estoq";#N/A,#N/A,FALSE,"Estoq Ger.";#N/A,#N/A,FALSE,"Estoq.R$";#N/A,#N/A,FALSE,"Receita";#N/A,#N/A,FALSE,"Vendas_Ton";#N/A,#N/A,FALSE,"P.Médio";#N/A,#N/A,FALSE,"PMDet";#N/A,#N/A,FALSE,"Inv_Barras"}</definedName>
    <definedName name="wrn.REMO." hidden="1">{#N/A,#N/A,FALSE,"Desp.Indir";#N/A,#N/A,FALSE,"DPindir";#N/A,#N/A,FALSE,"D.Ind.Op";#N/A,#N/A,FALSE,"Estoq";#N/A,#N/A,FALSE,"Estoq Ger.";#N/A,#N/A,FALSE,"Estoq.R$";#N/A,#N/A,FALSE,"Receita";#N/A,#N/A,FALSE,"Vendas_Ton";#N/A,#N/A,FALSE,"P.Médio";#N/A,#N/A,FALSE,"PMDet";#N/A,#N/A,FALSE,"Inv_Barras"}</definedName>
    <definedName name="wrn.Tableaux._.A." localSheetId="3" hidden="1">{#N/A,#N/A,FALSE,"Tabl. A1";#N/A,#N/A,FALSE,"Tabl. A1 b";#N/A,#N/A,FALSE,"Tabl. A2";#N/A,#N/A,FALSE,"Tabl. A2-1";#N/A,#N/A,FALSE,"Tabl. A2-2"}</definedName>
    <definedName name="wrn.Tableaux._.A." localSheetId="5" hidden="1">{#N/A,#N/A,FALSE,"Tabl. A1";#N/A,#N/A,FALSE,"Tabl. A1 b";#N/A,#N/A,FALSE,"Tabl. A2";#N/A,#N/A,FALSE,"Tabl. A2-1";#N/A,#N/A,FALSE,"Tabl. A2-2"}</definedName>
    <definedName name="wrn.Tableaux._.A." localSheetId="6" hidden="1">{#N/A,#N/A,FALSE,"Tabl. A1";#N/A,#N/A,FALSE,"Tabl. A1 b";#N/A,#N/A,FALSE,"Tabl. A2";#N/A,#N/A,FALSE,"Tabl. A2-1";#N/A,#N/A,FALSE,"Tabl. A2-2"}</definedName>
    <definedName name="wrn.Tableaux._.A." localSheetId="7" hidden="1">{#N/A,#N/A,FALSE,"Tabl. A1";#N/A,#N/A,FALSE,"Tabl. A1 b";#N/A,#N/A,FALSE,"Tabl. A2";#N/A,#N/A,FALSE,"Tabl. A2-1";#N/A,#N/A,FALSE,"Tabl. A2-2"}</definedName>
    <definedName name="wrn.Tableaux._.A." localSheetId="9" hidden="1">{#N/A,#N/A,FALSE,"Tabl. A1";#N/A,#N/A,FALSE,"Tabl. A1 b";#N/A,#N/A,FALSE,"Tabl. A2";#N/A,#N/A,FALSE,"Tabl. A2-1";#N/A,#N/A,FALSE,"Tabl. A2-2"}</definedName>
    <definedName name="wrn.Tableaux._.A." localSheetId="10" hidden="1">{#N/A,#N/A,FALSE,"Tabl. A1";#N/A,#N/A,FALSE,"Tabl. A1 b";#N/A,#N/A,FALSE,"Tabl. A2";#N/A,#N/A,FALSE,"Tabl. A2-1";#N/A,#N/A,FALSE,"Tabl. A2-2"}</definedName>
    <definedName name="wrn.Tableaux._.A." localSheetId="11" hidden="1">{#N/A,#N/A,FALSE,"Tabl. A1";#N/A,#N/A,FALSE,"Tabl. A1 b";#N/A,#N/A,FALSE,"Tabl. A2";#N/A,#N/A,FALSE,"Tabl. A2-1";#N/A,#N/A,FALSE,"Tabl. A2-2"}</definedName>
    <definedName name="wrn.Tableaux._.A." localSheetId="12" hidden="1">{#N/A,#N/A,FALSE,"Tabl. A1";#N/A,#N/A,FALSE,"Tabl. A1 b";#N/A,#N/A,FALSE,"Tabl. A2";#N/A,#N/A,FALSE,"Tabl. A2-1";#N/A,#N/A,FALSE,"Tabl. A2-2"}</definedName>
    <definedName name="wrn.Tableaux._.A." localSheetId="13" hidden="1">{#N/A,#N/A,FALSE,"Tabl. A1";#N/A,#N/A,FALSE,"Tabl. A1 b";#N/A,#N/A,FALSE,"Tabl. A2";#N/A,#N/A,FALSE,"Tabl. A2-1";#N/A,#N/A,FALSE,"Tabl. A2-2"}</definedName>
    <definedName name="wrn.Tableaux._.A." localSheetId="14" hidden="1">{#N/A,#N/A,FALSE,"Tabl. A1";#N/A,#N/A,FALSE,"Tabl. A1 b";#N/A,#N/A,FALSE,"Tabl. A2";#N/A,#N/A,FALSE,"Tabl. A2-1";#N/A,#N/A,FALSE,"Tabl. A2-2"}</definedName>
    <definedName name="wrn.Tableaux._.A." localSheetId="15" hidden="1">{#N/A,#N/A,FALSE,"Tabl. A1";#N/A,#N/A,FALSE,"Tabl. A1 b";#N/A,#N/A,FALSE,"Tabl. A2";#N/A,#N/A,FALSE,"Tabl. A2-1";#N/A,#N/A,FALSE,"Tabl. A2-2"}</definedName>
    <definedName name="wrn.Tableaux._.A." localSheetId="20" hidden="1">{#N/A,#N/A,FALSE,"Tabl. A1";#N/A,#N/A,FALSE,"Tabl. A1 b";#N/A,#N/A,FALSE,"Tabl. A2";#N/A,#N/A,FALSE,"Tabl. A2-1";#N/A,#N/A,FALSE,"Tabl. A2-2"}</definedName>
    <definedName name="wrn.Tableaux._.A." localSheetId="21" hidden="1">{#N/A,#N/A,FALSE,"Tabl. A1";#N/A,#N/A,FALSE,"Tabl. A1 b";#N/A,#N/A,FALSE,"Tabl. A2";#N/A,#N/A,FALSE,"Tabl. A2-1";#N/A,#N/A,FALSE,"Tabl. A2-2"}</definedName>
    <definedName name="wrn.Tableaux._.A." localSheetId="22" hidden="1">{#N/A,#N/A,FALSE,"Tabl. A1";#N/A,#N/A,FALSE,"Tabl. A1 b";#N/A,#N/A,FALSE,"Tabl. A2";#N/A,#N/A,FALSE,"Tabl. A2-1";#N/A,#N/A,FALSE,"Tabl. A2-2"}</definedName>
    <definedName name="wrn.Tableaux._.A." localSheetId="23" hidden="1">{#N/A,#N/A,FALSE,"Tabl. A1";#N/A,#N/A,FALSE,"Tabl. A1 b";#N/A,#N/A,FALSE,"Tabl. A2";#N/A,#N/A,FALSE,"Tabl. A2-1";#N/A,#N/A,FALSE,"Tabl. A2-2"}</definedName>
    <definedName name="wrn.Tableaux._.A." localSheetId="24" hidden="1">{#N/A,#N/A,FALSE,"Tabl. A1";#N/A,#N/A,FALSE,"Tabl. A1 b";#N/A,#N/A,FALSE,"Tabl. A2";#N/A,#N/A,FALSE,"Tabl. A2-1";#N/A,#N/A,FALSE,"Tabl. A2-2"}</definedName>
    <definedName name="wrn.Tableaux._.A." localSheetId="25" hidden="1">{#N/A,#N/A,FALSE,"Tabl. A1";#N/A,#N/A,FALSE,"Tabl. A1 b";#N/A,#N/A,FALSE,"Tabl. A2";#N/A,#N/A,FALSE,"Tabl. A2-1";#N/A,#N/A,FALSE,"Tabl. A2-2"}</definedName>
    <definedName name="wrn.Tableaux._.A." localSheetId="26" hidden="1">{#N/A,#N/A,FALSE,"Tabl. A1";#N/A,#N/A,FALSE,"Tabl. A1 b";#N/A,#N/A,FALSE,"Tabl. A2";#N/A,#N/A,FALSE,"Tabl. A2-1";#N/A,#N/A,FALSE,"Tabl. A2-2"}</definedName>
    <definedName name="wrn.Tableaux._.A." localSheetId="27" hidden="1">{#N/A,#N/A,FALSE,"Tabl. A1";#N/A,#N/A,FALSE,"Tabl. A1 b";#N/A,#N/A,FALSE,"Tabl. A2";#N/A,#N/A,FALSE,"Tabl. A2-1";#N/A,#N/A,FALSE,"Tabl. A2-2"}</definedName>
    <definedName name="wrn.Tableaux._.A." localSheetId="28" hidden="1">{#N/A,#N/A,FALSE,"Tabl. A1";#N/A,#N/A,FALSE,"Tabl. A1 b";#N/A,#N/A,FALSE,"Tabl. A2";#N/A,#N/A,FALSE,"Tabl. A2-1";#N/A,#N/A,FALSE,"Tabl. A2-2"}</definedName>
    <definedName name="wrn.Tableaux._.A." localSheetId="29" hidden="1">{#N/A,#N/A,FALSE,"Tabl. A1";#N/A,#N/A,FALSE,"Tabl. A1 b";#N/A,#N/A,FALSE,"Tabl. A2";#N/A,#N/A,FALSE,"Tabl. A2-1";#N/A,#N/A,FALSE,"Tabl. A2-2"}</definedName>
    <definedName name="wrn.Tableaux._.A." localSheetId="30" hidden="1">{#N/A,#N/A,FALSE,"Tabl. A1";#N/A,#N/A,FALSE,"Tabl. A1 b";#N/A,#N/A,FALSE,"Tabl. A2";#N/A,#N/A,FALSE,"Tabl. A2-1";#N/A,#N/A,FALSE,"Tabl. A2-2"}</definedName>
    <definedName name="wrn.Tableaux._.A." localSheetId="31" hidden="1">{#N/A,#N/A,FALSE,"Tabl. A1";#N/A,#N/A,FALSE,"Tabl. A1 b";#N/A,#N/A,FALSE,"Tabl. A2";#N/A,#N/A,FALSE,"Tabl. A2-1";#N/A,#N/A,FALSE,"Tabl. A2-2"}</definedName>
    <definedName name="wrn.Tableaux._.A." localSheetId="32" hidden="1">{#N/A,#N/A,FALSE,"Tabl. A1";#N/A,#N/A,FALSE,"Tabl. A1 b";#N/A,#N/A,FALSE,"Tabl. A2";#N/A,#N/A,FALSE,"Tabl. A2-1";#N/A,#N/A,FALSE,"Tabl. A2-2"}</definedName>
    <definedName name="wrn.Tableaux._.A." hidden="1">{#N/A,#N/A,FALSE,"Tabl. A1";#N/A,#N/A,FALSE,"Tabl. A1 b";#N/A,#N/A,FALSE,"Tabl. A2";#N/A,#N/A,FALSE,"Tabl. A2-1";#N/A,#N/A,FALSE,"Tabl. A2-2"}</definedName>
    <definedName name="wrn.Tableaux._.D." localSheetId="3" hidden="1">{#N/A,#N/A,FALSE,"Tabl. D1";#N/A,#N/A,FALSE,"Tabl. D1 b";#N/A,#N/A,FALSE,"Tabl. D2";#N/A,#N/A,FALSE,"Tabl. D2 b";#N/A,#N/A,FALSE,"Tabl. D3";#N/A,#N/A,FALSE,"Tabl. D4";#N/A,#N/A,FALSE,"Tabl. D5"}</definedName>
    <definedName name="wrn.Tableaux._.D." localSheetId="5" hidden="1">{#N/A,#N/A,FALSE,"Tabl. D1";#N/A,#N/A,FALSE,"Tabl. D1 b";#N/A,#N/A,FALSE,"Tabl. D2";#N/A,#N/A,FALSE,"Tabl. D2 b";#N/A,#N/A,FALSE,"Tabl. D3";#N/A,#N/A,FALSE,"Tabl. D4";#N/A,#N/A,FALSE,"Tabl. D5"}</definedName>
    <definedName name="wrn.Tableaux._.D." localSheetId="6" hidden="1">{#N/A,#N/A,FALSE,"Tabl. D1";#N/A,#N/A,FALSE,"Tabl. D1 b";#N/A,#N/A,FALSE,"Tabl. D2";#N/A,#N/A,FALSE,"Tabl. D2 b";#N/A,#N/A,FALSE,"Tabl. D3";#N/A,#N/A,FALSE,"Tabl. D4";#N/A,#N/A,FALSE,"Tabl. D5"}</definedName>
    <definedName name="wrn.Tableaux._.D." localSheetId="7" hidden="1">{#N/A,#N/A,FALSE,"Tabl. D1";#N/A,#N/A,FALSE,"Tabl. D1 b";#N/A,#N/A,FALSE,"Tabl. D2";#N/A,#N/A,FALSE,"Tabl. D2 b";#N/A,#N/A,FALSE,"Tabl. D3";#N/A,#N/A,FALSE,"Tabl. D4";#N/A,#N/A,FALSE,"Tabl. D5"}</definedName>
    <definedName name="wrn.Tableaux._.D." localSheetId="9" hidden="1">{#N/A,#N/A,FALSE,"Tabl. D1";#N/A,#N/A,FALSE,"Tabl. D1 b";#N/A,#N/A,FALSE,"Tabl. D2";#N/A,#N/A,FALSE,"Tabl. D2 b";#N/A,#N/A,FALSE,"Tabl. D3";#N/A,#N/A,FALSE,"Tabl. D4";#N/A,#N/A,FALSE,"Tabl. D5"}</definedName>
    <definedName name="wrn.Tableaux._.D." localSheetId="10" hidden="1">{#N/A,#N/A,FALSE,"Tabl. D1";#N/A,#N/A,FALSE,"Tabl. D1 b";#N/A,#N/A,FALSE,"Tabl. D2";#N/A,#N/A,FALSE,"Tabl. D2 b";#N/A,#N/A,FALSE,"Tabl. D3";#N/A,#N/A,FALSE,"Tabl. D4";#N/A,#N/A,FALSE,"Tabl. D5"}</definedName>
    <definedName name="wrn.Tableaux._.D." localSheetId="11" hidden="1">{#N/A,#N/A,FALSE,"Tabl. D1";#N/A,#N/A,FALSE,"Tabl. D1 b";#N/A,#N/A,FALSE,"Tabl. D2";#N/A,#N/A,FALSE,"Tabl. D2 b";#N/A,#N/A,FALSE,"Tabl. D3";#N/A,#N/A,FALSE,"Tabl. D4";#N/A,#N/A,FALSE,"Tabl. D5"}</definedName>
    <definedName name="wrn.Tableaux._.D." localSheetId="12" hidden="1">{#N/A,#N/A,FALSE,"Tabl. D1";#N/A,#N/A,FALSE,"Tabl. D1 b";#N/A,#N/A,FALSE,"Tabl. D2";#N/A,#N/A,FALSE,"Tabl. D2 b";#N/A,#N/A,FALSE,"Tabl. D3";#N/A,#N/A,FALSE,"Tabl. D4";#N/A,#N/A,FALSE,"Tabl. D5"}</definedName>
    <definedName name="wrn.Tableaux._.D." localSheetId="13" hidden="1">{#N/A,#N/A,FALSE,"Tabl. D1";#N/A,#N/A,FALSE,"Tabl. D1 b";#N/A,#N/A,FALSE,"Tabl. D2";#N/A,#N/A,FALSE,"Tabl. D2 b";#N/A,#N/A,FALSE,"Tabl. D3";#N/A,#N/A,FALSE,"Tabl. D4";#N/A,#N/A,FALSE,"Tabl. D5"}</definedName>
    <definedName name="wrn.Tableaux._.D." localSheetId="14" hidden="1">{#N/A,#N/A,FALSE,"Tabl. D1";#N/A,#N/A,FALSE,"Tabl. D1 b";#N/A,#N/A,FALSE,"Tabl. D2";#N/A,#N/A,FALSE,"Tabl. D2 b";#N/A,#N/A,FALSE,"Tabl. D3";#N/A,#N/A,FALSE,"Tabl. D4";#N/A,#N/A,FALSE,"Tabl. D5"}</definedName>
    <definedName name="wrn.Tableaux._.D." localSheetId="15" hidden="1">{#N/A,#N/A,FALSE,"Tabl. D1";#N/A,#N/A,FALSE,"Tabl. D1 b";#N/A,#N/A,FALSE,"Tabl. D2";#N/A,#N/A,FALSE,"Tabl. D2 b";#N/A,#N/A,FALSE,"Tabl. D3";#N/A,#N/A,FALSE,"Tabl. D4";#N/A,#N/A,FALSE,"Tabl. D5"}</definedName>
    <definedName name="wrn.Tableaux._.D." localSheetId="20" hidden="1">{#N/A,#N/A,FALSE,"Tabl. D1";#N/A,#N/A,FALSE,"Tabl. D1 b";#N/A,#N/A,FALSE,"Tabl. D2";#N/A,#N/A,FALSE,"Tabl. D2 b";#N/A,#N/A,FALSE,"Tabl. D3";#N/A,#N/A,FALSE,"Tabl. D4";#N/A,#N/A,FALSE,"Tabl. D5"}</definedName>
    <definedName name="wrn.Tableaux._.D." localSheetId="21" hidden="1">{#N/A,#N/A,FALSE,"Tabl. D1";#N/A,#N/A,FALSE,"Tabl. D1 b";#N/A,#N/A,FALSE,"Tabl. D2";#N/A,#N/A,FALSE,"Tabl. D2 b";#N/A,#N/A,FALSE,"Tabl. D3";#N/A,#N/A,FALSE,"Tabl. D4";#N/A,#N/A,FALSE,"Tabl. D5"}</definedName>
    <definedName name="wrn.Tableaux._.D." localSheetId="22" hidden="1">{#N/A,#N/A,FALSE,"Tabl. D1";#N/A,#N/A,FALSE,"Tabl. D1 b";#N/A,#N/A,FALSE,"Tabl. D2";#N/A,#N/A,FALSE,"Tabl. D2 b";#N/A,#N/A,FALSE,"Tabl. D3";#N/A,#N/A,FALSE,"Tabl. D4";#N/A,#N/A,FALSE,"Tabl. D5"}</definedName>
    <definedName name="wrn.Tableaux._.D." localSheetId="23" hidden="1">{#N/A,#N/A,FALSE,"Tabl. D1";#N/A,#N/A,FALSE,"Tabl. D1 b";#N/A,#N/A,FALSE,"Tabl. D2";#N/A,#N/A,FALSE,"Tabl. D2 b";#N/A,#N/A,FALSE,"Tabl. D3";#N/A,#N/A,FALSE,"Tabl. D4";#N/A,#N/A,FALSE,"Tabl. D5"}</definedName>
    <definedName name="wrn.Tableaux._.D." localSheetId="24" hidden="1">{#N/A,#N/A,FALSE,"Tabl. D1";#N/A,#N/A,FALSE,"Tabl. D1 b";#N/A,#N/A,FALSE,"Tabl. D2";#N/A,#N/A,FALSE,"Tabl. D2 b";#N/A,#N/A,FALSE,"Tabl. D3";#N/A,#N/A,FALSE,"Tabl. D4";#N/A,#N/A,FALSE,"Tabl. D5"}</definedName>
    <definedName name="wrn.Tableaux._.D." localSheetId="25" hidden="1">{#N/A,#N/A,FALSE,"Tabl. D1";#N/A,#N/A,FALSE,"Tabl. D1 b";#N/A,#N/A,FALSE,"Tabl. D2";#N/A,#N/A,FALSE,"Tabl. D2 b";#N/A,#N/A,FALSE,"Tabl. D3";#N/A,#N/A,FALSE,"Tabl. D4";#N/A,#N/A,FALSE,"Tabl. D5"}</definedName>
    <definedName name="wrn.Tableaux._.D." localSheetId="26" hidden="1">{#N/A,#N/A,FALSE,"Tabl. D1";#N/A,#N/A,FALSE,"Tabl. D1 b";#N/A,#N/A,FALSE,"Tabl. D2";#N/A,#N/A,FALSE,"Tabl. D2 b";#N/A,#N/A,FALSE,"Tabl. D3";#N/A,#N/A,FALSE,"Tabl. D4";#N/A,#N/A,FALSE,"Tabl. D5"}</definedName>
    <definedName name="wrn.Tableaux._.D." localSheetId="27" hidden="1">{#N/A,#N/A,FALSE,"Tabl. D1";#N/A,#N/A,FALSE,"Tabl. D1 b";#N/A,#N/A,FALSE,"Tabl. D2";#N/A,#N/A,FALSE,"Tabl. D2 b";#N/A,#N/A,FALSE,"Tabl. D3";#N/A,#N/A,FALSE,"Tabl. D4";#N/A,#N/A,FALSE,"Tabl. D5"}</definedName>
    <definedName name="wrn.Tableaux._.D." localSheetId="28" hidden="1">{#N/A,#N/A,FALSE,"Tabl. D1";#N/A,#N/A,FALSE,"Tabl. D1 b";#N/A,#N/A,FALSE,"Tabl. D2";#N/A,#N/A,FALSE,"Tabl. D2 b";#N/A,#N/A,FALSE,"Tabl. D3";#N/A,#N/A,FALSE,"Tabl. D4";#N/A,#N/A,FALSE,"Tabl. D5"}</definedName>
    <definedName name="wrn.Tableaux._.D." localSheetId="29" hidden="1">{#N/A,#N/A,FALSE,"Tabl. D1";#N/A,#N/A,FALSE,"Tabl. D1 b";#N/A,#N/A,FALSE,"Tabl. D2";#N/A,#N/A,FALSE,"Tabl. D2 b";#N/A,#N/A,FALSE,"Tabl. D3";#N/A,#N/A,FALSE,"Tabl. D4";#N/A,#N/A,FALSE,"Tabl. D5"}</definedName>
    <definedName name="wrn.Tableaux._.D." localSheetId="30" hidden="1">{#N/A,#N/A,FALSE,"Tabl. D1";#N/A,#N/A,FALSE,"Tabl. D1 b";#N/A,#N/A,FALSE,"Tabl. D2";#N/A,#N/A,FALSE,"Tabl. D2 b";#N/A,#N/A,FALSE,"Tabl. D3";#N/A,#N/A,FALSE,"Tabl. D4";#N/A,#N/A,FALSE,"Tabl. D5"}</definedName>
    <definedName name="wrn.Tableaux._.D." localSheetId="31" hidden="1">{#N/A,#N/A,FALSE,"Tabl. D1";#N/A,#N/A,FALSE,"Tabl. D1 b";#N/A,#N/A,FALSE,"Tabl. D2";#N/A,#N/A,FALSE,"Tabl. D2 b";#N/A,#N/A,FALSE,"Tabl. D3";#N/A,#N/A,FALSE,"Tabl. D4";#N/A,#N/A,FALSE,"Tabl. D5"}</definedName>
    <definedName name="wrn.Tableaux._.D." localSheetId="32" hidden="1">{#N/A,#N/A,FALSE,"Tabl. D1";#N/A,#N/A,FALSE,"Tabl. D1 b";#N/A,#N/A,FALSE,"Tabl. D2";#N/A,#N/A,FALSE,"Tabl. D2 b";#N/A,#N/A,FALSE,"Tabl. D3";#N/A,#N/A,FALSE,"Tabl. D4";#N/A,#N/A,FALSE,"Tabl. D5"}</definedName>
    <definedName name="wrn.Tableaux._.D." hidden="1">{#N/A,#N/A,FALSE,"Tabl. D1";#N/A,#N/A,FALSE,"Tabl. D1 b";#N/A,#N/A,FALSE,"Tabl. D2";#N/A,#N/A,FALSE,"Tabl. D2 b";#N/A,#N/A,FALSE,"Tabl. D3";#N/A,#N/A,FALSE,"Tabl. D4";#N/A,#N/A,FALSE,"Tabl. D5"}</definedName>
    <definedName name="wrn.Tableaux._.F." localSheetId="3" hidden="1">{#N/A,#N/A,FALSE,"Tabl. FB300";#N/A,#N/A,FALSE,"Tabl. FB350";#N/A,#N/A,FALSE,"Tabl. FB400";#N/A,#N/A,FALSE,"Tabl. FB500";#N/A,#N/A,FALSE,"Tabl. FS090"}</definedName>
    <definedName name="wrn.Tableaux._.F." localSheetId="5" hidden="1">{#N/A,#N/A,FALSE,"Tabl. FB300";#N/A,#N/A,FALSE,"Tabl. FB350";#N/A,#N/A,FALSE,"Tabl. FB400";#N/A,#N/A,FALSE,"Tabl. FB500";#N/A,#N/A,FALSE,"Tabl. FS090"}</definedName>
    <definedName name="wrn.Tableaux._.F." localSheetId="6" hidden="1">{#N/A,#N/A,FALSE,"Tabl. FB300";#N/A,#N/A,FALSE,"Tabl. FB350";#N/A,#N/A,FALSE,"Tabl. FB400";#N/A,#N/A,FALSE,"Tabl. FB500";#N/A,#N/A,FALSE,"Tabl. FS090"}</definedName>
    <definedName name="wrn.Tableaux._.F." localSheetId="7" hidden="1">{#N/A,#N/A,FALSE,"Tabl. FB300";#N/A,#N/A,FALSE,"Tabl. FB350";#N/A,#N/A,FALSE,"Tabl. FB400";#N/A,#N/A,FALSE,"Tabl. FB500";#N/A,#N/A,FALSE,"Tabl. FS090"}</definedName>
    <definedName name="wrn.Tableaux._.F." localSheetId="9" hidden="1">{#N/A,#N/A,FALSE,"Tabl. FB300";#N/A,#N/A,FALSE,"Tabl. FB350";#N/A,#N/A,FALSE,"Tabl. FB400";#N/A,#N/A,FALSE,"Tabl. FB500";#N/A,#N/A,FALSE,"Tabl. FS090"}</definedName>
    <definedName name="wrn.Tableaux._.F." localSheetId="10" hidden="1">{#N/A,#N/A,FALSE,"Tabl. FB300";#N/A,#N/A,FALSE,"Tabl. FB350";#N/A,#N/A,FALSE,"Tabl. FB400";#N/A,#N/A,FALSE,"Tabl. FB500";#N/A,#N/A,FALSE,"Tabl. FS090"}</definedName>
    <definedName name="wrn.Tableaux._.F." localSheetId="11" hidden="1">{#N/A,#N/A,FALSE,"Tabl. FB300";#N/A,#N/A,FALSE,"Tabl. FB350";#N/A,#N/A,FALSE,"Tabl. FB400";#N/A,#N/A,FALSE,"Tabl. FB500";#N/A,#N/A,FALSE,"Tabl. FS090"}</definedName>
    <definedName name="wrn.Tableaux._.F." localSheetId="12" hidden="1">{#N/A,#N/A,FALSE,"Tabl. FB300";#N/A,#N/A,FALSE,"Tabl. FB350";#N/A,#N/A,FALSE,"Tabl. FB400";#N/A,#N/A,FALSE,"Tabl. FB500";#N/A,#N/A,FALSE,"Tabl. FS090"}</definedName>
    <definedName name="wrn.Tableaux._.F." localSheetId="13" hidden="1">{#N/A,#N/A,FALSE,"Tabl. FB300";#N/A,#N/A,FALSE,"Tabl. FB350";#N/A,#N/A,FALSE,"Tabl. FB400";#N/A,#N/A,FALSE,"Tabl. FB500";#N/A,#N/A,FALSE,"Tabl. FS090"}</definedName>
    <definedName name="wrn.Tableaux._.F." localSheetId="14" hidden="1">{#N/A,#N/A,FALSE,"Tabl. FB300";#N/A,#N/A,FALSE,"Tabl. FB350";#N/A,#N/A,FALSE,"Tabl. FB400";#N/A,#N/A,FALSE,"Tabl. FB500";#N/A,#N/A,FALSE,"Tabl. FS090"}</definedName>
    <definedName name="wrn.Tableaux._.F." localSheetId="15" hidden="1">{#N/A,#N/A,FALSE,"Tabl. FB300";#N/A,#N/A,FALSE,"Tabl. FB350";#N/A,#N/A,FALSE,"Tabl. FB400";#N/A,#N/A,FALSE,"Tabl. FB500";#N/A,#N/A,FALSE,"Tabl. FS090"}</definedName>
    <definedName name="wrn.Tableaux._.F." localSheetId="20" hidden="1">{#N/A,#N/A,FALSE,"Tabl. FB300";#N/A,#N/A,FALSE,"Tabl. FB350";#N/A,#N/A,FALSE,"Tabl. FB400";#N/A,#N/A,FALSE,"Tabl. FB500";#N/A,#N/A,FALSE,"Tabl. FS090"}</definedName>
    <definedName name="wrn.Tableaux._.F." localSheetId="21" hidden="1">{#N/A,#N/A,FALSE,"Tabl. FB300";#N/A,#N/A,FALSE,"Tabl. FB350";#N/A,#N/A,FALSE,"Tabl. FB400";#N/A,#N/A,FALSE,"Tabl. FB500";#N/A,#N/A,FALSE,"Tabl. FS090"}</definedName>
    <definedName name="wrn.Tableaux._.F." localSheetId="22" hidden="1">{#N/A,#N/A,FALSE,"Tabl. FB300";#N/A,#N/A,FALSE,"Tabl. FB350";#N/A,#N/A,FALSE,"Tabl. FB400";#N/A,#N/A,FALSE,"Tabl. FB500";#N/A,#N/A,FALSE,"Tabl. FS090"}</definedName>
    <definedName name="wrn.Tableaux._.F." localSheetId="23" hidden="1">{#N/A,#N/A,FALSE,"Tabl. FB300";#N/A,#N/A,FALSE,"Tabl. FB350";#N/A,#N/A,FALSE,"Tabl. FB400";#N/A,#N/A,FALSE,"Tabl. FB500";#N/A,#N/A,FALSE,"Tabl. FS090"}</definedName>
    <definedName name="wrn.Tableaux._.F." localSheetId="24" hidden="1">{#N/A,#N/A,FALSE,"Tabl. FB300";#N/A,#N/A,FALSE,"Tabl. FB350";#N/A,#N/A,FALSE,"Tabl. FB400";#N/A,#N/A,FALSE,"Tabl. FB500";#N/A,#N/A,FALSE,"Tabl. FS090"}</definedName>
    <definedName name="wrn.Tableaux._.F." localSheetId="25" hidden="1">{#N/A,#N/A,FALSE,"Tabl. FB300";#N/A,#N/A,FALSE,"Tabl. FB350";#N/A,#N/A,FALSE,"Tabl. FB400";#N/A,#N/A,FALSE,"Tabl. FB500";#N/A,#N/A,FALSE,"Tabl. FS090"}</definedName>
    <definedName name="wrn.Tableaux._.F." localSheetId="26" hidden="1">{#N/A,#N/A,FALSE,"Tabl. FB300";#N/A,#N/A,FALSE,"Tabl. FB350";#N/A,#N/A,FALSE,"Tabl. FB400";#N/A,#N/A,FALSE,"Tabl. FB500";#N/A,#N/A,FALSE,"Tabl. FS090"}</definedName>
    <definedName name="wrn.Tableaux._.F." localSheetId="27" hidden="1">{#N/A,#N/A,FALSE,"Tabl. FB300";#N/A,#N/A,FALSE,"Tabl. FB350";#N/A,#N/A,FALSE,"Tabl. FB400";#N/A,#N/A,FALSE,"Tabl. FB500";#N/A,#N/A,FALSE,"Tabl. FS090"}</definedName>
    <definedName name="wrn.Tableaux._.F." localSheetId="28" hidden="1">{#N/A,#N/A,FALSE,"Tabl. FB300";#N/A,#N/A,FALSE,"Tabl. FB350";#N/A,#N/A,FALSE,"Tabl. FB400";#N/A,#N/A,FALSE,"Tabl. FB500";#N/A,#N/A,FALSE,"Tabl. FS090"}</definedName>
    <definedName name="wrn.Tableaux._.F." localSheetId="29" hidden="1">{#N/A,#N/A,FALSE,"Tabl. FB300";#N/A,#N/A,FALSE,"Tabl. FB350";#N/A,#N/A,FALSE,"Tabl. FB400";#N/A,#N/A,FALSE,"Tabl. FB500";#N/A,#N/A,FALSE,"Tabl. FS090"}</definedName>
    <definedName name="wrn.Tableaux._.F." localSheetId="30" hidden="1">{#N/A,#N/A,FALSE,"Tabl. FB300";#N/A,#N/A,FALSE,"Tabl. FB350";#N/A,#N/A,FALSE,"Tabl. FB400";#N/A,#N/A,FALSE,"Tabl. FB500";#N/A,#N/A,FALSE,"Tabl. FS090"}</definedName>
    <definedName name="wrn.Tableaux._.F." localSheetId="31" hidden="1">{#N/A,#N/A,FALSE,"Tabl. FB300";#N/A,#N/A,FALSE,"Tabl. FB350";#N/A,#N/A,FALSE,"Tabl. FB400";#N/A,#N/A,FALSE,"Tabl. FB500";#N/A,#N/A,FALSE,"Tabl. FS090"}</definedName>
    <definedName name="wrn.Tableaux._.F." localSheetId="32" hidden="1">{#N/A,#N/A,FALSE,"Tabl. FB300";#N/A,#N/A,FALSE,"Tabl. FB350";#N/A,#N/A,FALSE,"Tabl. FB400";#N/A,#N/A,FALSE,"Tabl. FB500";#N/A,#N/A,FALSE,"Tabl. FS090"}</definedName>
    <definedName name="wrn.Tableaux._.F." hidden="1">{#N/A,#N/A,FALSE,"Tabl. FB300";#N/A,#N/A,FALSE,"Tabl. FB350";#N/A,#N/A,FALSE,"Tabl. FB400";#N/A,#N/A,FALSE,"Tabl. FB500";#N/A,#N/A,FALSE,"Tabl. FS090"}</definedName>
    <definedName name="wrn.Tableaux._.G." localSheetId="3" hidden="1">{#N/A,#N/A,FALSE,"Tabl. G1";#N/A,#N/A,FALSE,"Tabl. G2"}</definedName>
    <definedName name="wrn.Tableaux._.G." localSheetId="5" hidden="1">{#N/A,#N/A,FALSE,"Tabl. G1";#N/A,#N/A,FALSE,"Tabl. G2"}</definedName>
    <definedName name="wrn.Tableaux._.G." localSheetId="6" hidden="1">{#N/A,#N/A,FALSE,"Tabl. G1";#N/A,#N/A,FALSE,"Tabl. G2"}</definedName>
    <definedName name="wrn.Tableaux._.G." localSheetId="7" hidden="1">{#N/A,#N/A,FALSE,"Tabl. G1";#N/A,#N/A,FALSE,"Tabl. G2"}</definedName>
    <definedName name="wrn.Tableaux._.G." localSheetId="9" hidden="1">{#N/A,#N/A,FALSE,"Tabl. G1";#N/A,#N/A,FALSE,"Tabl. G2"}</definedName>
    <definedName name="wrn.Tableaux._.G." localSheetId="10" hidden="1">{#N/A,#N/A,FALSE,"Tabl. G1";#N/A,#N/A,FALSE,"Tabl. G2"}</definedName>
    <definedName name="wrn.Tableaux._.G." localSheetId="11" hidden="1">{#N/A,#N/A,FALSE,"Tabl. G1";#N/A,#N/A,FALSE,"Tabl. G2"}</definedName>
    <definedName name="wrn.Tableaux._.G." localSheetId="12" hidden="1">{#N/A,#N/A,FALSE,"Tabl. G1";#N/A,#N/A,FALSE,"Tabl. G2"}</definedName>
    <definedName name="wrn.Tableaux._.G." localSheetId="13" hidden="1">{#N/A,#N/A,FALSE,"Tabl. G1";#N/A,#N/A,FALSE,"Tabl. G2"}</definedName>
    <definedName name="wrn.Tableaux._.G." localSheetId="14" hidden="1">{#N/A,#N/A,FALSE,"Tabl. G1";#N/A,#N/A,FALSE,"Tabl. G2"}</definedName>
    <definedName name="wrn.Tableaux._.G." localSheetId="15" hidden="1">{#N/A,#N/A,FALSE,"Tabl. G1";#N/A,#N/A,FALSE,"Tabl. G2"}</definedName>
    <definedName name="wrn.Tableaux._.G." localSheetId="20" hidden="1">{#N/A,#N/A,FALSE,"Tabl. G1";#N/A,#N/A,FALSE,"Tabl. G2"}</definedName>
    <definedName name="wrn.Tableaux._.G." localSheetId="21" hidden="1">{#N/A,#N/A,FALSE,"Tabl. G1";#N/A,#N/A,FALSE,"Tabl. G2"}</definedName>
    <definedName name="wrn.Tableaux._.G." localSheetId="22" hidden="1">{#N/A,#N/A,FALSE,"Tabl. G1";#N/A,#N/A,FALSE,"Tabl. G2"}</definedName>
    <definedName name="wrn.Tableaux._.G." localSheetId="23" hidden="1">{#N/A,#N/A,FALSE,"Tabl. G1";#N/A,#N/A,FALSE,"Tabl. G2"}</definedName>
    <definedName name="wrn.Tableaux._.G." localSheetId="24" hidden="1">{#N/A,#N/A,FALSE,"Tabl. G1";#N/A,#N/A,FALSE,"Tabl. G2"}</definedName>
    <definedName name="wrn.Tableaux._.G." localSheetId="25" hidden="1">{#N/A,#N/A,FALSE,"Tabl. G1";#N/A,#N/A,FALSE,"Tabl. G2"}</definedName>
    <definedName name="wrn.Tableaux._.G." localSheetId="26" hidden="1">{#N/A,#N/A,FALSE,"Tabl. G1";#N/A,#N/A,FALSE,"Tabl. G2"}</definedName>
    <definedName name="wrn.Tableaux._.G." localSheetId="27" hidden="1">{#N/A,#N/A,FALSE,"Tabl. G1";#N/A,#N/A,FALSE,"Tabl. G2"}</definedName>
    <definedName name="wrn.Tableaux._.G." localSheetId="28" hidden="1">{#N/A,#N/A,FALSE,"Tabl. G1";#N/A,#N/A,FALSE,"Tabl. G2"}</definedName>
    <definedName name="wrn.Tableaux._.G." localSheetId="29" hidden="1">{#N/A,#N/A,FALSE,"Tabl. G1";#N/A,#N/A,FALSE,"Tabl. G2"}</definedName>
    <definedName name="wrn.Tableaux._.G." localSheetId="30" hidden="1">{#N/A,#N/A,FALSE,"Tabl. G1";#N/A,#N/A,FALSE,"Tabl. G2"}</definedName>
    <definedName name="wrn.Tableaux._.G." localSheetId="31" hidden="1">{#N/A,#N/A,FALSE,"Tabl. G1";#N/A,#N/A,FALSE,"Tabl. G2"}</definedName>
    <definedName name="wrn.Tableaux._.G." localSheetId="32" hidden="1">{#N/A,#N/A,FALSE,"Tabl. G1";#N/A,#N/A,FALSE,"Tabl. G2"}</definedName>
    <definedName name="wrn.Tableaux._.G." hidden="1">{#N/A,#N/A,FALSE,"Tabl. G1";#N/A,#N/A,FALSE,"Tabl. G2"}</definedName>
    <definedName name="wrn.Tableaux._.H." localSheetId="3" hidden="1">{#N/A,#N/A,FALSE,"Tabl. H1";#N/A,#N/A,FALSE,"Tabl. H2"}</definedName>
    <definedName name="wrn.Tableaux._.H." localSheetId="5" hidden="1">{#N/A,#N/A,FALSE,"Tabl. H1";#N/A,#N/A,FALSE,"Tabl. H2"}</definedName>
    <definedName name="wrn.Tableaux._.H." localSheetId="6" hidden="1">{#N/A,#N/A,FALSE,"Tabl. H1";#N/A,#N/A,FALSE,"Tabl. H2"}</definedName>
    <definedName name="wrn.Tableaux._.H." localSheetId="7" hidden="1">{#N/A,#N/A,FALSE,"Tabl. H1";#N/A,#N/A,FALSE,"Tabl. H2"}</definedName>
    <definedName name="wrn.Tableaux._.H." localSheetId="9" hidden="1">{#N/A,#N/A,FALSE,"Tabl. H1";#N/A,#N/A,FALSE,"Tabl. H2"}</definedName>
    <definedName name="wrn.Tableaux._.H." localSheetId="10" hidden="1">{#N/A,#N/A,FALSE,"Tabl. H1";#N/A,#N/A,FALSE,"Tabl. H2"}</definedName>
    <definedName name="wrn.Tableaux._.H." localSheetId="11" hidden="1">{#N/A,#N/A,FALSE,"Tabl. H1";#N/A,#N/A,FALSE,"Tabl. H2"}</definedName>
    <definedName name="wrn.Tableaux._.H." localSheetId="12" hidden="1">{#N/A,#N/A,FALSE,"Tabl. H1";#N/A,#N/A,FALSE,"Tabl. H2"}</definedName>
    <definedName name="wrn.Tableaux._.H." localSheetId="13" hidden="1">{#N/A,#N/A,FALSE,"Tabl. H1";#N/A,#N/A,FALSE,"Tabl. H2"}</definedName>
    <definedName name="wrn.Tableaux._.H." localSheetId="14" hidden="1">{#N/A,#N/A,FALSE,"Tabl. H1";#N/A,#N/A,FALSE,"Tabl. H2"}</definedName>
    <definedName name="wrn.Tableaux._.H." localSheetId="15" hidden="1">{#N/A,#N/A,FALSE,"Tabl. H1";#N/A,#N/A,FALSE,"Tabl. H2"}</definedName>
    <definedName name="wrn.Tableaux._.H." localSheetId="20" hidden="1">{#N/A,#N/A,FALSE,"Tabl. H1";#N/A,#N/A,FALSE,"Tabl. H2"}</definedName>
    <definedName name="wrn.Tableaux._.H." localSheetId="21" hidden="1">{#N/A,#N/A,FALSE,"Tabl. H1";#N/A,#N/A,FALSE,"Tabl. H2"}</definedName>
    <definedName name="wrn.Tableaux._.H." localSheetId="22" hidden="1">{#N/A,#N/A,FALSE,"Tabl. H1";#N/A,#N/A,FALSE,"Tabl. H2"}</definedName>
    <definedName name="wrn.Tableaux._.H." localSheetId="23" hidden="1">{#N/A,#N/A,FALSE,"Tabl. H1";#N/A,#N/A,FALSE,"Tabl. H2"}</definedName>
    <definedName name="wrn.Tableaux._.H." localSheetId="24" hidden="1">{#N/A,#N/A,FALSE,"Tabl. H1";#N/A,#N/A,FALSE,"Tabl. H2"}</definedName>
    <definedName name="wrn.Tableaux._.H." localSheetId="25" hidden="1">{#N/A,#N/A,FALSE,"Tabl. H1";#N/A,#N/A,FALSE,"Tabl. H2"}</definedName>
    <definedName name="wrn.Tableaux._.H." localSheetId="26" hidden="1">{#N/A,#N/A,FALSE,"Tabl. H1";#N/A,#N/A,FALSE,"Tabl. H2"}</definedName>
    <definedName name="wrn.Tableaux._.H." localSheetId="27" hidden="1">{#N/A,#N/A,FALSE,"Tabl. H1";#N/A,#N/A,FALSE,"Tabl. H2"}</definedName>
    <definedName name="wrn.Tableaux._.H." localSheetId="28" hidden="1">{#N/A,#N/A,FALSE,"Tabl. H1";#N/A,#N/A,FALSE,"Tabl. H2"}</definedName>
    <definedName name="wrn.Tableaux._.H." localSheetId="29" hidden="1">{#N/A,#N/A,FALSE,"Tabl. H1";#N/A,#N/A,FALSE,"Tabl. H2"}</definedName>
    <definedName name="wrn.Tableaux._.H." localSheetId="30" hidden="1">{#N/A,#N/A,FALSE,"Tabl. H1";#N/A,#N/A,FALSE,"Tabl. H2"}</definedName>
    <definedName name="wrn.Tableaux._.H." localSheetId="31" hidden="1">{#N/A,#N/A,FALSE,"Tabl. H1";#N/A,#N/A,FALSE,"Tabl. H2"}</definedName>
    <definedName name="wrn.Tableaux._.H." localSheetId="32" hidden="1">{#N/A,#N/A,FALSE,"Tabl. H1";#N/A,#N/A,FALSE,"Tabl. H2"}</definedName>
    <definedName name="wrn.Tableaux._.H." hidden="1">{#N/A,#N/A,FALSE,"Tabl. H1";#N/A,#N/A,FALSE,"Tabl. H2"}</definedName>
    <definedName name="wrn.temp." localSheetId="3" hidden="1">{#N/A,#N/A,FALSE,"AOESTOQ4";#N/A,#N/A,FALSE,"POSEST";#N/A,#N/A,FALSE,"CARBLIG";#N/A,#N/A,FALSE,"EV.PREÇO";#N/A,#N/A,FALSE,"AOQTDMIX7";#N/A,#N/A,FALSE,"AOPREÇO8";#N/A,#N/A,FALSE,"GRAFMIX9";#N/A,#N/A,FALSE,"GRAFRB10";#N/A,#N/A,FALSE,"GRAFCOMP11";#N/A,#N/A,FALSE,"AODPINDI12"}</definedName>
    <definedName name="wrn.temp." localSheetId="5" hidden="1">{#N/A,#N/A,FALSE,"AOESTOQ4";#N/A,#N/A,FALSE,"POSEST";#N/A,#N/A,FALSE,"CARBLIG";#N/A,#N/A,FALSE,"EV.PREÇO";#N/A,#N/A,FALSE,"AOQTDMIX7";#N/A,#N/A,FALSE,"AOPREÇO8";#N/A,#N/A,FALSE,"GRAFMIX9";#N/A,#N/A,FALSE,"GRAFRB10";#N/A,#N/A,FALSE,"GRAFCOMP11";#N/A,#N/A,FALSE,"AODPINDI12"}</definedName>
    <definedName name="wrn.temp." localSheetId="6" hidden="1">{#N/A,#N/A,FALSE,"AOESTOQ4";#N/A,#N/A,FALSE,"POSEST";#N/A,#N/A,FALSE,"CARBLIG";#N/A,#N/A,FALSE,"EV.PREÇO";#N/A,#N/A,FALSE,"AOQTDMIX7";#N/A,#N/A,FALSE,"AOPREÇO8";#N/A,#N/A,FALSE,"GRAFMIX9";#N/A,#N/A,FALSE,"GRAFRB10";#N/A,#N/A,FALSE,"GRAFCOMP11";#N/A,#N/A,FALSE,"AODPINDI12"}</definedName>
    <definedName name="wrn.temp." localSheetId="7" hidden="1">{#N/A,#N/A,FALSE,"AOESTOQ4";#N/A,#N/A,FALSE,"POSEST";#N/A,#N/A,FALSE,"CARBLIG";#N/A,#N/A,FALSE,"EV.PREÇO";#N/A,#N/A,FALSE,"AOQTDMIX7";#N/A,#N/A,FALSE,"AOPREÇO8";#N/A,#N/A,FALSE,"GRAFMIX9";#N/A,#N/A,FALSE,"GRAFRB10";#N/A,#N/A,FALSE,"GRAFCOMP11";#N/A,#N/A,FALSE,"AODPINDI12"}</definedName>
    <definedName name="wrn.temp." localSheetId="9" hidden="1">{#N/A,#N/A,FALSE,"AOESTOQ4";#N/A,#N/A,FALSE,"POSEST";#N/A,#N/A,FALSE,"CARBLIG";#N/A,#N/A,FALSE,"EV.PREÇO";#N/A,#N/A,FALSE,"AOQTDMIX7";#N/A,#N/A,FALSE,"AOPREÇO8";#N/A,#N/A,FALSE,"GRAFMIX9";#N/A,#N/A,FALSE,"GRAFRB10";#N/A,#N/A,FALSE,"GRAFCOMP11";#N/A,#N/A,FALSE,"AODPINDI12"}</definedName>
    <definedName name="wrn.temp." localSheetId="10" hidden="1">{#N/A,#N/A,FALSE,"AOESTOQ4";#N/A,#N/A,FALSE,"POSEST";#N/A,#N/A,FALSE,"CARBLIG";#N/A,#N/A,FALSE,"EV.PREÇO";#N/A,#N/A,FALSE,"AOQTDMIX7";#N/A,#N/A,FALSE,"AOPREÇO8";#N/A,#N/A,FALSE,"GRAFMIX9";#N/A,#N/A,FALSE,"GRAFRB10";#N/A,#N/A,FALSE,"GRAFCOMP11";#N/A,#N/A,FALSE,"AODPINDI12"}</definedName>
    <definedName name="wrn.temp." localSheetId="11" hidden="1">{#N/A,#N/A,FALSE,"AOESTOQ4";#N/A,#N/A,FALSE,"POSEST";#N/A,#N/A,FALSE,"CARBLIG";#N/A,#N/A,FALSE,"EV.PREÇO";#N/A,#N/A,FALSE,"AOQTDMIX7";#N/A,#N/A,FALSE,"AOPREÇO8";#N/A,#N/A,FALSE,"GRAFMIX9";#N/A,#N/A,FALSE,"GRAFRB10";#N/A,#N/A,FALSE,"GRAFCOMP11";#N/A,#N/A,FALSE,"AODPINDI12"}</definedName>
    <definedName name="wrn.temp." localSheetId="12" hidden="1">{#N/A,#N/A,FALSE,"AOESTOQ4";#N/A,#N/A,FALSE,"POSEST";#N/A,#N/A,FALSE,"CARBLIG";#N/A,#N/A,FALSE,"EV.PREÇO";#N/A,#N/A,FALSE,"AOQTDMIX7";#N/A,#N/A,FALSE,"AOPREÇO8";#N/A,#N/A,FALSE,"GRAFMIX9";#N/A,#N/A,FALSE,"GRAFRB10";#N/A,#N/A,FALSE,"GRAFCOMP11";#N/A,#N/A,FALSE,"AODPINDI12"}</definedName>
    <definedName name="wrn.temp." localSheetId="13" hidden="1">{#N/A,#N/A,FALSE,"AOESTOQ4";#N/A,#N/A,FALSE,"POSEST";#N/A,#N/A,FALSE,"CARBLIG";#N/A,#N/A,FALSE,"EV.PREÇO";#N/A,#N/A,FALSE,"AOQTDMIX7";#N/A,#N/A,FALSE,"AOPREÇO8";#N/A,#N/A,FALSE,"GRAFMIX9";#N/A,#N/A,FALSE,"GRAFRB10";#N/A,#N/A,FALSE,"GRAFCOMP11";#N/A,#N/A,FALSE,"AODPINDI12"}</definedName>
    <definedName name="wrn.temp." localSheetId="14" hidden="1">{#N/A,#N/A,FALSE,"AOESTOQ4";#N/A,#N/A,FALSE,"POSEST";#N/A,#N/A,FALSE,"CARBLIG";#N/A,#N/A,FALSE,"EV.PREÇO";#N/A,#N/A,FALSE,"AOQTDMIX7";#N/A,#N/A,FALSE,"AOPREÇO8";#N/A,#N/A,FALSE,"GRAFMIX9";#N/A,#N/A,FALSE,"GRAFRB10";#N/A,#N/A,FALSE,"GRAFCOMP11";#N/A,#N/A,FALSE,"AODPINDI12"}</definedName>
    <definedName name="wrn.temp." localSheetId="15" hidden="1">{#N/A,#N/A,FALSE,"AOESTOQ4";#N/A,#N/A,FALSE,"POSEST";#N/A,#N/A,FALSE,"CARBLIG";#N/A,#N/A,FALSE,"EV.PREÇO";#N/A,#N/A,FALSE,"AOQTDMIX7";#N/A,#N/A,FALSE,"AOPREÇO8";#N/A,#N/A,FALSE,"GRAFMIX9";#N/A,#N/A,FALSE,"GRAFRB10";#N/A,#N/A,FALSE,"GRAFCOMP11";#N/A,#N/A,FALSE,"AODPINDI12"}</definedName>
    <definedName name="wrn.temp." localSheetId="20" hidden="1">{#N/A,#N/A,FALSE,"AOESTOQ4";#N/A,#N/A,FALSE,"POSEST";#N/A,#N/A,FALSE,"CARBLIG";#N/A,#N/A,FALSE,"EV.PREÇO";#N/A,#N/A,FALSE,"AOQTDMIX7";#N/A,#N/A,FALSE,"AOPREÇO8";#N/A,#N/A,FALSE,"GRAFMIX9";#N/A,#N/A,FALSE,"GRAFRB10";#N/A,#N/A,FALSE,"GRAFCOMP11";#N/A,#N/A,FALSE,"AODPINDI12"}</definedName>
    <definedName name="wrn.temp." localSheetId="21" hidden="1">{#N/A,#N/A,FALSE,"AOESTOQ4";#N/A,#N/A,FALSE,"POSEST";#N/A,#N/A,FALSE,"CARBLIG";#N/A,#N/A,FALSE,"EV.PREÇO";#N/A,#N/A,FALSE,"AOQTDMIX7";#N/A,#N/A,FALSE,"AOPREÇO8";#N/A,#N/A,FALSE,"GRAFMIX9";#N/A,#N/A,FALSE,"GRAFRB10";#N/A,#N/A,FALSE,"GRAFCOMP11";#N/A,#N/A,FALSE,"AODPINDI12"}</definedName>
    <definedName name="wrn.temp." localSheetId="22" hidden="1">{#N/A,#N/A,FALSE,"AOESTOQ4";#N/A,#N/A,FALSE,"POSEST";#N/A,#N/A,FALSE,"CARBLIG";#N/A,#N/A,FALSE,"EV.PREÇO";#N/A,#N/A,FALSE,"AOQTDMIX7";#N/A,#N/A,FALSE,"AOPREÇO8";#N/A,#N/A,FALSE,"GRAFMIX9";#N/A,#N/A,FALSE,"GRAFRB10";#N/A,#N/A,FALSE,"GRAFCOMP11";#N/A,#N/A,FALSE,"AODPINDI12"}</definedName>
    <definedName name="wrn.temp." localSheetId="23" hidden="1">{#N/A,#N/A,FALSE,"AOESTOQ4";#N/A,#N/A,FALSE,"POSEST";#N/A,#N/A,FALSE,"CARBLIG";#N/A,#N/A,FALSE,"EV.PREÇO";#N/A,#N/A,FALSE,"AOQTDMIX7";#N/A,#N/A,FALSE,"AOPREÇO8";#N/A,#N/A,FALSE,"GRAFMIX9";#N/A,#N/A,FALSE,"GRAFRB10";#N/A,#N/A,FALSE,"GRAFCOMP11";#N/A,#N/A,FALSE,"AODPINDI12"}</definedName>
    <definedName name="wrn.temp." localSheetId="24" hidden="1">{#N/A,#N/A,FALSE,"AOESTOQ4";#N/A,#N/A,FALSE,"POSEST";#N/A,#N/A,FALSE,"CARBLIG";#N/A,#N/A,FALSE,"EV.PREÇO";#N/A,#N/A,FALSE,"AOQTDMIX7";#N/A,#N/A,FALSE,"AOPREÇO8";#N/A,#N/A,FALSE,"GRAFMIX9";#N/A,#N/A,FALSE,"GRAFRB10";#N/A,#N/A,FALSE,"GRAFCOMP11";#N/A,#N/A,FALSE,"AODPINDI12"}</definedName>
    <definedName name="wrn.temp." localSheetId="25" hidden="1">{#N/A,#N/A,FALSE,"AOESTOQ4";#N/A,#N/A,FALSE,"POSEST";#N/A,#N/A,FALSE,"CARBLIG";#N/A,#N/A,FALSE,"EV.PREÇO";#N/A,#N/A,FALSE,"AOQTDMIX7";#N/A,#N/A,FALSE,"AOPREÇO8";#N/A,#N/A,FALSE,"GRAFMIX9";#N/A,#N/A,FALSE,"GRAFRB10";#N/A,#N/A,FALSE,"GRAFCOMP11";#N/A,#N/A,FALSE,"AODPINDI12"}</definedName>
    <definedName name="wrn.temp." localSheetId="26" hidden="1">{#N/A,#N/A,FALSE,"AOESTOQ4";#N/A,#N/A,FALSE,"POSEST";#N/A,#N/A,FALSE,"CARBLIG";#N/A,#N/A,FALSE,"EV.PREÇO";#N/A,#N/A,FALSE,"AOQTDMIX7";#N/A,#N/A,FALSE,"AOPREÇO8";#N/A,#N/A,FALSE,"GRAFMIX9";#N/A,#N/A,FALSE,"GRAFRB10";#N/A,#N/A,FALSE,"GRAFCOMP11";#N/A,#N/A,FALSE,"AODPINDI12"}</definedName>
    <definedName name="wrn.temp." localSheetId="27" hidden="1">{#N/A,#N/A,FALSE,"AOESTOQ4";#N/A,#N/A,FALSE,"POSEST";#N/A,#N/A,FALSE,"CARBLIG";#N/A,#N/A,FALSE,"EV.PREÇO";#N/A,#N/A,FALSE,"AOQTDMIX7";#N/A,#N/A,FALSE,"AOPREÇO8";#N/A,#N/A,FALSE,"GRAFMIX9";#N/A,#N/A,FALSE,"GRAFRB10";#N/A,#N/A,FALSE,"GRAFCOMP11";#N/A,#N/A,FALSE,"AODPINDI12"}</definedName>
    <definedName name="wrn.temp." localSheetId="28" hidden="1">{#N/A,#N/A,FALSE,"AOESTOQ4";#N/A,#N/A,FALSE,"POSEST";#N/A,#N/A,FALSE,"CARBLIG";#N/A,#N/A,FALSE,"EV.PREÇO";#N/A,#N/A,FALSE,"AOQTDMIX7";#N/A,#N/A,FALSE,"AOPREÇO8";#N/A,#N/A,FALSE,"GRAFMIX9";#N/A,#N/A,FALSE,"GRAFRB10";#N/A,#N/A,FALSE,"GRAFCOMP11";#N/A,#N/A,FALSE,"AODPINDI12"}</definedName>
    <definedName name="wrn.temp." localSheetId="29" hidden="1">{#N/A,#N/A,FALSE,"AOESTOQ4";#N/A,#N/A,FALSE,"POSEST";#N/A,#N/A,FALSE,"CARBLIG";#N/A,#N/A,FALSE,"EV.PREÇO";#N/A,#N/A,FALSE,"AOQTDMIX7";#N/A,#N/A,FALSE,"AOPREÇO8";#N/A,#N/A,FALSE,"GRAFMIX9";#N/A,#N/A,FALSE,"GRAFRB10";#N/A,#N/A,FALSE,"GRAFCOMP11";#N/A,#N/A,FALSE,"AODPINDI12"}</definedName>
    <definedName name="wrn.temp." localSheetId="30" hidden="1">{#N/A,#N/A,FALSE,"AOESTOQ4";#N/A,#N/A,FALSE,"POSEST";#N/A,#N/A,FALSE,"CARBLIG";#N/A,#N/A,FALSE,"EV.PREÇO";#N/A,#N/A,FALSE,"AOQTDMIX7";#N/A,#N/A,FALSE,"AOPREÇO8";#N/A,#N/A,FALSE,"GRAFMIX9";#N/A,#N/A,FALSE,"GRAFRB10";#N/A,#N/A,FALSE,"GRAFCOMP11";#N/A,#N/A,FALSE,"AODPINDI12"}</definedName>
    <definedName name="wrn.temp." localSheetId="31" hidden="1">{#N/A,#N/A,FALSE,"AOESTOQ4";#N/A,#N/A,FALSE,"POSEST";#N/A,#N/A,FALSE,"CARBLIG";#N/A,#N/A,FALSE,"EV.PREÇO";#N/A,#N/A,FALSE,"AOQTDMIX7";#N/A,#N/A,FALSE,"AOPREÇO8";#N/A,#N/A,FALSE,"GRAFMIX9";#N/A,#N/A,FALSE,"GRAFRB10";#N/A,#N/A,FALSE,"GRAFCOMP11";#N/A,#N/A,FALSE,"AODPINDI12"}</definedName>
    <definedName name="wrn.temp." localSheetId="32" hidden="1">{#N/A,#N/A,FALSE,"AOESTOQ4";#N/A,#N/A,FALSE,"POSEST";#N/A,#N/A,FALSE,"CARBLIG";#N/A,#N/A,FALSE,"EV.PREÇO";#N/A,#N/A,FALSE,"AOQTDMIX7";#N/A,#N/A,FALSE,"AOPREÇO8";#N/A,#N/A,FALSE,"GRAFMIX9";#N/A,#N/A,FALSE,"GRAFRB10";#N/A,#N/A,FALSE,"GRAFCOMP11";#N/A,#N/A,FALSE,"AODPINDI12"}</definedName>
    <definedName name="wrn.temp." hidden="1">{#N/A,#N/A,FALSE,"AOESTOQ4";#N/A,#N/A,FALSE,"POSEST";#N/A,#N/A,FALSE,"CARBLIG";#N/A,#N/A,FALSE,"EV.PREÇO";#N/A,#N/A,FALSE,"AOQTDMIX7";#N/A,#N/A,FALSE,"AOPREÇO8";#N/A,#N/A,FALSE,"GRAFMIX9";#N/A,#N/A,FALSE,"GRAFRB10";#N/A,#N/A,FALSE,"GRAFCOMP11";#N/A,#N/A,FALSE,"AODPINDI12"}</definedName>
    <definedName name="wrn.TEMPO." localSheetId="3" hidden="1">{#N/A,#N/A,FALSE,"Par.Conj.";#N/A,#N/A,FALSE,"Prod.Fis";#N/A,#N/A,FALSE,"Est.Físico";#N/A,#N/A,FALSE,"Mix";#N/A,#N/A,FALSE,"P.Médio";#N/A,#N/A,FALSE,"Rec.Bruta"}</definedName>
    <definedName name="wrn.TEMPO." localSheetId="5" hidden="1">{#N/A,#N/A,FALSE,"Par.Conj.";#N/A,#N/A,FALSE,"Prod.Fis";#N/A,#N/A,FALSE,"Est.Físico";#N/A,#N/A,FALSE,"Mix";#N/A,#N/A,FALSE,"P.Médio";#N/A,#N/A,FALSE,"Rec.Bruta"}</definedName>
    <definedName name="wrn.TEMPO." localSheetId="6" hidden="1">{#N/A,#N/A,FALSE,"Par.Conj.";#N/A,#N/A,FALSE,"Prod.Fis";#N/A,#N/A,FALSE,"Est.Físico";#N/A,#N/A,FALSE,"Mix";#N/A,#N/A,FALSE,"P.Médio";#N/A,#N/A,FALSE,"Rec.Bruta"}</definedName>
    <definedName name="wrn.TEMPO." localSheetId="7" hidden="1">{#N/A,#N/A,FALSE,"Par.Conj.";#N/A,#N/A,FALSE,"Prod.Fis";#N/A,#N/A,FALSE,"Est.Físico";#N/A,#N/A,FALSE,"Mix";#N/A,#N/A,FALSE,"P.Médio";#N/A,#N/A,FALSE,"Rec.Bruta"}</definedName>
    <definedName name="wrn.TEMPO." localSheetId="9" hidden="1">{#N/A,#N/A,FALSE,"Par.Conj.";#N/A,#N/A,FALSE,"Prod.Fis";#N/A,#N/A,FALSE,"Est.Físico";#N/A,#N/A,FALSE,"Mix";#N/A,#N/A,FALSE,"P.Médio";#N/A,#N/A,FALSE,"Rec.Bruta"}</definedName>
    <definedName name="wrn.TEMPO." localSheetId="10" hidden="1">{#N/A,#N/A,FALSE,"Par.Conj.";#N/A,#N/A,FALSE,"Prod.Fis";#N/A,#N/A,FALSE,"Est.Físico";#N/A,#N/A,FALSE,"Mix";#N/A,#N/A,FALSE,"P.Médio";#N/A,#N/A,FALSE,"Rec.Bruta"}</definedName>
    <definedName name="wrn.TEMPO." localSheetId="11" hidden="1">{#N/A,#N/A,FALSE,"Par.Conj.";#N/A,#N/A,FALSE,"Prod.Fis";#N/A,#N/A,FALSE,"Est.Físico";#N/A,#N/A,FALSE,"Mix";#N/A,#N/A,FALSE,"P.Médio";#N/A,#N/A,FALSE,"Rec.Bruta"}</definedName>
    <definedName name="wrn.TEMPO." localSheetId="12" hidden="1">{#N/A,#N/A,FALSE,"Par.Conj.";#N/A,#N/A,FALSE,"Prod.Fis";#N/A,#N/A,FALSE,"Est.Físico";#N/A,#N/A,FALSE,"Mix";#N/A,#N/A,FALSE,"P.Médio";#N/A,#N/A,FALSE,"Rec.Bruta"}</definedName>
    <definedName name="wrn.TEMPO." localSheetId="13" hidden="1">{#N/A,#N/A,FALSE,"Par.Conj.";#N/A,#N/A,FALSE,"Prod.Fis";#N/A,#N/A,FALSE,"Est.Físico";#N/A,#N/A,FALSE,"Mix";#N/A,#N/A,FALSE,"P.Médio";#N/A,#N/A,FALSE,"Rec.Bruta"}</definedName>
    <definedName name="wrn.TEMPO." localSheetId="14" hidden="1">{#N/A,#N/A,FALSE,"Par.Conj.";#N/A,#N/A,FALSE,"Prod.Fis";#N/A,#N/A,FALSE,"Est.Físico";#N/A,#N/A,FALSE,"Mix";#N/A,#N/A,FALSE,"P.Médio";#N/A,#N/A,FALSE,"Rec.Bruta"}</definedName>
    <definedName name="wrn.TEMPO." localSheetId="15" hidden="1">{#N/A,#N/A,FALSE,"Par.Conj.";#N/A,#N/A,FALSE,"Prod.Fis";#N/A,#N/A,FALSE,"Est.Físico";#N/A,#N/A,FALSE,"Mix";#N/A,#N/A,FALSE,"P.Médio";#N/A,#N/A,FALSE,"Rec.Bruta"}</definedName>
    <definedName name="wrn.TEMPO." localSheetId="20" hidden="1">{#N/A,#N/A,FALSE,"Par.Conj.";#N/A,#N/A,FALSE,"Prod.Fis";#N/A,#N/A,FALSE,"Est.Físico";#N/A,#N/A,FALSE,"Mix";#N/A,#N/A,FALSE,"P.Médio";#N/A,#N/A,FALSE,"Rec.Bruta"}</definedName>
    <definedName name="wrn.TEMPO." localSheetId="21" hidden="1">{#N/A,#N/A,FALSE,"Par.Conj.";#N/A,#N/A,FALSE,"Prod.Fis";#N/A,#N/A,FALSE,"Est.Físico";#N/A,#N/A,FALSE,"Mix";#N/A,#N/A,FALSE,"P.Médio";#N/A,#N/A,FALSE,"Rec.Bruta"}</definedName>
    <definedName name="wrn.TEMPO." localSheetId="22" hidden="1">{#N/A,#N/A,FALSE,"Par.Conj.";#N/A,#N/A,FALSE,"Prod.Fis";#N/A,#N/A,FALSE,"Est.Físico";#N/A,#N/A,FALSE,"Mix";#N/A,#N/A,FALSE,"P.Médio";#N/A,#N/A,FALSE,"Rec.Bruta"}</definedName>
    <definedName name="wrn.TEMPO." localSheetId="23" hidden="1">{#N/A,#N/A,FALSE,"Par.Conj.";#N/A,#N/A,FALSE,"Prod.Fis";#N/A,#N/A,FALSE,"Est.Físico";#N/A,#N/A,FALSE,"Mix";#N/A,#N/A,FALSE,"P.Médio";#N/A,#N/A,FALSE,"Rec.Bruta"}</definedName>
    <definedName name="wrn.TEMPO." localSheetId="24" hidden="1">{#N/A,#N/A,FALSE,"Par.Conj.";#N/A,#N/A,FALSE,"Prod.Fis";#N/A,#N/A,FALSE,"Est.Físico";#N/A,#N/A,FALSE,"Mix";#N/A,#N/A,FALSE,"P.Médio";#N/A,#N/A,FALSE,"Rec.Bruta"}</definedName>
    <definedName name="wrn.TEMPO." localSheetId="25" hidden="1">{#N/A,#N/A,FALSE,"Par.Conj.";#N/A,#N/A,FALSE,"Prod.Fis";#N/A,#N/A,FALSE,"Est.Físico";#N/A,#N/A,FALSE,"Mix";#N/A,#N/A,FALSE,"P.Médio";#N/A,#N/A,FALSE,"Rec.Bruta"}</definedName>
    <definedName name="wrn.TEMPO." localSheetId="26" hidden="1">{#N/A,#N/A,FALSE,"Par.Conj.";#N/A,#N/A,FALSE,"Prod.Fis";#N/A,#N/A,FALSE,"Est.Físico";#N/A,#N/A,FALSE,"Mix";#N/A,#N/A,FALSE,"P.Médio";#N/A,#N/A,FALSE,"Rec.Bruta"}</definedName>
    <definedName name="wrn.TEMPO." localSheetId="27" hidden="1">{#N/A,#N/A,FALSE,"Par.Conj.";#N/A,#N/A,FALSE,"Prod.Fis";#N/A,#N/A,FALSE,"Est.Físico";#N/A,#N/A,FALSE,"Mix";#N/A,#N/A,FALSE,"P.Médio";#N/A,#N/A,FALSE,"Rec.Bruta"}</definedName>
    <definedName name="wrn.TEMPO." localSheetId="28" hidden="1">{#N/A,#N/A,FALSE,"Par.Conj.";#N/A,#N/A,FALSE,"Prod.Fis";#N/A,#N/A,FALSE,"Est.Físico";#N/A,#N/A,FALSE,"Mix";#N/A,#N/A,FALSE,"P.Médio";#N/A,#N/A,FALSE,"Rec.Bruta"}</definedName>
    <definedName name="wrn.TEMPO." localSheetId="29" hidden="1">{#N/A,#N/A,FALSE,"Par.Conj.";#N/A,#N/A,FALSE,"Prod.Fis";#N/A,#N/A,FALSE,"Est.Físico";#N/A,#N/A,FALSE,"Mix";#N/A,#N/A,FALSE,"P.Médio";#N/A,#N/A,FALSE,"Rec.Bruta"}</definedName>
    <definedName name="wrn.TEMPO." localSheetId="30" hidden="1">{#N/A,#N/A,FALSE,"Par.Conj.";#N/A,#N/A,FALSE,"Prod.Fis";#N/A,#N/A,FALSE,"Est.Físico";#N/A,#N/A,FALSE,"Mix";#N/A,#N/A,FALSE,"P.Médio";#N/A,#N/A,FALSE,"Rec.Bruta"}</definedName>
    <definedName name="wrn.TEMPO." localSheetId="31" hidden="1">{#N/A,#N/A,FALSE,"Par.Conj.";#N/A,#N/A,FALSE,"Prod.Fis";#N/A,#N/A,FALSE,"Est.Físico";#N/A,#N/A,FALSE,"Mix";#N/A,#N/A,FALSE,"P.Médio";#N/A,#N/A,FALSE,"Rec.Bruta"}</definedName>
    <definedName name="wrn.TEMPO." localSheetId="32" hidden="1">{#N/A,#N/A,FALSE,"Par.Conj.";#N/A,#N/A,FALSE,"Prod.Fis";#N/A,#N/A,FALSE,"Est.Físico";#N/A,#N/A,FALSE,"Mix";#N/A,#N/A,FALSE,"P.Médio";#N/A,#N/A,FALSE,"Rec.Bruta"}</definedName>
    <definedName name="wrn.TEMPO." hidden="1">{#N/A,#N/A,FALSE,"Par.Conj.";#N/A,#N/A,FALSE,"Prod.Fis";#N/A,#N/A,FALSE,"Est.Físico";#N/A,#N/A,FALSE,"Mix";#N/A,#N/A,FALSE,"P.Médio";#N/A,#N/A,FALSE,"Rec.Bruta"}</definedName>
    <definedName name="wrn.Timberland." localSheetId="3" hidden="1">{#N/A,#N/A,FALSE,"TIMBERLAND 33";#N/A,#N/A,FALSE,"TIMBERLAND Mês e Acum 34";#N/A,#N/A,FALSE,"TIMBERLAND Acum 35"}</definedName>
    <definedName name="wrn.Timberland." localSheetId="5" hidden="1">{#N/A,#N/A,FALSE,"TIMBERLAND 33";#N/A,#N/A,FALSE,"TIMBERLAND Mês e Acum 34";#N/A,#N/A,FALSE,"TIMBERLAND Acum 35"}</definedName>
    <definedName name="wrn.Timberland." localSheetId="6" hidden="1">{#N/A,#N/A,FALSE,"TIMBERLAND 33";#N/A,#N/A,FALSE,"TIMBERLAND Mês e Acum 34";#N/A,#N/A,FALSE,"TIMBERLAND Acum 35"}</definedName>
    <definedName name="wrn.Timberland." localSheetId="7" hidden="1">{#N/A,#N/A,FALSE,"TIMBERLAND 33";#N/A,#N/A,FALSE,"TIMBERLAND Mês e Acum 34";#N/A,#N/A,FALSE,"TIMBERLAND Acum 35"}</definedName>
    <definedName name="wrn.Timberland." localSheetId="9" hidden="1">{#N/A,#N/A,FALSE,"TIMBERLAND 33";#N/A,#N/A,FALSE,"TIMBERLAND Mês e Acum 34";#N/A,#N/A,FALSE,"TIMBERLAND Acum 35"}</definedName>
    <definedName name="wrn.Timberland." localSheetId="10" hidden="1">{#N/A,#N/A,FALSE,"TIMBERLAND 33";#N/A,#N/A,FALSE,"TIMBERLAND Mês e Acum 34";#N/A,#N/A,FALSE,"TIMBERLAND Acum 35"}</definedName>
    <definedName name="wrn.Timberland." localSheetId="11" hidden="1">{#N/A,#N/A,FALSE,"TIMBERLAND 33";#N/A,#N/A,FALSE,"TIMBERLAND Mês e Acum 34";#N/A,#N/A,FALSE,"TIMBERLAND Acum 35"}</definedName>
    <definedName name="wrn.Timberland." localSheetId="12" hidden="1">{#N/A,#N/A,FALSE,"TIMBERLAND 33";#N/A,#N/A,FALSE,"TIMBERLAND Mês e Acum 34";#N/A,#N/A,FALSE,"TIMBERLAND Acum 35"}</definedName>
    <definedName name="wrn.Timberland." localSheetId="13" hidden="1">{#N/A,#N/A,FALSE,"TIMBERLAND 33";#N/A,#N/A,FALSE,"TIMBERLAND Mês e Acum 34";#N/A,#N/A,FALSE,"TIMBERLAND Acum 35"}</definedName>
    <definedName name="wrn.Timberland." localSheetId="14" hidden="1">{#N/A,#N/A,FALSE,"TIMBERLAND 33";#N/A,#N/A,FALSE,"TIMBERLAND Mês e Acum 34";#N/A,#N/A,FALSE,"TIMBERLAND Acum 35"}</definedName>
    <definedName name="wrn.Timberland." localSheetId="15" hidden="1">{#N/A,#N/A,FALSE,"TIMBERLAND 33";#N/A,#N/A,FALSE,"TIMBERLAND Mês e Acum 34";#N/A,#N/A,FALSE,"TIMBERLAND Acum 35"}</definedName>
    <definedName name="wrn.Timberland." localSheetId="20" hidden="1">{#N/A,#N/A,FALSE,"TIMBERLAND 33";#N/A,#N/A,FALSE,"TIMBERLAND Mês e Acum 34";#N/A,#N/A,FALSE,"TIMBERLAND Acum 35"}</definedName>
    <definedName name="wrn.Timberland." localSheetId="21" hidden="1">{#N/A,#N/A,FALSE,"TIMBERLAND 33";#N/A,#N/A,FALSE,"TIMBERLAND Mês e Acum 34";#N/A,#N/A,FALSE,"TIMBERLAND Acum 35"}</definedName>
    <definedName name="wrn.Timberland." localSheetId="22" hidden="1">{#N/A,#N/A,FALSE,"TIMBERLAND 33";#N/A,#N/A,FALSE,"TIMBERLAND Mês e Acum 34";#N/A,#N/A,FALSE,"TIMBERLAND Acum 35"}</definedName>
    <definedName name="wrn.Timberland." localSheetId="23" hidden="1">{#N/A,#N/A,FALSE,"TIMBERLAND 33";#N/A,#N/A,FALSE,"TIMBERLAND Mês e Acum 34";#N/A,#N/A,FALSE,"TIMBERLAND Acum 35"}</definedName>
    <definedName name="wrn.Timberland." localSheetId="24" hidden="1">{#N/A,#N/A,FALSE,"TIMBERLAND 33";#N/A,#N/A,FALSE,"TIMBERLAND Mês e Acum 34";#N/A,#N/A,FALSE,"TIMBERLAND Acum 35"}</definedName>
    <definedName name="wrn.Timberland." localSheetId="25" hidden="1">{#N/A,#N/A,FALSE,"TIMBERLAND 33";#N/A,#N/A,FALSE,"TIMBERLAND Mês e Acum 34";#N/A,#N/A,FALSE,"TIMBERLAND Acum 35"}</definedName>
    <definedName name="wrn.Timberland." localSheetId="26" hidden="1">{#N/A,#N/A,FALSE,"TIMBERLAND 33";#N/A,#N/A,FALSE,"TIMBERLAND Mês e Acum 34";#N/A,#N/A,FALSE,"TIMBERLAND Acum 35"}</definedName>
    <definedName name="wrn.Timberland." localSheetId="27" hidden="1">{#N/A,#N/A,FALSE,"TIMBERLAND 33";#N/A,#N/A,FALSE,"TIMBERLAND Mês e Acum 34";#N/A,#N/A,FALSE,"TIMBERLAND Acum 35"}</definedName>
    <definedName name="wrn.Timberland." localSheetId="28" hidden="1">{#N/A,#N/A,FALSE,"TIMBERLAND 33";#N/A,#N/A,FALSE,"TIMBERLAND Mês e Acum 34";#N/A,#N/A,FALSE,"TIMBERLAND Acum 35"}</definedName>
    <definedName name="wrn.Timberland." localSheetId="29" hidden="1">{#N/A,#N/A,FALSE,"TIMBERLAND 33";#N/A,#N/A,FALSE,"TIMBERLAND Mês e Acum 34";#N/A,#N/A,FALSE,"TIMBERLAND Acum 35"}</definedName>
    <definedName name="wrn.Timberland." localSheetId="30" hidden="1">{#N/A,#N/A,FALSE,"TIMBERLAND 33";#N/A,#N/A,FALSE,"TIMBERLAND Mês e Acum 34";#N/A,#N/A,FALSE,"TIMBERLAND Acum 35"}</definedName>
    <definedName name="wrn.Timberland." localSheetId="31" hidden="1">{#N/A,#N/A,FALSE,"TIMBERLAND 33";#N/A,#N/A,FALSE,"TIMBERLAND Mês e Acum 34";#N/A,#N/A,FALSE,"TIMBERLAND Acum 35"}</definedName>
    <definedName name="wrn.Timberland." localSheetId="32" hidden="1">{#N/A,#N/A,FALSE,"TIMBERLAND 33";#N/A,#N/A,FALSE,"TIMBERLAND Mês e Acum 34";#N/A,#N/A,FALSE,"TIMBERLAND Acum 35"}</definedName>
    <definedName name="wrn.Timberland." hidden="1">{#N/A,#N/A,FALSE,"TIMBERLAND 33";#N/A,#N/A,FALSE,"TIMBERLAND Mês e Acum 34";#N/A,#N/A,FALSE,"TIMBERLAND Acum 35"}</definedName>
    <definedName name="wrn.Usinor." localSheetId="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8"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3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3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3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ww" localSheetId="3" hidden="1">{#N/A,#N/A,FALSE,"Tabl. FB300";#N/A,#N/A,FALSE,"Tabl. FB350";#N/A,#N/A,FALSE,"Tabl. FB400";#N/A,#N/A,FALSE,"Tabl. FB500";#N/A,#N/A,FALSE,"Tabl. FS090"}</definedName>
    <definedName name="www" localSheetId="5" hidden="1">{#N/A,#N/A,FALSE,"Tabl. FB300";#N/A,#N/A,FALSE,"Tabl. FB350";#N/A,#N/A,FALSE,"Tabl. FB400";#N/A,#N/A,FALSE,"Tabl. FB500";#N/A,#N/A,FALSE,"Tabl. FS090"}</definedName>
    <definedName name="www" localSheetId="6" hidden="1">{#N/A,#N/A,FALSE,"Tabl. FB300";#N/A,#N/A,FALSE,"Tabl. FB350";#N/A,#N/A,FALSE,"Tabl. FB400";#N/A,#N/A,FALSE,"Tabl. FB500";#N/A,#N/A,FALSE,"Tabl. FS090"}</definedName>
    <definedName name="www" localSheetId="7" hidden="1">{#N/A,#N/A,FALSE,"Tabl. FB300";#N/A,#N/A,FALSE,"Tabl. FB350";#N/A,#N/A,FALSE,"Tabl. FB400";#N/A,#N/A,FALSE,"Tabl. FB500";#N/A,#N/A,FALSE,"Tabl. FS090"}</definedName>
    <definedName name="www" localSheetId="9" hidden="1">{#N/A,#N/A,FALSE,"Tabl. FB300";#N/A,#N/A,FALSE,"Tabl. FB350";#N/A,#N/A,FALSE,"Tabl. FB400";#N/A,#N/A,FALSE,"Tabl. FB500";#N/A,#N/A,FALSE,"Tabl. FS090"}</definedName>
    <definedName name="www" localSheetId="10" hidden="1">{#N/A,#N/A,FALSE,"Tabl. FB300";#N/A,#N/A,FALSE,"Tabl. FB350";#N/A,#N/A,FALSE,"Tabl. FB400";#N/A,#N/A,FALSE,"Tabl. FB500";#N/A,#N/A,FALSE,"Tabl. FS090"}</definedName>
    <definedName name="www" localSheetId="11" hidden="1">{#N/A,#N/A,FALSE,"Tabl. FB300";#N/A,#N/A,FALSE,"Tabl. FB350";#N/A,#N/A,FALSE,"Tabl. FB400";#N/A,#N/A,FALSE,"Tabl. FB500";#N/A,#N/A,FALSE,"Tabl. FS090"}</definedName>
    <definedName name="www" localSheetId="12" hidden="1">{#N/A,#N/A,FALSE,"Tabl. FB300";#N/A,#N/A,FALSE,"Tabl. FB350";#N/A,#N/A,FALSE,"Tabl. FB400";#N/A,#N/A,FALSE,"Tabl. FB500";#N/A,#N/A,FALSE,"Tabl. FS090"}</definedName>
    <definedName name="www" localSheetId="13" hidden="1">{#N/A,#N/A,FALSE,"Tabl. FB300";#N/A,#N/A,FALSE,"Tabl. FB350";#N/A,#N/A,FALSE,"Tabl. FB400";#N/A,#N/A,FALSE,"Tabl. FB500";#N/A,#N/A,FALSE,"Tabl. FS090"}</definedName>
    <definedName name="www" localSheetId="14" hidden="1">{#N/A,#N/A,FALSE,"Tabl. FB300";#N/A,#N/A,FALSE,"Tabl. FB350";#N/A,#N/A,FALSE,"Tabl. FB400";#N/A,#N/A,FALSE,"Tabl. FB500";#N/A,#N/A,FALSE,"Tabl. FS090"}</definedName>
    <definedName name="www" localSheetId="15" hidden="1">{#N/A,#N/A,FALSE,"Tabl. FB300";#N/A,#N/A,FALSE,"Tabl. FB350";#N/A,#N/A,FALSE,"Tabl. FB400";#N/A,#N/A,FALSE,"Tabl. FB500";#N/A,#N/A,FALSE,"Tabl. FS090"}</definedName>
    <definedName name="www" localSheetId="20" hidden="1">{#N/A,#N/A,FALSE,"Tabl. FB300";#N/A,#N/A,FALSE,"Tabl. FB350";#N/A,#N/A,FALSE,"Tabl. FB400";#N/A,#N/A,FALSE,"Tabl. FB500";#N/A,#N/A,FALSE,"Tabl. FS090"}</definedName>
    <definedName name="www" localSheetId="21" hidden="1">{#N/A,#N/A,FALSE,"Tabl. FB300";#N/A,#N/A,FALSE,"Tabl. FB350";#N/A,#N/A,FALSE,"Tabl. FB400";#N/A,#N/A,FALSE,"Tabl. FB500";#N/A,#N/A,FALSE,"Tabl. FS090"}</definedName>
    <definedName name="www" localSheetId="22" hidden="1">{#N/A,#N/A,FALSE,"Tabl. FB300";#N/A,#N/A,FALSE,"Tabl. FB350";#N/A,#N/A,FALSE,"Tabl. FB400";#N/A,#N/A,FALSE,"Tabl. FB500";#N/A,#N/A,FALSE,"Tabl. FS090"}</definedName>
    <definedName name="www" localSheetId="23" hidden="1">{#N/A,#N/A,FALSE,"Tabl. FB300";#N/A,#N/A,FALSE,"Tabl. FB350";#N/A,#N/A,FALSE,"Tabl. FB400";#N/A,#N/A,FALSE,"Tabl. FB500";#N/A,#N/A,FALSE,"Tabl. FS090"}</definedName>
    <definedName name="www" localSheetId="24" hidden="1">{#N/A,#N/A,FALSE,"Tabl. FB300";#N/A,#N/A,FALSE,"Tabl. FB350";#N/A,#N/A,FALSE,"Tabl. FB400";#N/A,#N/A,FALSE,"Tabl. FB500";#N/A,#N/A,FALSE,"Tabl. FS090"}</definedName>
    <definedName name="www" localSheetId="25" hidden="1">{#N/A,#N/A,FALSE,"Tabl. FB300";#N/A,#N/A,FALSE,"Tabl. FB350";#N/A,#N/A,FALSE,"Tabl. FB400";#N/A,#N/A,FALSE,"Tabl. FB500";#N/A,#N/A,FALSE,"Tabl. FS090"}</definedName>
    <definedName name="www" localSheetId="26" hidden="1">{#N/A,#N/A,FALSE,"Tabl. FB300";#N/A,#N/A,FALSE,"Tabl. FB350";#N/A,#N/A,FALSE,"Tabl. FB400";#N/A,#N/A,FALSE,"Tabl. FB500";#N/A,#N/A,FALSE,"Tabl. FS090"}</definedName>
    <definedName name="www" localSheetId="27" hidden="1">{#N/A,#N/A,FALSE,"Tabl. FB300";#N/A,#N/A,FALSE,"Tabl. FB350";#N/A,#N/A,FALSE,"Tabl. FB400";#N/A,#N/A,FALSE,"Tabl. FB500";#N/A,#N/A,FALSE,"Tabl. FS090"}</definedName>
    <definedName name="www" localSheetId="28" hidden="1">{#N/A,#N/A,FALSE,"Tabl. FB300";#N/A,#N/A,FALSE,"Tabl. FB350";#N/A,#N/A,FALSE,"Tabl. FB400";#N/A,#N/A,FALSE,"Tabl. FB500";#N/A,#N/A,FALSE,"Tabl. FS090"}</definedName>
    <definedName name="www" localSheetId="29" hidden="1">{#N/A,#N/A,FALSE,"Tabl. FB300";#N/A,#N/A,FALSE,"Tabl. FB350";#N/A,#N/A,FALSE,"Tabl. FB400";#N/A,#N/A,FALSE,"Tabl. FB500";#N/A,#N/A,FALSE,"Tabl. FS090"}</definedName>
    <definedName name="www" localSheetId="30" hidden="1">{#N/A,#N/A,FALSE,"Tabl. FB300";#N/A,#N/A,FALSE,"Tabl. FB350";#N/A,#N/A,FALSE,"Tabl. FB400";#N/A,#N/A,FALSE,"Tabl. FB500";#N/A,#N/A,FALSE,"Tabl. FS090"}</definedName>
    <definedName name="www" localSheetId="31" hidden="1">{#N/A,#N/A,FALSE,"Tabl. FB300";#N/A,#N/A,FALSE,"Tabl. FB350";#N/A,#N/A,FALSE,"Tabl. FB400";#N/A,#N/A,FALSE,"Tabl. FB500";#N/A,#N/A,FALSE,"Tabl. FS090"}</definedName>
    <definedName name="www" localSheetId="32" hidden="1">{#N/A,#N/A,FALSE,"Tabl. FB300";#N/A,#N/A,FALSE,"Tabl. FB350";#N/A,#N/A,FALSE,"Tabl. FB400";#N/A,#N/A,FALSE,"Tabl. FB500";#N/A,#N/A,FALSE,"Tabl. FS090"}</definedName>
    <definedName name="www" hidden="1">{#N/A,#N/A,FALSE,"Tabl. FB300";#N/A,#N/A,FALSE,"Tabl. FB350";#N/A,#N/A,FALSE,"Tabl. FB400";#N/A,#N/A,FALSE,"Tabl. FB500";#N/A,#N/A,FALSE,"Tabl. FS090"}</definedName>
    <definedName name="wwwww" localSheetId="3" hidden="1">{#N/A,#N/A,FALSE,"Tabl. G1";#N/A,#N/A,FALSE,"Tabl. G2"}</definedName>
    <definedName name="wwwww" localSheetId="5" hidden="1">{#N/A,#N/A,FALSE,"Tabl. G1";#N/A,#N/A,FALSE,"Tabl. G2"}</definedName>
    <definedName name="wwwww" localSheetId="6" hidden="1">{#N/A,#N/A,FALSE,"Tabl. G1";#N/A,#N/A,FALSE,"Tabl. G2"}</definedName>
    <definedName name="wwwww" localSheetId="7" hidden="1">{#N/A,#N/A,FALSE,"Tabl. G1";#N/A,#N/A,FALSE,"Tabl. G2"}</definedName>
    <definedName name="wwwww" localSheetId="9" hidden="1">{#N/A,#N/A,FALSE,"Tabl. G1";#N/A,#N/A,FALSE,"Tabl. G2"}</definedName>
    <definedName name="wwwww" localSheetId="10" hidden="1">{#N/A,#N/A,FALSE,"Tabl. G1";#N/A,#N/A,FALSE,"Tabl. G2"}</definedName>
    <definedName name="wwwww" localSheetId="11" hidden="1">{#N/A,#N/A,FALSE,"Tabl. G1";#N/A,#N/A,FALSE,"Tabl. G2"}</definedName>
    <definedName name="wwwww" localSheetId="12" hidden="1">{#N/A,#N/A,FALSE,"Tabl. G1";#N/A,#N/A,FALSE,"Tabl. G2"}</definedName>
    <definedName name="wwwww" localSheetId="13" hidden="1">{#N/A,#N/A,FALSE,"Tabl. G1";#N/A,#N/A,FALSE,"Tabl. G2"}</definedName>
    <definedName name="wwwww" localSheetId="14" hidden="1">{#N/A,#N/A,FALSE,"Tabl. G1";#N/A,#N/A,FALSE,"Tabl. G2"}</definedName>
    <definedName name="wwwww" localSheetId="15" hidden="1">{#N/A,#N/A,FALSE,"Tabl. G1";#N/A,#N/A,FALSE,"Tabl. G2"}</definedName>
    <definedName name="wwwww" localSheetId="20" hidden="1">{#N/A,#N/A,FALSE,"Tabl. G1";#N/A,#N/A,FALSE,"Tabl. G2"}</definedName>
    <definedName name="wwwww" localSheetId="21" hidden="1">{#N/A,#N/A,FALSE,"Tabl. G1";#N/A,#N/A,FALSE,"Tabl. G2"}</definedName>
    <definedName name="wwwww" localSheetId="22" hidden="1">{#N/A,#N/A,FALSE,"Tabl. G1";#N/A,#N/A,FALSE,"Tabl. G2"}</definedName>
    <definedName name="wwwww" localSheetId="23" hidden="1">{#N/A,#N/A,FALSE,"Tabl. G1";#N/A,#N/A,FALSE,"Tabl. G2"}</definedName>
    <definedName name="wwwww" localSheetId="24" hidden="1">{#N/A,#N/A,FALSE,"Tabl. G1";#N/A,#N/A,FALSE,"Tabl. G2"}</definedName>
    <definedName name="wwwww" localSheetId="25" hidden="1">{#N/A,#N/A,FALSE,"Tabl. G1";#N/A,#N/A,FALSE,"Tabl. G2"}</definedName>
    <definedName name="wwwww" localSheetId="26" hidden="1">{#N/A,#N/A,FALSE,"Tabl. G1";#N/A,#N/A,FALSE,"Tabl. G2"}</definedName>
    <definedName name="wwwww" localSheetId="27" hidden="1">{#N/A,#N/A,FALSE,"Tabl. G1";#N/A,#N/A,FALSE,"Tabl. G2"}</definedName>
    <definedName name="wwwww" localSheetId="28" hidden="1">{#N/A,#N/A,FALSE,"Tabl. G1";#N/A,#N/A,FALSE,"Tabl. G2"}</definedName>
    <definedName name="wwwww" localSheetId="29" hidden="1">{#N/A,#N/A,FALSE,"Tabl. G1";#N/A,#N/A,FALSE,"Tabl. G2"}</definedName>
    <definedName name="wwwww" localSheetId="30" hidden="1">{#N/A,#N/A,FALSE,"Tabl. G1";#N/A,#N/A,FALSE,"Tabl. G2"}</definedName>
    <definedName name="wwwww" localSheetId="31" hidden="1">{#N/A,#N/A,FALSE,"Tabl. G1";#N/A,#N/A,FALSE,"Tabl. G2"}</definedName>
    <definedName name="wwwww" localSheetId="32" hidden="1">{#N/A,#N/A,FALSE,"Tabl. G1";#N/A,#N/A,FALSE,"Tabl. G2"}</definedName>
    <definedName name="wwwww" hidden="1">{#N/A,#N/A,FALSE,"Tabl. G1";#N/A,#N/A,FALSE,"Tabl. G2"}</definedName>
    <definedName name="x" localSheetId="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8"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3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3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3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xx" localSheetId="3" hidden="1">{#N/A,#N/A,FALSE,"Tabl. G1";#N/A,#N/A,FALSE,"Tabl. G2"}</definedName>
    <definedName name="xxx" localSheetId="5" hidden="1">{#N/A,#N/A,FALSE,"Tabl. G1";#N/A,#N/A,FALSE,"Tabl. G2"}</definedName>
    <definedName name="xxx" localSheetId="6" hidden="1">{#N/A,#N/A,FALSE,"Tabl. G1";#N/A,#N/A,FALSE,"Tabl. G2"}</definedName>
    <definedName name="xxx" localSheetId="7" hidden="1">{#N/A,#N/A,FALSE,"Tabl. G1";#N/A,#N/A,FALSE,"Tabl. G2"}</definedName>
    <definedName name="xxx" localSheetId="9" hidden="1">{#N/A,#N/A,FALSE,"Tabl. G1";#N/A,#N/A,FALSE,"Tabl. G2"}</definedName>
    <definedName name="xxx" localSheetId="10" hidden="1">{#N/A,#N/A,FALSE,"Tabl. G1";#N/A,#N/A,FALSE,"Tabl. G2"}</definedName>
    <definedName name="xxx" localSheetId="11" hidden="1">{#N/A,#N/A,FALSE,"Tabl. G1";#N/A,#N/A,FALSE,"Tabl. G2"}</definedName>
    <definedName name="xxx" localSheetId="12" hidden="1">{#N/A,#N/A,FALSE,"Tabl. G1";#N/A,#N/A,FALSE,"Tabl. G2"}</definedName>
    <definedName name="xxx" localSheetId="13" hidden="1">{#N/A,#N/A,FALSE,"Tabl. G1";#N/A,#N/A,FALSE,"Tabl. G2"}</definedName>
    <definedName name="xxx" localSheetId="14" hidden="1">{#N/A,#N/A,FALSE,"Tabl. G1";#N/A,#N/A,FALSE,"Tabl. G2"}</definedName>
    <definedName name="xxx" localSheetId="15" hidden="1">{#N/A,#N/A,FALSE,"Tabl. G1";#N/A,#N/A,FALSE,"Tabl. G2"}</definedName>
    <definedName name="xxx" localSheetId="20" hidden="1">{#N/A,#N/A,FALSE,"Tabl. G1";#N/A,#N/A,FALSE,"Tabl. G2"}</definedName>
    <definedName name="xxx" localSheetId="21" hidden="1">{#N/A,#N/A,FALSE,"Tabl. G1";#N/A,#N/A,FALSE,"Tabl. G2"}</definedName>
    <definedName name="xxx" localSheetId="22" hidden="1">{#N/A,#N/A,FALSE,"Tabl. G1";#N/A,#N/A,FALSE,"Tabl. G2"}</definedName>
    <definedName name="xxx" localSheetId="23" hidden="1">{#N/A,#N/A,FALSE,"Tabl. G1";#N/A,#N/A,FALSE,"Tabl. G2"}</definedName>
    <definedName name="xxx" localSheetId="24" hidden="1">{#N/A,#N/A,FALSE,"Tabl. G1";#N/A,#N/A,FALSE,"Tabl. G2"}</definedName>
    <definedName name="xxx" localSheetId="25" hidden="1">{#N/A,#N/A,FALSE,"Tabl. G1";#N/A,#N/A,FALSE,"Tabl. G2"}</definedName>
    <definedName name="xxx" localSheetId="26" hidden="1">{#N/A,#N/A,FALSE,"Tabl. G1";#N/A,#N/A,FALSE,"Tabl. G2"}</definedName>
    <definedName name="xxx" localSheetId="27" hidden="1">{#N/A,#N/A,FALSE,"Tabl. G1";#N/A,#N/A,FALSE,"Tabl. G2"}</definedName>
    <definedName name="xxx" localSheetId="28" hidden="1">{#N/A,#N/A,FALSE,"Tabl. G1";#N/A,#N/A,FALSE,"Tabl. G2"}</definedName>
    <definedName name="xxx" localSheetId="29" hidden="1">{#N/A,#N/A,FALSE,"Tabl. G1";#N/A,#N/A,FALSE,"Tabl. G2"}</definedName>
    <definedName name="xxx" localSheetId="30" hidden="1">{#N/A,#N/A,FALSE,"Tabl. G1";#N/A,#N/A,FALSE,"Tabl. G2"}</definedName>
    <definedName name="xxx" localSheetId="31" hidden="1">{#N/A,#N/A,FALSE,"Tabl. G1";#N/A,#N/A,FALSE,"Tabl. G2"}</definedName>
    <definedName name="xxx" localSheetId="32" hidden="1">{#N/A,#N/A,FALSE,"Tabl. G1";#N/A,#N/A,FALSE,"Tabl. G2"}</definedName>
    <definedName name="xxx" hidden="1">{#N/A,#N/A,FALSE,"Tabl. G1";#N/A,#N/A,FALSE,"Tabl. G2"}</definedName>
    <definedName name="xxxx" localSheetId="3" hidden="1">{#N/A,#N/A,FALSE,"Tabl. D1";#N/A,#N/A,FALSE,"Tabl. D1 b";#N/A,#N/A,FALSE,"Tabl. D2";#N/A,#N/A,FALSE,"Tabl. D2 b";#N/A,#N/A,FALSE,"Tabl. D3";#N/A,#N/A,FALSE,"Tabl. D4";#N/A,#N/A,FALSE,"Tabl. D5"}</definedName>
    <definedName name="xxxx" localSheetId="5" hidden="1">{#N/A,#N/A,FALSE,"Tabl. D1";#N/A,#N/A,FALSE,"Tabl. D1 b";#N/A,#N/A,FALSE,"Tabl. D2";#N/A,#N/A,FALSE,"Tabl. D2 b";#N/A,#N/A,FALSE,"Tabl. D3";#N/A,#N/A,FALSE,"Tabl. D4";#N/A,#N/A,FALSE,"Tabl. D5"}</definedName>
    <definedName name="xxxx" localSheetId="6" hidden="1">{#N/A,#N/A,FALSE,"Tabl. D1";#N/A,#N/A,FALSE,"Tabl. D1 b";#N/A,#N/A,FALSE,"Tabl. D2";#N/A,#N/A,FALSE,"Tabl. D2 b";#N/A,#N/A,FALSE,"Tabl. D3";#N/A,#N/A,FALSE,"Tabl. D4";#N/A,#N/A,FALSE,"Tabl. D5"}</definedName>
    <definedName name="xxxx" localSheetId="7" hidden="1">{#N/A,#N/A,FALSE,"Tabl. D1";#N/A,#N/A,FALSE,"Tabl. D1 b";#N/A,#N/A,FALSE,"Tabl. D2";#N/A,#N/A,FALSE,"Tabl. D2 b";#N/A,#N/A,FALSE,"Tabl. D3";#N/A,#N/A,FALSE,"Tabl. D4";#N/A,#N/A,FALSE,"Tabl. D5"}</definedName>
    <definedName name="xxxx" localSheetId="9" hidden="1">{#N/A,#N/A,FALSE,"Tabl. D1";#N/A,#N/A,FALSE,"Tabl. D1 b";#N/A,#N/A,FALSE,"Tabl. D2";#N/A,#N/A,FALSE,"Tabl. D2 b";#N/A,#N/A,FALSE,"Tabl. D3";#N/A,#N/A,FALSE,"Tabl. D4";#N/A,#N/A,FALSE,"Tabl. D5"}</definedName>
    <definedName name="xxxx" localSheetId="10" hidden="1">{#N/A,#N/A,FALSE,"Tabl. D1";#N/A,#N/A,FALSE,"Tabl. D1 b";#N/A,#N/A,FALSE,"Tabl. D2";#N/A,#N/A,FALSE,"Tabl. D2 b";#N/A,#N/A,FALSE,"Tabl. D3";#N/A,#N/A,FALSE,"Tabl. D4";#N/A,#N/A,FALSE,"Tabl. D5"}</definedName>
    <definedName name="xxxx" localSheetId="11" hidden="1">{#N/A,#N/A,FALSE,"Tabl. D1";#N/A,#N/A,FALSE,"Tabl. D1 b";#N/A,#N/A,FALSE,"Tabl. D2";#N/A,#N/A,FALSE,"Tabl. D2 b";#N/A,#N/A,FALSE,"Tabl. D3";#N/A,#N/A,FALSE,"Tabl. D4";#N/A,#N/A,FALSE,"Tabl. D5"}</definedName>
    <definedName name="xxxx" localSheetId="12" hidden="1">{#N/A,#N/A,FALSE,"Tabl. D1";#N/A,#N/A,FALSE,"Tabl. D1 b";#N/A,#N/A,FALSE,"Tabl. D2";#N/A,#N/A,FALSE,"Tabl. D2 b";#N/A,#N/A,FALSE,"Tabl. D3";#N/A,#N/A,FALSE,"Tabl. D4";#N/A,#N/A,FALSE,"Tabl. D5"}</definedName>
    <definedName name="xxxx" localSheetId="13" hidden="1">{#N/A,#N/A,FALSE,"Tabl. D1";#N/A,#N/A,FALSE,"Tabl. D1 b";#N/A,#N/A,FALSE,"Tabl. D2";#N/A,#N/A,FALSE,"Tabl. D2 b";#N/A,#N/A,FALSE,"Tabl. D3";#N/A,#N/A,FALSE,"Tabl. D4";#N/A,#N/A,FALSE,"Tabl. D5"}</definedName>
    <definedName name="xxxx" localSheetId="14" hidden="1">{#N/A,#N/A,FALSE,"Tabl. D1";#N/A,#N/A,FALSE,"Tabl. D1 b";#N/A,#N/A,FALSE,"Tabl. D2";#N/A,#N/A,FALSE,"Tabl. D2 b";#N/A,#N/A,FALSE,"Tabl. D3";#N/A,#N/A,FALSE,"Tabl. D4";#N/A,#N/A,FALSE,"Tabl. D5"}</definedName>
    <definedName name="xxxx" localSheetId="15" hidden="1">{#N/A,#N/A,FALSE,"Tabl. D1";#N/A,#N/A,FALSE,"Tabl. D1 b";#N/A,#N/A,FALSE,"Tabl. D2";#N/A,#N/A,FALSE,"Tabl. D2 b";#N/A,#N/A,FALSE,"Tabl. D3";#N/A,#N/A,FALSE,"Tabl. D4";#N/A,#N/A,FALSE,"Tabl. D5"}</definedName>
    <definedName name="xxxx" localSheetId="20" hidden="1">{#N/A,#N/A,FALSE,"Tabl. D1";#N/A,#N/A,FALSE,"Tabl. D1 b";#N/A,#N/A,FALSE,"Tabl. D2";#N/A,#N/A,FALSE,"Tabl. D2 b";#N/A,#N/A,FALSE,"Tabl. D3";#N/A,#N/A,FALSE,"Tabl. D4";#N/A,#N/A,FALSE,"Tabl. D5"}</definedName>
    <definedName name="xxxx" localSheetId="21" hidden="1">{#N/A,#N/A,FALSE,"Tabl. D1";#N/A,#N/A,FALSE,"Tabl. D1 b";#N/A,#N/A,FALSE,"Tabl. D2";#N/A,#N/A,FALSE,"Tabl. D2 b";#N/A,#N/A,FALSE,"Tabl. D3";#N/A,#N/A,FALSE,"Tabl. D4";#N/A,#N/A,FALSE,"Tabl. D5"}</definedName>
    <definedName name="xxxx" localSheetId="22" hidden="1">{#N/A,#N/A,FALSE,"Tabl. D1";#N/A,#N/A,FALSE,"Tabl. D1 b";#N/A,#N/A,FALSE,"Tabl. D2";#N/A,#N/A,FALSE,"Tabl. D2 b";#N/A,#N/A,FALSE,"Tabl. D3";#N/A,#N/A,FALSE,"Tabl. D4";#N/A,#N/A,FALSE,"Tabl. D5"}</definedName>
    <definedName name="xxxx" localSheetId="23" hidden="1">{#N/A,#N/A,FALSE,"Tabl. D1";#N/A,#N/A,FALSE,"Tabl. D1 b";#N/A,#N/A,FALSE,"Tabl. D2";#N/A,#N/A,FALSE,"Tabl. D2 b";#N/A,#N/A,FALSE,"Tabl. D3";#N/A,#N/A,FALSE,"Tabl. D4";#N/A,#N/A,FALSE,"Tabl. D5"}</definedName>
    <definedName name="xxxx" localSheetId="24" hidden="1">{#N/A,#N/A,FALSE,"Tabl. D1";#N/A,#N/A,FALSE,"Tabl. D1 b";#N/A,#N/A,FALSE,"Tabl. D2";#N/A,#N/A,FALSE,"Tabl. D2 b";#N/A,#N/A,FALSE,"Tabl. D3";#N/A,#N/A,FALSE,"Tabl. D4";#N/A,#N/A,FALSE,"Tabl. D5"}</definedName>
    <definedName name="xxxx" localSheetId="25" hidden="1">{#N/A,#N/A,FALSE,"Tabl. D1";#N/A,#N/A,FALSE,"Tabl. D1 b";#N/A,#N/A,FALSE,"Tabl. D2";#N/A,#N/A,FALSE,"Tabl. D2 b";#N/A,#N/A,FALSE,"Tabl. D3";#N/A,#N/A,FALSE,"Tabl. D4";#N/A,#N/A,FALSE,"Tabl. D5"}</definedName>
    <definedName name="xxxx" localSheetId="26" hidden="1">{#N/A,#N/A,FALSE,"Tabl. D1";#N/A,#N/A,FALSE,"Tabl. D1 b";#N/A,#N/A,FALSE,"Tabl. D2";#N/A,#N/A,FALSE,"Tabl. D2 b";#N/A,#N/A,FALSE,"Tabl. D3";#N/A,#N/A,FALSE,"Tabl. D4";#N/A,#N/A,FALSE,"Tabl. D5"}</definedName>
    <definedName name="xxxx" localSheetId="27" hidden="1">{#N/A,#N/A,FALSE,"Tabl. D1";#N/A,#N/A,FALSE,"Tabl. D1 b";#N/A,#N/A,FALSE,"Tabl. D2";#N/A,#N/A,FALSE,"Tabl. D2 b";#N/A,#N/A,FALSE,"Tabl. D3";#N/A,#N/A,FALSE,"Tabl. D4";#N/A,#N/A,FALSE,"Tabl. D5"}</definedName>
    <definedName name="xxxx" localSheetId="28" hidden="1">{#N/A,#N/A,FALSE,"Tabl. D1";#N/A,#N/A,FALSE,"Tabl. D1 b";#N/A,#N/A,FALSE,"Tabl. D2";#N/A,#N/A,FALSE,"Tabl. D2 b";#N/A,#N/A,FALSE,"Tabl. D3";#N/A,#N/A,FALSE,"Tabl. D4";#N/A,#N/A,FALSE,"Tabl. D5"}</definedName>
    <definedName name="xxxx" localSheetId="29" hidden="1">{#N/A,#N/A,FALSE,"Tabl. D1";#N/A,#N/A,FALSE,"Tabl. D1 b";#N/A,#N/A,FALSE,"Tabl. D2";#N/A,#N/A,FALSE,"Tabl. D2 b";#N/A,#N/A,FALSE,"Tabl. D3";#N/A,#N/A,FALSE,"Tabl. D4";#N/A,#N/A,FALSE,"Tabl. D5"}</definedName>
    <definedName name="xxxx" localSheetId="30" hidden="1">{#N/A,#N/A,FALSE,"Tabl. D1";#N/A,#N/A,FALSE,"Tabl. D1 b";#N/A,#N/A,FALSE,"Tabl. D2";#N/A,#N/A,FALSE,"Tabl. D2 b";#N/A,#N/A,FALSE,"Tabl. D3";#N/A,#N/A,FALSE,"Tabl. D4";#N/A,#N/A,FALSE,"Tabl. D5"}</definedName>
    <definedName name="xxxx" localSheetId="31" hidden="1">{#N/A,#N/A,FALSE,"Tabl. D1";#N/A,#N/A,FALSE,"Tabl. D1 b";#N/A,#N/A,FALSE,"Tabl. D2";#N/A,#N/A,FALSE,"Tabl. D2 b";#N/A,#N/A,FALSE,"Tabl. D3";#N/A,#N/A,FALSE,"Tabl. D4";#N/A,#N/A,FALSE,"Tabl. D5"}</definedName>
    <definedName name="xxxx" localSheetId="32" hidden="1">{#N/A,#N/A,FALSE,"Tabl. D1";#N/A,#N/A,FALSE,"Tabl. D1 b";#N/A,#N/A,FALSE,"Tabl. D2";#N/A,#N/A,FALSE,"Tabl. D2 b";#N/A,#N/A,FALSE,"Tabl. D3";#N/A,#N/A,FALSE,"Tabl. D4";#N/A,#N/A,FALSE,"Tabl. D5"}</definedName>
    <definedName name="xxxx" hidden="1">{#N/A,#N/A,FALSE,"Tabl. D1";#N/A,#N/A,FALSE,"Tabl. D1 b";#N/A,#N/A,FALSE,"Tabl. D2";#N/A,#N/A,FALSE,"Tabl. D2 b";#N/A,#N/A,FALSE,"Tabl. D3";#N/A,#N/A,FALSE,"Tabl. D4";#N/A,#N/A,FALSE,"Tabl. D5"}</definedName>
    <definedName name="yyy" localSheetId="3" hidden="1">{#N/A,#N/A,FALSE,"Tabl. G1";#N/A,#N/A,FALSE,"Tabl. G2"}</definedName>
    <definedName name="yyy" localSheetId="5" hidden="1">{#N/A,#N/A,FALSE,"Tabl. G1";#N/A,#N/A,FALSE,"Tabl. G2"}</definedName>
    <definedName name="yyy" localSheetId="6" hidden="1">{#N/A,#N/A,FALSE,"Tabl. G1";#N/A,#N/A,FALSE,"Tabl. G2"}</definedName>
    <definedName name="yyy" localSheetId="7" hidden="1">{#N/A,#N/A,FALSE,"Tabl. G1";#N/A,#N/A,FALSE,"Tabl. G2"}</definedName>
    <definedName name="yyy" localSheetId="9" hidden="1">{#N/A,#N/A,FALSE,"Tabl. G1";#N/A,#N/A,FALSE,"Tabl. G2"}</definedName>
    <definedName name="yyy" localSheetId="10" hidden="1">{#N/A,#N/A,FALSE,"Tabl. G1";#N/A,#N/A,FALSE,"Tabl. G2"}</definedName>
    <definedName name="yyy" localSheetId="11" hidden="1">{#N/A,#N/A,FALSE,"Tabl. G1";#N/A,#N/A,FALSE,"Tabl. G2"}</definedName>
    <definedName name="yyy" localSheetId="12" hidden="1">{#N/A,#N/A,FALSE,"Tabl. G1";#N/A,#N/A,FALSE,"Tabl. G2"}</definedName>
    <definedName name="yyy" localSheetId="13" hidden="1">{#N/A,#N/A,FALSE,"Tabl. G1";#N/A,#N/A,FALSE,"Tabl. G2"}</definedName>
    <definedName name="yyy" localSheetId="14" hidden="1">{#N/A,#N/A,FALSE,"Tabl. G1";#N/A,#N/A,FALSE,"Tabl. G2"}</definedName>
    <definedName name="yyy" localSheetId="15" hidden="1">{#N/A,#N/A,FALSE,"Tabl. G1";#N/A,#N/A,FALSE,"Tabl. G2"}</definedName>
    <definedName name="yyy" localSheetId="20" hidden="1">{#N/A,#N/A,FALSE,"Tabl. G1";#N/A,#N/A,FALSE,"Tabl. G2"}</definedName>
    <definedName name="yyy" localSheetId="21" hidden="1">{#N/A,#N/A,FALSE,"Tabl. G1";#N/A,#N/A,FALSE,"Tabl. G2"}</definedName>
    <definedName name="yyy" localSheetId="22" hidden="1">{#N/A,#N/A,FALSE,"Tabl. G1";#N/A,#N/A,FALSE,"Tabl. G2"}</definedName>
    <definedName name="yyy" localSheetId="23" hidden="1">{#N/A,#N/A,FALSE,"Tabl. G1";#N/A,#N/A,FALSE,"Tabl. G2"}</definedName>
    <definedName name="yyy" localSheetId="24" hidden="1">{#N/A,#N/A,FALSE,"Tabl. G1";#N/A,#N/A,FALSE,"Tabl. G2"}</definedName>
    <definedName name="yyy" localSheetId="25" hidden="1">{#N/A,#N/A,FALSE,"Tabl. G1";#N/A,#N/A,FALSE,"Tabl. G2"}</definedName>
    <definedName name="yyy" localSheetId="26" hidden="1">{#N/A,#N/A,FALSE,"Tabl. G1";#N/A,#N/A,FALSE,"Tabl. G2"}</definedName>
    <definedName name="yyy" localSheetId="27" hidden="1">{#N/A,#N/A,FALSE,"Tabl. G1";#N/A,#N/A,FALSE,"Tabl. G2"}</definedName>
    <definedName name="yyy" localSheetId="28" hidden="1">{#N/A,#N/A,FALSE,"Tabl. G1";#N/A,#N/A,FALSE,"Tabl. G2"}</definedName>
    <definedName name="yyy" localSheetId="29" hidden="1">{#N/A,#N/A,FALSE,"Tabl. G1";#N/A,#N/A,FALSE,"Tabl. G2"}</definedName>
    <definedName name="yyy" localSheetId="30" hidden="1">{#N/A,#N/A,FALSE,"Tabl. G1";#N/A,#N/A,FALSE,"Tabl. G2"}</definedName>
    <definedName name="yyy" localSheetId="31" hidden="1">{#N/A,#N/A,FALSE,"Tabl. G1";#N/A,#N/A,FALSE,"Tabl. G2"}</definedName>
    <definedName name="yyy" localSheetId="32" hidden="1">{#N/A,#N/A,FALSE,"Tabl. G1";#N/A,#N/A,FALSE,"Tabl. G2"}</definedName>
    <definedName name="yyy" hidden="1">{#N/A,#N/A,FALSE,"Tabl. G1";#N/A,#N/A,FALSE,"Tabl. G2"}</definedName>
    <definedName name="yyyyy" localSheetId="3" hidden="1">{#N/A,#N/A,FALSE,"Tabl. D1";#N/A,#N/A,FALSE,"Tabl. D1 b";#N/A,#N/A,FALSE,"Tabl. D2";#N/A,#N/A,FALSE,"Tabl. D2 b";#N/A,#N/A,FALSE,"Tabl. D3";#N/A,#N/A,FALSE,"Tabl. D4";#N/A,#N/A,FALSE,"Tabl. D5"}</definedName>
    <definedName name="yyyyy" localSheetId="5" hidden="1">{#N/A,#N/A,FALSE,"Tabl. D1";#N/A,#N/A,FALSE,"Tabl. D1 b";#N/A,#N/A,FALSE,"Tabl. D2";#N/A,#N/A,FALSE,"Tabl. D2 b";#N/A,#N/A,FALSE,"Tabl. D3";#N/A,#N/A,FALSE,"Tabl. D4";#N/A,#N/A,FALSE,"Tabl. D5"}</definedName>
    <definedName name="yyyyy" localSheetId="6" hidden="1">{#N/A,#N/A,FALSE,"Tabl. D1";#N/A,#N/A,FALSE,"Tabl. D1 b";#N/A,#N/A,FALSE,"Tabl. D2";#N/A,#N/A,FALSE,"Tabl. D2 b";#N/A,#N/A,FALSE,"Tabl. D3";#N/A,#N/A,FALSE,"Tabl. D4";#N/A,#N/A,FALSE,"Tabl. D5"}</definedName>
    <definedName name="yyyyy" localSheetId="7" hidden="1">{#N/A,#N/A,FALSE,"Tabl. D1";#N/A,#N/A,FALSE,"Tabl. D1 b";#N/A,#N/A,FALSE,"Tabl. D2";#N/A,#N/A,FALSE,"Tabl. D2 b";#N/A,#N/A,FALSE,"Tabl. D3";#N/A,#N/A,FALSE,"Tabl. D4";#N/A,#N/A,FALSE,"Tabl. D5"}</definedName>
    <definedName name="yyyyy" localSheetId="9" hidden="1">{#N/A,#N/A,FALSE,"Tabl. D1";#N/A,#N/A,FALSE,"Tabl. D1 b";#N/A,#N/A,FALSE,"Tabl. D2";#N/A,#N/A,FALSE,"Tabl. D2 b";#N/A,#N/A,FALSE,"Tabl. D3";#N/A,#N/A,FALSE,"Tabl. D4";#N/A,#N/A,FALSE,"Tabl. D5"}</definedName>
    <definedName name="yyyyy" localSheetId="10" hidden="1">{#N/A,#N/A,FALSE,"Tabl. D1";#N/A,#N/A,FALSE,"Tabl. D1 b";#N/A,#N/A,FALSE,"Tabl. D2";#N/A,#N/A,FALSE,"Tabl. D2 b";#N/A,#N/A,FALSE,"Tabl. D3";#N/A,#N/A,FALSE,"Tabl. D4";#N/A,#N/A,FALSE,"Tabl. D5"}</definedName>
    <definedName name="yyyyy" localSheetId="11" hidden="1">{#N/A,#N/A,FALSE,"Tabl. D1";#N/A,#N/A,FALSE,"Tabl. D1 b";#N/A,#N/A,FALSE,"Tabl. D2";#N/A,#N/A,FALSE,"Tabl. D2 b";#N/A,#N/A,FALSE,"Tabl. D3";#N/A,#N/A,FALSE,"Tabl. D4";#N/A,#N/A,FALSE,"Tabl. D5"}</definedName>
    <definedName name="yyyyy" localSheetId="12" hidden="1">{#N/A,#N/A,FALSE,"Tabl. D1";#N/A,#N/A,FALSE,"Tabl. D1 b";#N/A,#N/A,FALSE,"Tabl. D2";#N/A,#N/A,FALSE,"Tabl. D2 b";#N/A,#N/A,FALSE,"Tabl. D3";#N/A,#N/A,FALSE,"Tabl. D4";#N/A,#N/A,FALSE,"Tabl. D5"}</definedName>
    <definedName name="yyyyy" localSheetId="13" hidden="1">{#N/A,#N/A,FALSE,"Tabl. D1";#N/A,#N/A,FALSE,"Tabl. D1 b";#N/A,#N/A,FALSE,"Tabl. D2";#N/A,#N/A,FALSE,"Tabl. D2 b";#N/A,#N/A,FALSE,"Tabl. D3";#N/A,#N/A,FALSE,"Tabl. D4";#N/A,#N/A,FALSE,"Tabl. D5"}</definedName>
    <definedName name="yyyyy" localSheetId="14" hidden="1">{#N/A,#N/A,FALSE,"Tabl. D1";#N/A,#N/A,FALSE,"Tabl. D1 b";#N/A,#N/A,FALSE,"Tabl. D2";#N/A,#N/A,FALSE,"Tabl. D2 b";#N/A,#N/A,FALSE,"Tabl. D3";#N/A,#N/A,FALSE,"Tabl. D4";#N/A,#N/A,FALSE,"Tabl. D5"}</definedName>
    <definedName name="yyyyy" localSheetId="15" hidden="1">{#N/A,#N/A,FALSE,"Tabl. D1";#N/A,#N/A,FALSE,"Tabl. D1 b";#N/A,#N/A,FALSE,"Tabl. D2";#N/A,#N/A,FALSE,"Tabl. D2 b";#N/A,#N/A,FALSE,"Tabl. D3";#N/A,#N/A,FALSE,"Tabl. D4";#N/A,#N/A,FALSE,"Tabl. D5"}</definedName>
    <definedName name="yyyyy" localSheetId="20" hidden="1">{#N/A,#N/A,FALSE,"Tabl. D1";#N/A,#N/A,FALSE,"Tabl. D1 b";#N/A,#N/A,FALSE,"Tabl. D2";#N/A,#N/A,FALSE,"Tabl. D2 b";#N/A,#N/A,FALSE,"Tabl. D3";#N/A,#N/A,FALSE,"Tabl. D4";#N/A,#N/A,FALSE,"Tabl. D5"}</definedName>
    <definedName name="yyyyy" localSheetId="21" hidden="1">{#N/A,#N/A,FALSE,"Tabl. D1";#N/A,#N/A,FALSE,"Tabl. D1 b";#N/A,#N/A,FALSE,"Tabl. D2";#N/A,#N/A,FALSE,"Tabl. D2 b";#N/A,#N/A,FALSE,"Tabl. D3";#N/A,#N/A,FALSE,"Tabl. D4";#N/A,#N/A,FALSE,"Tabl. D5"}</definedName>
    <definedName name="yyyyy" localSheetId="22" hidden="1">{#N/A,#N/A,FALSE,"Tabl. D1";#N/A,#N/A,FALSE,"Tabl. D1 b";#N/A,#N/A,FALSE,"Tabl. D2";#N/A,#N/A,FALSE,"Tabl. D2 b";#N/A,#N/A,FALSE,"Tabl. D3";#N/A,#N/A,FALSE,"Tabl. D4";#N/A,#N/A,FALSE,"Tabl. D5"}</definedName>
    <definedName name="yyyyy" localSheetId="23" hidden="1">{#N/A,#N/A,FALSE,"Tabl. D1";#N/A,#N/A,FALSE,"Tabl. D1 b";#N/A,#N/A,FALSE,"Tabl. D2";#N/A,#N/A,FALSE,"Tabl. D2 b";#N/A,#N/A,FALSE,"Tabl. D3";#N/A,#N/A,FALSE,"Tabl. D4";#N/A,#N/A,FALSE,"Tabl. D5"}</definedName>
    <definedName name="yyyyy" localSheetId="24" hidden="1">{#N/A,#N/A,FALSE,"Tabl. D1";#N/A,#N/A,FALSE,"Tabl. D1 b";#N/A,#N/A,FALSE,"Tabl. D2";#N/A,#N/A,FALSE,"Tabl. D2 b";#N/A,#N/A,FALSE,"Tabl. D3";#N/A,#N/A,FALSE,"Tabl. D4";#N/A,#N/A,FALSE,"Tabl. D5"}</definedName>
    <definedName name="yyyyy" localSheetId="25" hidden="1">{#N/A,#N/A,FALSE,"Tabl. D1";#N/A,#N/A,FALSE,"Tabl. D1 b";#N/A,#N/A,FALSE,"Tabl. D2";#N/A,#N/A,FALSE,"Tabl. D2 b";#N/A,#N/A,FALSE,"Tabl. D3";#N/A,#N/A,FALSE,"Tabl. D4";#N/A,#N/A,FALSE,"Tabl. D5"}</definedName>
    <definedName name="yyyyy" localSheetId="26" hidden="1">{#N/A,#N/A,FALSE,"Tabl. D1";#N/A,#N/A,FALSE,"Tabl. D1 b";#N/A,#N/A,FALSE,"Tabl. D2";#N/A,#N/A,FALSE,"Tabl. D2 b";#N/A,#N/A,FALSE,"Tabl. D3";#N/A,#N/A,FALSE,"Tabl. D4";#N/A,#N/A,FALSE,"Tabl. D5"}</definedName>
    <definedName name="yyyyy" localSheetId="27" hidden="1">{#N/A,#N/A,FALSE,"Tabl. D1";#N/A,#N/A,FALSE,"Tabl. D1 b";#N/A,#N/A,FALSE,"Tabl. D2";#N/A,#N/A,FALSE,"Tabl. D2 b";#N/A,#N/A,FALSE,"Tabl. D3";#N/A,#N/A,FALSE,"Tabl. D4";#N/A,#N/A,FALSE,"Tabl. D5"}</definedName>
    <definedName name="yyyyy" localSheetId="28" hidden="1">{#N/A,#N/A,FALSE,"Tabl. D1";#N/A,#N/A,FALSE,"Tabl. D1 b";#N/A,#N/A,FALSE,"Tabl. D2";#N/A,#N/A,FALSE,"Tabl. D2 b";#N/A,#N/A,FALSE,"Tabl. D3";#N/A,#N/A,FALSE,"Tabl. D4";#N/A,#N/A,FALSE,"Tabl. D5"}</definedName>
    <definedName name="yyyyy" localSheetId="29" hidden="1">{#N/A,#N/A,FALSE,"Tabl. D1";#N/A,#N/A,FALSE,"Tabl. D1 b";#N/A,#N/A,FALSE,"Tabl. D2";#N/A,#N/A,FALSE,"Tabl. D2 b";#N/A,#N/A,FALSE,"Tabl. D3";#N/A,#N/A,FALSE,"Tabl. D4";#N/A,#N/A,FALSE,"Tabl. D5"}</definedName>
    <definedName name="yyyyy" localSheetId="30" hidden="1">{#N/A,#N/A,FALSE,"Tabl. D1";#N/A,#N/A,FALSE,"Tabl. D1 b";#N/A,#N/A,FALSE,"Tabl. D2";#N/A,#N/A,FALSE,"Tabl. D2 b";#N/A,#N/A,FALSE,"Tabl. D3";#N/A,#N/A,FALSE,"Tabl. D4";#N/A,#N/A,FALSE,"Tabl. D5"}</definedName>
    <definedName name="yyyyy" localSheetId="31" hidden="1">{#N/A,#N/A,FALSE,"Tabl. D1";#N/A,#N/A,FALSE,"Tabl. D1 b";#N/A,#N/A,FALSE,"Tabl. D2";#N/A,#N/A,FALSE,"Tabl. D2 b";#N/A,#N/A,FALSE,"Tabl. D3";#N/A,#N/A,FALSE,"Tabl. D4";#N/A,#N/A,FALSE,"Tabl. D5"}</definedName>
    <definedName name="yyyyy" localSheetId="32" hidden="1">{#N/A,#N/A,FALSE,"Tabl. D1";#N/A,#N/A,FALSE,"Tabl. D1 b";#N/A,#N/A,FALSE,"Tabl. D2";#N/A,#N/A,FALSE,"Tabl. D2 b";#N/A,#N/A,FALSE,"Tabl. D3";#N/A,#N/A,FALSE,"Tabl. D4";#N/A,#N/A,FALSE,"Tabl. D5"}</definedName>
    <definedName name="yyyyy" hidden="1">{#N/A,#N/A,FALSE,"Tabl. D1";#N/A,#N/A,FALSE,"Tabl. D1 b";#N/A,#N/A,FALSE,"Tabl. D2";#N/A,#N/A,FALSE,"Tabl. D2 b";#N/A,#N/A,FALSE,"Tabl. D3";#N/A,#N/A,FALSE,"Tabl. D4";#N/A,#N/A,FALSE,"Tabl. D5"}</definedName>
    <definedName name="zzz" localSheetId="3" hidden="1">{#N/A,#N/A,FALSE,"Tabl. G1";#N/A,#N/A,FALSE,"Tabl. G2"}</definedName>
    <definedName name="zzz" localSheetId="5" hidden="1">{#N/A,#N/A,FALSE,"Tabl. G1";#N/A,#N/A,FALSE,"Tabl. G2"}</definedName>
    <definedName name="zzz" localSheetId="6" hidden="1">{#N/A,#N/A,FALSE,"Tabl. G1";#N/A,#N/A,FALSE,"Tabl. G2"}</definedName>
    <definedName name="zzz" localSheetId="7" hidden="1">{#N/A,#N/A,FALSE,"Tabl. G1";#N/A,#N/A,FALSE,"Tabl. G2"}</definedName>
    <definedName name="zzz" localSheetId="9" hidden="1">{#N/A,#N/A,FALSE,"Tabl. G1";#N/A,#N/A,FALSE,"Tabl. G2"}</definedName>
    <definedName name="zzz" localSheetId="10" hidden="1">{#N/A,#N/A,FALSE,"Tabl. G1";#N/A,#N/A,FALSE,"Tabl. G2"}</definedName>
    <definedName name="zzz" localSheetId="11" hidden="1">{#N/A,#N/A,FALSE,"Tabl. G1";#N/A,#N/A,FALSE,"Tabl. G2"}</definedName>
    <definedName name="zzz" localSheetId="12" hidden="1">{#N/A,#N/A,FALSE,"Tabl. G1";#N/A,#N/A,FALSE,"Tabl. G2"}</definedName>
    <definedName name="zzz" localSheetId="13" hidden="1">{#N/A,#N/A,FALSE,"Tabl. G1";#N/A,#N/A,FALSE,"Tabl. G2"}</definedName>
    <definedName name="zzz" localSheetId="14" hidden="1">{#N/A,#N/A,FALSE,"Tabl. G1";#N/A,#N/A,FALSE,"Tabl. G2"}</definedName>
    <definedName name="zzz" localSheetId="15" hidden="1">{#N/A,#N/A,FALSE,"Tabl. G1";#N/A,#N/A,FALSE,"Tabl. G2"}</definedName>
    <definedName name="zzz" localSheetId="20" hidden="1">{#N/A,#N/A,FALSE,"Tabl. G1";#N/A,#N/A,FALSE,"Tabl. G2"}</definedName>
    <definedName name="zzz" localSheetId="21" hidden="1">{#N/A,#N/A,FALSE,"Tabl. G1";#N/A,#N/A,FALSE,"Tabl. G2"}</definedName>
    <definedName name="zzz" localSheetId="22" hidden="1">{#N/A,#N/A,FALSE,"Tabl. G1";#N/A,#N/A,FALSE,"Tabl. G2"}</definedName>
    <definedName name="zzz" localSheetId="23" hidden="1">{#N/A,#N/A,FALSE,"Tabl. G1";#N/A,#N/A,FALSE,"Tabl. G2"}</definedName>
    <definedName name="zzz" localSheetId="24" hidden="1">{#N/A,#N/A,FALSE,"Tabl. G1";#N/A,#N/A,FALSE,"Tabl. G2"}</definedName>
    <definedName name="zzz" localSheetId="25" hidden="1">{#N/A,#N/A,FALSE,"Tabl. G1";#N/A,#N/A,FALSE,"Tabl. G2"}</definedName>
    <definedName name="zzz" localSheetId="26" hidden="1">{#N/A,#N/A,FALSE,"Tabl. G1";#N/A,#N/A,FALSE,"Tabl. G2"}</definedName>
    <definedName name="zzz" localSheetId="27" hidden="1">{#N/A,#N/A,FALSE,"Tabl. G1";#N/A,#N/A,FALSE,"Tabl. G2"}</definedName>
    <definedName name="zzz" localSheetId="28" hidden="1">{#N/A,#N/A,FALSE,"Tabl. G1";#N/A,#N/A,FALSE,"Tabl. G2"}</definedName>
    <definedName name="zzz" localSheetId="29" hidden="1">{#N/A,#N/A,FALSE,"Tabl. G1";#N/A,#N/A,FALSE,"Tabl. G2"}</definedName>
    <definedName name="zzz" localSheetId="30" hidden="1">{#N/A,#N/A,FALSE,"Tabl. G1";#N/A,#N/A,FALSE,"Tabl. G2"}</definedName>
    <definedName name="zzz" localSheetId="31" hidden="1">{#N/A,#N/A,FALSE,"Tabl. G1";#N/A,#N/A,FALSE,"Tabl. G2"}</definedName>
    <definedName name="zzz" localSheetId="32" hidden="1">{#N/A,#N/A,FALSE,"Tabl. G1";#N/A,#N/A,FALSE,"Tabl. G2"}</definedName>
    <definedName name="zzz" hidden="1">{#N/A,#N/A,FALSE,"Tabl. G1";#N/A,#N/A,FALSE,"Tabl. 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4" l="1"/>
  <c r="F24" i="4"/>
  <c r="G24" i="4"/>
  <c r="H24" i="4"/>
  <c r="I24" i="4"/>
  <c r="J24" i="4"/>
  <c r="K24" i="4"/>
  <c r="L24" i="4"/>
  <c r="M24" i="4"/>
  <c r="N24" i="4"/>
  <c r="O24" i="4"/>
  <c r="D24" i="4"/>
  <c r="G10" i="4"/>
  <c r="H10" i="4" s="1"/>
  <c r="I10" i="4" s="1"/>
  <c r="J10" i="4" s="1"/>
  <c r="K10" i="4" s="1"/>
  <c r="L10" i="4" s="1"/>
  <c r="M10" i="4" s="1"/>
  <c r="N10" i="4" s="1"/>
  <c r="O10" i="4" s="1"/>
  <c r="F10" i="4"/>
  <c r="H21" i="1" l="1"/>
  <c r="C8" i="6"/>
  <c r="C9" i="6" s="1"/>
  <c r="C10" i="6" s="1"/>
  <c r="C11" i="6" s="1"/>
  <c r="C12" i="6" s="1"/>
  <c r="C13" i="6" s="1"/>
  <c r="C14" i="6" s="1"/>
  <c r="C15" i="6" s="1"/>
  <c r="C16" i="6" s="1"/>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7" i="6"/>
  <c r="C15" i="7"/>
  <c r="C14" i="7"/>
  <c r="C13" i="7"/>
  <c r="C12" i="7"/>
  <c r="AO21" i="1"/>
  <c r="AK21" i="1"/>
  <c r="AG21" i="1"/>
  <c r="AC21" i="1"/>
  <c r="Y21" i="1"/>
  <c r="C11" i="7" s="1"/>
  <c r="C5" i="7"/>
  <c r="H26" i="39"/>
  <c r="D26" i="39"/>
  <c r="H2" i="39" s="1"/>
  <c r="I20" i="39"/>
  <c r="E20" i="39"/>
  <c r="I15" i="39"/>
  <c r="E15" i="39"/>
  <c r="I10" i="39"/>
  <c r="E10" i="39"/>
  <c r="I5" i="39"/>
  <c r="E5" i="39"/>
  <c r="C7" i="7" l="1"/>
  <c r="D7" i="7" s="1"/>
  <c r="E5" i="7"/>
  <c r="F5" i="7" s="1"/>
  <c r="G5" i="7" s="1"/>
  <c r="E10" i="37"/>
  <c r="D10" i="37"/>
  <c r="L26" i="34"/>
  <c r="N26" i="34" s="1"/>
  <c r="K26" i="34"/>
  <c r="D3" i="34"/>
  <c r="T4" i="38"/>
  <c r="X22" i="38"/>
  <c r="T22" i="38"/>
  <c r="P22" i="38"/>
  <c r="L22" i="38"/>
  <c r="H22" i="38"/>
  <c r="R20" i="38" s="1"/>
  <c r="D4" i="38"/>
  <c r="H4" i="38"/>
  <c r="L4" i="38"/>
  <c r="P4" i="38"/>
  <c r="L20" i="31"/>
  <c r="L19" i="31"/>
  <c r="L18" i="31"/>
  <c r="L17" i="31"/>
  <c r="L16" i="31"/>
  <c r="L15" i="31"/>
  <c r="L14" i="31"/>
  <c r="L13" i="31"/>
  <c r="L12" i="31"/>
  <c r="L11" i="31"/>
  <c r="L10" i="31"/>
  <c r="L9" i="31"/>
  <c r="L8" i="31"/>
  <c r="L7" i="31"/>
  <c r="L6" i="31"/>
  <c r="I22" i="31"/>
  <c r="H22" i="31"/>
  <c r="G22" i="31"/>
  <c r="X4" i="38"/>
  <c r="T21" i="1"/>
  <c r="C10" i="7" s="1"/>
  <c r="D10" i="7" s="1"/>
  <c r="P21" i="1"/>
  <c r="C9" i="7" s="1"/>
  <c r="D9" i="7" s="1"/>
  <c r="L21" i="1"/>
  <c r="C8" i="7" s="1"/>
  <c r="D8" i="7" s="1"/>
  <c r="D21" i="1"/>
  <c r="C6" i="7" s="1"/>
  <c r="C11" i="4"/>
  <c r="F3" i="35"/>
  <c r="G7" i="35" s="1"/>
  <c r="U26" i="35"/>
  <c r="BB26" i="35"/>
  <c r="BD26" i="35" s="1"/>
  <c r="BA26" i="35"/>
  <c r="BC26" i="35" s="1"/>
  <c r="AX26" i="35"/>
  <c r="AZ26" i="35" s="1"/>
  <c r="AW26" i="35"/>
  <c r="AT26" i="35"/>
  <c r="AV26" i="35" s="1"/>
  <c r="AS26" i="35"/>
  <c r="AP26" i="35"/>
  <c r="AO26" i="35"/>
  <c r="AQ26" i="35" s="1"/>
  <c r="AL26" i="35"/>
  <c r="AK26" i="35"/>
  <c r="AM26" i="35" s="1"/>
  <c r="AH26" i="35"/>
  <c r="AJ26" i="35" s="1"/>
  <c r="AG26" i="35"/>
  <c r="AF26" i="35"/>
  <c r="AD26" i="35"/>
  <c r="AC26" i="35"/>
  <c r="Z26" i="35"/>
  <c r="AB26" i="35" s="1"/>
  <c r="Y26" i="35"/>
  <c r="V26" i="35"/>
  <c r="X26" i="35" s="1"/>
  <c r="R26" i="35"/>
  <c r="T26" i="35" s="1"/>
  <c r="Q26" i="35"/>
  <c r="N26" i="35"/>
  <c r="M26" i="35"/>
  <c r="BF26" i="35"/>
  <c r="BE26" i="35"/>
  <c r="BG26" i="35" s="1"/>
  <c r="BJ25" i="35"/>
  <c r="BI25" i="35"/>
  <c r="BJ24" i="35"/>
  <c r="BL24" i="35" s="1"/>
  <c r="BI24" i="35"/>
  <c r="BJ23" i="35"/>
  <c r="BL23" i="35" s="1"/>
  <c r="BI23" i="35"/>
  <c r="BJ22" i="35"/>
  <c r="BI22" i="35"/>
  <c r="BK22" i="35" s="1"/>
  <c r="BJ21" i="35"/>
  <c r="BI21" i="35"/>
  <c r="BJ20" i="35"/>
  <c r="BI20" i="35"/>
  <c r="BK20" i="35" s="1"/>
  <c r="BJ19" i="35"/>
  <c r="BI19" i="35"/>
  <c r="BL19" i="35" s="1"/>
  <c r="BJ18" i="35"/>
  <c r="BI18" i="35"/>
  <c r="BK18" i="35" s="1"/>
  <c r="BJ17" i="35"/>
  <c r="BL17" i="35" s="1"/>
  <c r="BI17" i="35"/>
  <c r="BJ16" i="35"/>
  <c r="BL16" i="35" s="1"/>
  <c r="BI16" i="35"/>
  <c r="BJ15" i="35"/>
  <c r="BL15" i="35" s="1"/>
  <c r="BI15" i="35"/>
  <c r="BK15" i="35" s="1"/>
  <c r="BJ14" i="35"/>
  <c r="BI14" i="35"/>
  <c r="BJ13" i="35"/>
  <c r="BL13" i="35" s="1"/>
  <c r="BI13" i="35"/>
  <c r="BJ12" i="35"/>
  <c r="BI12" i="35"/>
  <c r="BK12" i="35" s="1"/>
  <c r="BJ11" i="35"/>
  <c r="BI11" i="35"/>
  <c r="BJ10" i="35"/>
  <c r="BI10" i="35"/>
  <c r="BK9" i="35"/>
  <c r="BJ9" i="35"/>
  <c r="BI9" i="35"/>
  <c r="BJ8" i="35"/>
  <c r="BI8" i="35"/>
  <c r="BL7" i="35"/>
  <c r="BJ7" i="35"/>
  <c r="BI7" i="35"/>
  <c r="BJ6" i="35"/>
  <c r="BI6" i="35"/>
  <c r="BJ5" i="35"/>
  <c r="BI5" i="35"/>
  <c r="BL5" i="35" s="1"/>
  <c r="BH25" i="35"/>
  <c r="BG25" i="35"/>
  <c r="BH24" i="35"/>
  <c r="BG24" i="35"/>
  <c r="BH23" i="35"/>
  <c r="BG23" i="35"/>
  <c r="BH22" i="35"/>
  <c r="BG22" i="35"/>
  <c r="BH21" i="35"/>
  <c r="BG21" i="35"/>
  <c r="BH20" i="35"/>
  <c r="BG20" i="35"/>
  <c r="BH19" i="35"/>
  <c r="BG19" i="35"/>
  <c r="BH18" i="35"/>
  <c r="BG18" i="35"/>
  <c r="BH17" i="35"/>
  <c r="BG17" i="35"/>
  <c r="BH16" i="35"/>
  <c r="BG16" i="35"/>
  <c r="BH15" i="35"/>
  <c r="BG15" i="35"/>
  <c r="BH14" i="35"/>
  <c r="BG14" i="35"/>
  <c r="BH13" i="35"/>
  <c r="BG13" i="35"/>
  <c r="BH12" i="35"/>
  <c r="BG12" i="35"/>
  <c r="BH11" i="35"/>
  <c r="BG11" i="35"/>
  <c r="BH10" i="35"/>
  <c r="BG10" i="35"/>
  <c r="BH9" i="35"/>
  <c r="BG9" i="35"/>
  <c r="BH8" i="35"/>
  <c r="BG8" i="35"/>
  <c r="BH7" i="35"/>
  <c r="BG7" i="35"/>
  <c r="BH6" i="35"/>
  <c r="BG6" i="35"/>
  <c r="BH5" i="35"/>
  <c r="BG5" i="35"/>
  <c r="BD25" i="35"/>
  <c r="BC25" i="35"/>
  <c r="BD24" i="35"/>
  <c r="BC24" i="35"/>
  <c r="BD23" i="35"/>
  <c r="BC23" i="35"/>
  <c r="BD22" i="35"/>
  <c r="BC22" i="35"/>
  <c r="BD21" i="35"/>
  <c r="BC21" i="35"/>
  <c r="BD20" i="35"/>
  <c r="BC20" i="35"/>
  <c r="BD19" i="35"/>
  <c r="BC19" i="35"/>
  <c r="BD18" i="35"/>
  <c r="BC18" i="35"/>
  <c r="BD17" i="35"/>
  <c r="BC17" i="35"/>
  <c r="BD16" i="35"/>
  <c r="BC16" i="35"/>
  <c r="BD15" i="35"/>
  <c r="BC15" i="35"/>
  <c r="BD14" i="35"/>
  <c r="BC14" i="35"/>
  <c r="BD13" i="35"/>
  <c r="BC13" i="35"/>
  <c r="BD12" i="35"/>
  <c r="BC12" i="35"/>
  <c r="BD11" i="35"/>
  <c r="BC11" i="35"/>
  <c r="BD10" i="35"/>
  <c r="BC10" i="35"/>
  <c r="BD9" i="35"/>
  <c r="BC9" i="35"/>
  <c r="BD8" i="35"/>
  <c r="BC8" i="35"/>
  <c r="BD7" i="35"/>
  <c r="BC7" i="35"/>
  <c r="BD6" i="35"/>
  <c r="BC6" i="35"/>
  <c r="BD5" i="35"/>
  <c r="BC5" i="35"/>
  <c r="AZ25" i="35"/>
  <c r="AY25" i="35"/>
  <c r="AZ24" i="35"/>
  <c r="AY24" i="35"/>
  <c r="AZ23" i="35"/>
  <c r="AY23" i="35"/>
  <c r="AZ22" i="35"/>
  <c r="AY22" i="35"/>
  <c r="AZ21" i="35"/>
  <c r="AY21" i="35"/>
  <c r="AZ20" i="35"/>
  <c r="AY20" i="35"/>
  <c r="AZ19" i="35"/>
  <c r="AY19" i="35"/>
  <c r="AZ18" i="35"/>
  <c r="AY18" i="35"/>
  <c r="AZ17" i="35"/>
  <c r="AY17" i="35"/>
  <c r="AZ16" i="35"/>
  <c r="AY16" i="35"/>
  <c r="AZ15" i="35"/>
  <c r="AY15" i="35"/>
  <c r="AZ14" i="35"/>
  <c r="AY14" i="35"/>
  <c r="AZ13" i="35"/>
  <c r="AY13" i="35"/>
  <c r="AZ12" i="35"/>
  <c r="AY12" i="35"/>
  <c r="AZ11" i="35"/>
  <c r="AY11" i="35"/>
  <c r="AZ10" i="35"/>
  <c r="AY10" i="35"/>
  <c r="AZ9" i="35"/>
  <c r="AY9" i="35"/>
  <c r="AZ8" i="35"/>
  <c r="AY8" i="35"/>
  <c r="AZ7" i="35"/>
  <c r="AY7" i="35"/>
  <c r="AZ6" i="35"/>
  <c r="AY6" i="35"/>
  <c r="AZ5" i="35"/>
  <c r="AY5" i="35"/>
  <c r="AV25" i="35"/>
  <c r="AU25" i="35"/>
  <c r="AV24" i="35"/>
  <c r="AU24" i="35"/>
  <c r="AV23" i="35"/>
  <c r="AU23" i="35"/>
  <c r="AV22" i="35"/>
  <c r="AU22" i="35"/>
  <c r="AV21" i="35"/>
  <c r="AU21" i="35"/>
  <c r="AV20" i="35"/>
  <c r="AU20" i="35"/>
  <c r="AV19" i="35"/>
  <c r="AU19" i="35"/>
  <c r="AV18" i="35"/>
  <c r="AU18" i="35"/>
  <c r="AV17" i="35"/>
  <c r="AU17" i="35"/>
  <c r="AV16" i="35"/>
  <c r="AU16" i="35"/>
  <c r="AV15" i="35"/>
  <c r="AU15" i="35"/>
  <c r="AV14" i="35"/>
  <c r="AU14" i="35"/>
  <c r="AV13" i="35"/>
  <c r="AU13" i="35"/>
  <c r="AV12" i="35"/>
  <c r="AU12" i="35"/>
  <c r="AV11" i="35"/>
  <c r="AU11" i="35"/>
  <c r="AV10" i="35"/>
  <c r="AU10" i="35"/>
  <c r="AV9" i="35"/>
  <c r="AU9" i="35"/>
  <c r="AV8" i="35"/>
  <c r="AU8" i="35"/>
  <c r="AV7" i="35"/>
  <c r="AU7" i="35"/>
  <c r="AV6" i="35"/>
  <c r="AU6" i="35"/>
  <c r="AV5" i="35"/>
  <c r="AU5" i="35"/>
  <c r="AR25" i="35"/>
  <c r="AQ25" i="35"/>
  <c r="AR24" i="35"/>
  <c r="AQ24" i="35"/>
  <c r="AR23" i="35"/>
  <c r="AQ23" i="35"/>
  <c r="AR22" i="35"/>
  <c r="AQ22" i="35"/>
  <c r="AR21" i="35"/>
  <c r="AQ21" i="35"/>
  <c r="AR20" i="35"/>
  <c r="AQ20" i="35"/>
  <c r="AR19" i="35"/>
  <c r="AQ19" i="35"/>
  <c r="AR18" i="35"/>
  <c r="AQ18" i="35"/>
  <c r="AR17" i="35"/>
  <c r="AQ17" i="35"/>
  <c r="AR16" i="35"/>
  <c r="AQ16" i="35"/>
  <c r="AR15" i="35"/>
  <c r="AQ15" i="35"/>
  <c r="AR14" i="35"/>
  <c r="AQ14" i="35"/>
  <c r="AR13" i="35"/>
  <c r="AQ13" i="35"/>
  <c r="AR12" i="35"/>
  <c r="AQ12" i="35"/>
  <c r="AR11" i="35"/>
  <c r="AQ11" i="35"/>
  <c r="AR10" i="35"/>
  <c r="AQ10" i="35"/>
  <c r="AR9" i="35"/>
  <c r="AQ9" i="35"/>
  <c r="AR8" i="35"/>
  <c r="AQ8" i="35"/>
  <c r="AR7" i="35"/>
  <c r="AQ7" i="35"/>
  <c r="AR6" i="35"/>
  <c r="AQ6" i="35"/>
  <c r="AR5" i="35"/>
  <c r="AQ5" i="35"/>
  <c r="AN25" i="35"/>
  <c r="AM25" i="35"/>
  <c r="AN24" i="35"/>
  <c r="AM24" i="35"/>
  <c r="AN23" i="35"/>
  <c r="AM23" i="35"/>
  <c r="AN22" i="35"/>
  <c r="AM22" i="35"/>
  <c r="AN21" i="35"/>
  <c r="AM21" i="35"/>
  <c r="AN20" i="35"/>
  <c r="AM20" i="35"/>
  <c r="AN19" i="35"/>
  <c r="AM19" i="35"/>
  <c r="AN18" i="35"/>
  <c r="AM18" i="35"/>
  <c r="AN17" i="35"/>
  <c r="AM17" i="35"/>
  <c r="AN16" i="35"/>
  <c r="AM16" i="35"/>
  <c r="AN15" i="35"/>
  <c r="AM15" i="35"/>
  <c r="AN14" i="35"/>
  <c r="AM14" i="35"/>
  <c r="AN13" i="35"/>
  <c r="AM13" i="35"/>
  <c r="AN12" i="35"/>
  <c r="AM12" i="35"/>
  <c r="AN11" i="35"/>
  <c r="AM11" i="35"/>
  <c r="AN10" i="35"/>
  <c r="AM10" i="35"/>
  <c r="AN9" i="35"/>
  <c r="AM9" i="35"/>
  <c r="AN8" i="35"/>
  <c r="AM8" i="35"/>
  <c r="AN7" i="35"/>
  <c r="AM7" i="35"/>
  <c r="AN6" i="35"/>
  <c r="AM6" i="35"/>
  <c r="AN5" i="35"/>
  <c r="AM5" i="35"/>
  <c r="AJ25" i="35"/>
  <c r="AI25" i="35"/>
  <c r="AJ24" i="35"/>
  <c r="AI24" i="35"/>
  <c r="AJ23" i="35"/>
  <c r="AI23" i="35"/>
  <c r="AJ22" i="35"/>
  <c r="AI22" i="35"/>
  <c r="AJ21" i="35"/>
  <c r="AI21" i="35"/>
  <c r="AJ20" i="35"/>
  <c r="AI20" i="35"/>
  <c r="AJ19" i="35"/>
  <c r="AI19" i="35"/>
  <c r="AJ18" i="35"/>
  <c r="AI18" i="35"/>
  <c r="AJ17" i="35"/>
  <c r="AI17" i="35"/>
  <c r="AJ16" i="35"/>
  <c r="AI16" i="35"/>
  <c r="AJ15" i="35"/>
  <c r="AI15" i="35"/>
  <c r="AJ14" i="35"/>
  <c r="AI14" i="35"/>
  <c r="AJ13" i="35"/>
  <c r="AI13" i="35"/>
  <c r="AJ12" i="35"/>
  <c r="AI12" i="35"/>
  <c r="AJ11" i="35"/>
  <c r="AI11" i="35"/>
  <c r="AJ10" i="35"/>
  <c r="AI10" i="35"/>
  <c r="AJ9" i="35"/>
  <c r="AI9" i="35"/>
  <c r="AJ8" i="35"/>
  <c r="AI8" i="35"/>
  <c r="AJ7" i="35"/>
  <c r="AI7" i="35"/>
  <c r="AJ6" i="35"/>
  <c r="AI6" i="35"/>
  <c r="AJ5" i="35"/>
  <c r="AI5" i="35"/>
  <c r="AF25" i="35"/>
  <c r="AE25" i="35"/>
  <c r="AF24" i="35"/>
  <c r="AE24" i="35"/>
  <c r="AF23" i="35"/>
  <c r="AE23" i="35"/>
  <c r="AF22" i="35"/>
  <c r="AE22" i="35"/>
  <c r="AF21" i="35"/>
  <c r="AE21" i="35"/>
  <c r="AF20" i="35"/>
  <c r="AE20" i="35"/>
  <c r="AF19" i="35"/>
  <c r="AE19" i="35"/>
  <c r="AF18" i="35"/>
  <c r="AE18" i="35"/>
  <c r="AF17" i="35"/>
  <c r="AE17" i="35"/>
  <c r="AF16" i="35"/>
  <c r="AE16" i="35"/>
  <c r="AF15" i="35"/>
  <c r="AE15" i="35"/>
  <c r="AF14" i="35"/>
  <c r="AE14" i="35"/>
  <c r="AF13" i="35"/>
  <c r="AE13" i="35"/>
  <c r="AF12" i="35"/>
  <c r="AE12" i="35"/>
  <c r="AF11" i="35"/>
  <c r="AE11" i="35"/>
  <c r="AF10" i="35"/>
  <c r="AE10" i="35"/>
  <c r="AF9" i="35"/>
  <c r="AE9" i="35"/>
  <c r="AF8" i="35"/>
  <c r="AE8" i="35"/>
  <c r="AF7" i="35"/>
  <c r="AE7" i="35"/>
  <c r="AF6" i="35"/>
  <c r="AE6" i="35"/>
  <c r="AF5" i="35"/>
  <c r="AE5" i="35"/>
  <c r="AB25" i="35"/>
  <c r="AA25" i="35"/>
  <c r="AB24" i="35"/>
  <c r="AA24" i="35"/>
  <c r="AB23" i="35"/>
  <c r="AA23" i="35"/>
  <c r="AB22" i="35"/>
  <c r="AA22" i="35"/>
  <c r="AB21" i="35"/>
  <c r="AA21" i="35"/>
  <c r="AB20" i="35"/>
  <c r="AA20" i="35"/>
  <c r="AB19" i="35"/>
  <c r="AA19" i="35"/>
  <c r="AB18" i="35"/>
  <c r="AA18" i="35"/>
  <c r="AB17" i="35"/>
  <c r="AA17" i="35"/>
  <c r="AB16" i="35"/>
  <c r="AA16" i="35"/>
  <c r="AB15" i="35"/>
  <c r="AA15" i="35"/>
  <c r="AB14" i="35"/>
  <c r="AA14" i="35"/>
  <c r="AB13" i="35"/>
  <c r="AA13" i="35"/>
  <c r="AB12" i="35"/>
  <c r="AA12" i="35"/>
  <c r="AB11" i="35"/>
  <c r="AA11" i="35"/>
  <c r="AB10" i="35"/>
  <c r="AA10" i="35"/>
  <c r="AB9" i="35"/>
  <c r="AA9" i="35"/>
  <c r="AB8" i="35"/>
  <c r="AA8" i="35"/>
  <c r="AB7" i="35"/>
  <c r="AA7" i="35"/>
  <c r="AB6" i="35"/>
  <c r="AA6" i="35"/>
  <c r="AB5" i="35"/>
  <c r="AA5" i="35"/>
  <c r="X25" i="35"/>
  <c r="W25" i="35"/>
  <c r="X24" i="35"/>
  <c r="W24" i="35"/>
  <c r="X23" i="35"/>
  <c r="W23" i="35"/>
  <c r="X22" i="35"/>
  <c r="W22" i="35"/>
  <c r="X21" i="35"/>
  <c r="W21" i="35"/>
  <c r="X20" i="35"/>
  <c r="W20" i="35"/>
  <c r="X19" i="35"/>
  <c r="W19" i="35"/>
  <c r="X18" i="35"/>
  <c r="W18" i="35"/>
  <c r="X17" i="35"/>
  <c r="W17" i="35"/>
  <c r="X16" i="35"/>
  <c r="W16" i="35"/>
  <c r="X15" i="35"/>
  <c r="W15" i="35"/>
  <c r="X14" i="35"/>
  <c r="W14" i="35"/>
  <c r="X13" i="35"/>
  <c r="W13" i="35"/>
  <c r="X12" i="35"/>
  <c r="W12" i="35"/>
  <c r="X11" i="35"/>
  <c r="W11" i="35"/>
  <c r="X10" i="35"/>
  <c r="W10" i="35"/>
  <c r="X9" i="35"/>
  <c r="W9" i="35"/>
  <c r="X8" i="35"/>
  <c r="W8" i="35"/>
  <c r="X7" i="35"/>
  <c r="W7" i="35"/>
  <c r="X6" i="35"/>
  <c r="W6" i="35"/>
  <c r="X5" i="35"/>
  <c r="W5" i="35"/>
  <c r="T25" i="35"/>
  <c r="S25" i="35"/>
  <c r="T24" i="35"/>
  <c r="S24" i="35"/>
  <c r="T23" i="35"/>
  <c r="S23" i="35"/>
  <c r="T22" i="35"/>
  <c r="S22" i="35"/>
  <c r="T21" i="35"/>
  <c r="S21" i="35"/>
  <c r="T20" i="35"/>
  <c r="S20" i="35"/>
  <c r="T19" i="35"/>
  <c r="S19" i="35"/>
  <c r="T18" i="35"/>
  <c r="S18" i="35"/>
  <c r="T17" i="35"/>
  <c r="S17" i="35"/>
  <c r="T16" i="35"/>
  <c r="S16" i="35"/>
  <c r="T15" i="35"/>
  <c r="S15" i="35"/>
  <c r="T14" i="35"/>
  <c r="S14" i="35"/>
  <c r="T13" i="35"/>
  <c r="S13" i="35"/>
  <c r="T12" i="35"/>
  <c r="S12" i="35"/>
  <c r="T11" i="35"/>
  <c r="S11" i="35"/>
  <c r="T10" i="35"/>
  <c r="S10" i="35"/>
  <c r="T9" i="35"/>
  <c r="S9" i="35"/>
  <c r="T8" i="35"/>
  <c r="S8" i="35"/>
  <c r="T7" i="35"/>
  <c r="S7" i="35"/>
  <c r="T6" i="35"/>
  <c r="S6" i="35"/>
  <c r="T5" i="35"/>
  <c r="S5" i="35"/>
  <c r="P25" i="35"/>
  <c r="O25" i="35"/>
  <c r="P24" i="35"/>
  <c r="O24" i="35"/>
  <c r="P23" i="35"/>
  <c r="O23" i="35"/>
  <c r="P22" i="35"/>
  <c r="O22" i="35"/>
  <c r="P21" i="35"/>
  <c r="O21" i="35"/>
  <c r="P20" i="35"/>
  <c r="O20" i="35"/>
  <c r="P19" i="35"/>
  <c r="O19" i="35"/>
  <c r="P18" i="35"/>
  <c r="O18" i="35"/>
  <c r="P17" i="35"/>
  <c r="O17" i="35"/>
  <c r="P16" i="35"/>
  <c r="O16" i="35"/>
  <c r="P15" i="35"/>
  <c r="O15" i="35"/>
  <c r="P14" i="35"/>
  <c r="O14" i="35"/>
  <c r="P13" i="35"/>
  <c r="O13" i="35"/>
  <c r="P12" i="35"/>
  <c r="O12" i="35"/>
  <c r="P11" i="35"/>
  <c r="O11" i="35"/>
  <c r="P10" i="35"/>
  <c r="O10" i="35"/>
  <c r="P9" i="35"/>
  <c r="O9" i="35"/>
  <c r="P8" i="35"/>
  <c r="O8" i="35"/>
  <c r="P7" i="35"/>
  <c r="O7" i="35"/>
  <c r="P6" i="35"/>
  <c r="O6" i="35"/>
  <c r="P5" i="35"/>
  <c r="O5" i="35"/>
  <c r="BF25" i="34"/>
  <c r="BE25" i="34"/>
  <c r="BF24" i="34"/>
  <c r="BE24" i="34"/>
  <c r="BF23" i="34"/>
  <c r="BE23" i="34"/>
  <c r="BF22" i="34"/>
  <c r="BE22" i="34"/>
  <c r="BF21" i="34"/>
  <c r="BE21" i="34"/>
  <c r="BF20" i="34"/>
  <c r="BE20" i="34"/>
  <c r="BF19" i="34"/>
  <c r="BE19" i="34"/>
  <c r="BF18" i="34"/>
  <c r="BE18" i="34"/>
  <c r="BF17" i="34"/>
  <c r="BE17" i="34"/>
  <c r="BF16" i="34"/>
  <c r="BE16" i="34"/>
  <c r="BF15" i="34"/>
  <c r="BE15" i="34"/>
  <c r="BF14" i="34"/>
  <c r="BE14" i="34"/>
  <c r="BF13" i="34"/>
  <c r="BE13" i="34"/>
  <c r="BF12" i="34"/>
  <c r="BE12" i="34"/>
  <c r="BF11" i="34"/>
  <c r="BE11" i="34"/>
  <c r="BF10" i="34"/>
  <c r="BE10" i="34"/>
  <c r="BF9" i="34"/>
  <c r="BE9" i="34"/>
  <c r="BF8" i="34"/>
  <c r="BE8" i="34"/>
  <c r="BF7" i="34"/>
  <c r="BE7" i="34"/>
  <c r="BF6" i="34"/>
  <c r="BE6" i="34"/>
  <c r="BF5" i="34"/>
  <c r="BE5" i="34"/>
  <c r="BB25" i="34"/>
  <c r="BA25" i="34"/>
  <c r="BB24" i="34"/>
  <c r="BA24" i="34"/>
  <c r="BB23" i="34"/>
  <c r="BA23" i="34"/>
  <c r="BB22" i="34"/>
  <c r="BA22" i="34"/>
  <c r="BB21" i="34"/>
  <c r="BA21" i="34"/>
  <c r="BB20" i="34"/>
  <c r="BA20" i="34"/>
  <c r="BB19" i="34"/>
  <c r="BA19" i="34"/>
  <c r="BB18" i="34"/>
  <c r="BA18" i="34"/>
  <c r="BB17" i="34"/>
  <c r="BA17" i="34"/>
  <c r="BB16" i="34"/>
  <c r="BA16" i="34"/>
  <c r="BB15" i="34"/>
  <c r="BA15" i="34"/>
  <c r="BB14" i="34"/>
  <c r="BA14" i="34"/>
  <c r="BB13" i="34"/>
  <c r="BA13" i="34"/>
  <c r="BB12" i="34"/>
  <c r="BA12" i="34"/>
  <c r="BB11" i="34"/>
  <c r="BA11" i="34"/>
  <c r="BB10" i="34"/>
  <c r="BA10" i="34"/>
  <c r="BB9" i="34"/>
  <c r="BA9" i="34"/>
  <c r="BB8" i="34"/>
  <c r="BA8" i="34"/>
  <c r="BB7" i="34"/>
  <c r="BA7" i="34"/>
  <c r="BB6" i="34"/>
  <c r="BA6" i="34"/>
  <c r="BB5" i="34"/>
  <c r="BA5" i="34"/>
  <c r="AX25" i="34"/>
  <c r="AW25" i="34"/>
  <c r="AX24" i="34"/>
  <c r="AW24" i="34"/>
  <c r="AX23" i="34"/>
  <c r="AW23" i="34"/>
  <c r="AX22" i="34"/>
  <c r="AW22" i="34"/>
  <c r="AX21" i="34"/>
  <c r="AW21" i="34"/>
  <c r="AX20" i="34"/>
  <c r="AW20" i="34"/>
  <c r="AX19" i="34"/>
  <c r="AW19" i="34"/>
  <c r="AX18" i="34"/>
  <c r="AW18" i="34"/>
  <c r="AX17" i="34"/>
  <c r="AW17" i="34"/>
  <c r="AX16" i="34"/>
  <c r="AW16" i="34"/>
  <c r="AX15" i="34"/>
  <c r="AW15" i="34"/>
  <c r="AX14" i="34"/>
  <c r="AW14" i="34"/>
  <c r="AX13" i="34"/>
  <c r="AW13" i="34"/>
  <c r="AX12" i="34"/>
  <c r="AW12" i="34"/>
  <c r="AX11" i="34"/>
  <c r="AW11" i="34"/>
  <c r="AX10" i="34"/>
  <c r="AW10" i="34"/>
  <c r="AX9" i="34"/>
  <c r="AW9" i="34"/>
  <c r="AX8" i="34"/>
  <c r="AW8" i="34"/>
  <c r="AX7" i="34"/>
  <c r="AW7" i="34"/>
  <c r="AX6" i="34"/>
  <c r="AW6" i="34"/>
  <c r="AX5" i="34"/>
  <c r="AW5" i="34"/>
  <c r="AT25" i="34"/>
  <c r="AS25" i="34"/>
  <c r="AT24" i="34"/>
  <c r="AS24" i="34"/>
  <c r="AT23" i="34"/>
  <c r="AS23" i="34"/>
  <c r="AT22" i="34"/>
  <c r="AS22" i="34"/>
  <c r="AT21" i="34"/>
  <c r="AS21" i="34"/>
  <c r="AT20" i="34"/>
  <c r="AS20" i="34"/>
  <c r="AT19" i="34"/>
  <c r="AS19" i="34"/>
  <c r="AT18" i="34"/>
  <c r="AS18" i="34"/>
  <c r="AT17" i="34"/>
  <c r="AS17" i="34"/>
  <c r="AT16" i="34"/>
  <c r="AS16" i="34"/>
  <c r="AT15" i="34"/>
  <c r="AS15" i="34"/>
  <c r="AT14" i="34"/>
  <c r="AS14" i="34"/>
  <c r="AT13" i="34"/>
  <c r="AS13" i="34"/>
  <c r="AT12" i="34"/>
  <c r="AS12" i="34"/>
  <c r="AT11" i="34"/>
  <c r="AS11" i="34"/>
  <c r="AT10" i="34"/>
  <c r="AS10" i="34"/>
  <c r="AT9" i="34"/>
  <c r="AS9" i="34"/>
  <c r="AT8" i="34"/>
  <c r="AS8" i="34"/>
  <c r="AT7" i="34"/>
  <c r="AS7" i="34"/>
  <c r="AT6" i="34"/>
  <c r="AS6" i="34"/>
  <c r="AT5" i="34"/>
  <c r="AS5" i="34"/>
  <c r="AP25" i="34"/>
  <c r="AO25" i="34"/>
  <c r="AP24" i="34"/>
  <c r="AO24" i="34"/>
  <c r="AP23" i="34"/>
  <c r="AO23" i="34"/>
  <c r="AP22" i="34"/>
  <c r="AO22" i="34"/>
  <c r="AP21" i="34"/>
  <c r="AO21" i="34"/>
  <c r="AP20" i="34"/>
  <c r="AO20" i="34"/>
  <c r="AP19" i="34"/>
  <c r="AO19" i="34"/>
  <c r="AP18" i="34"/>
  <c r="AO18" i="34"/>
  <c r="AP17" i="34"/>
  <c r="AO17" i="34"/>
  <c r="AP16" i="34"/>
  <c r="AO16" i="34"/>
  <c r="AP15" i="34"/>
  <c r="AO15" i="34"/>
  <c r="AP14" i="34"/>
  <c r="AO14" i="34"/>
  <c r="AP13" i="34"/>
  <c r="AO13" i="34"/>
  <c r="AP12" i="34"/>
  <c r="AO12" i="34"/>
  <c r="AP11" i="34"/>
  <c r="AO11" i="34"/>
  <c r="AP10" i="34"/>
  <c r="AO10" i="34"/>
  <c r="AP9" i="34"/>
  <c r="AO9" i="34"/>
  <c r="AP8" i="34"/>
  <c r="AO8" i="34"/>
  <c r="AP7" i="34"/>
  <c r="AO7" i="34"/>
  <c r="AP6" i="34"/>
  <c r="AO6" i="34"/>
  <c r="AP5" i="34"/>
  <c r="AO5" i="34"/>
  <c r="AL25" i="34"/>
  <c r="AK25" i="34"/>
  <c r="AL24" i="34"/>
  <c r="AK24" i="34"/>
  <c r="AL23" i="34"/>
  <c r="AK23" i="34"/>
  <c r="AL22" i="34"/>
  <c r="AK22" i="34"/>
  <c r="AL21" i="34"/>
  <c r="AK21" i="34"/>
  <c r="AL20" i="34"/>
  <c r="AK20" i="34"/>
  <c r="AL19" i="34"/>
  <c r="AK19" i="34"/>
  <c r="AL18" i="34"/>
  <c r="AK18" i="34"/>
  <c r="AL17" i="34"/>
  <c r="AK17" i="34"/>
  <c r="AL16" i="34"/>
  <c r="AK16" i="34"/>
  <c r="AL15" i="34"/>
  <c r="AK15" i="34"/>
  <c r="AL14" i="34"/>
  <c r="AK14" i="34"/>
  <c r="AL13" i="34"/>
  <c r="AK13" i="34"/>
  <c r="AL12" i="34"/>
  <c r="AK12" i="34"/>
  <c r="AL11" i="34"/>
  <c r="AK11" i="34"/>
  <c r="AL10" i="34"/>
  <c r="AK10" i="34"/>
  <c r="AL9" i="34"/>
  <c r="AK9" i="34"/>
  <c r="AL8" i="34"/>
  <c r="AK8" i="34"/>
  <c r="AL7" i="34"/>
  <c r="AK7" i="34"/>
  <c r="AL6" i="34"/>
  <c r="AK6" i="34"/>
  <c r="AL5" i="34"/>
  <c r="AK5" i="34"/>
  <c r="AH25" i="34"/>
  <c r="AG25" i="34"/>
  <c r="AH24" i="34"/>
  <c r="AG24" i="34"/>
  <c r="AH23" i="34"/>
  <c r="AG23" i="34"/>
  <c r="AH22" i="34"/>
  <c r="AG22" i="34"/>
  <c r="AH21" i="34"/>
  <c r="AG21" i="34"/>
  <c r="AH20" i="34"/>
  <c r="AG20" i="34"/>
  <c r="AH19" i="34"/>
  <c r="AG19" i="34"/>
  <c r="AH18" i="34"/>
  <c r="AG18" i="34"/>
  <c r="AH17" i="34"/>
  <c r="AG17" i="34"/>
  <c r="AH16" i="34"/>
  <c r="AG16" i="34"/>
  <c r="AH15" i="34"/>
  <c r="AG15" i="34"/>
  <c r="AH14" i="34"/>
  <c r="AG14" i="34"/>
  <c r="AH13" i="34"/>
  <c r="AG13" i="34"/>
  <c r="AH12" i="34"/>
  <c r="AG12" i="34"/>
  <c r="AH11" i="34"/>
  <c r="AG11" i="34"/>
  <c r="AH10" i="34"/>
  <c r="AG10" i="34"/>
  <c r="AH9" i="34"/>
  <c r="AG9" i="34"/>
  <c r="AH8" i="34"/>
  <c r="AG8" i="34"/>
  <c r="AH7" i="34"/>
  <c r="AG7" i="34"/>
  <c r="AH6" i="34"/>
  <c r="AG6" i="34"/>
  <c r="AH5" i="34"/>
  <c r="AG5" i="34"/>
  <c r="AD25" i="34"/>
  <c r="AC25" i="34"/>
  <c r="AD24" i="34"/>
  <c r="AC24" i="34"/>
  <c r="AD23" i="34"/>
  <c r="AC23" i="34"/>
  <c r="AD22" i="34"/>
  <c r="AC22" i="34"/>
  <c r="AD21" i="34"/>
  <c r="AC21" i="34"/>
  <c r="AD20" i="34"/>
  <c r="AC20" i="34"/>
  <c r="AD19" i="34"/>
  <c r="AC19" i="34"/>
  <c r="AD18" i="34"/>
  <c r="AC18" i="34"/>
  <c r="AD17" i="34"/>
  <c r="AC17" i="34"/>
  <c r="AD16" i="34"/>
  <c r="AC16" i="34"/>
  <c r="AD15" i="34"/>
  <c r="AC15" i="34"/>
  <c r="AD14" i="34"/>
  <c r="AC14" i="34"/>
  <c r="AD13" i="34"/>
  <c r="AC13" i="34"/>
  <c r="AD12" i="34"/>
  <c r="AC12" i="34"/>
  <c r="AD11" i="34"/>
  <c r="AC11" i="34"/>
  <c r="AD10" i="34"/>
  <c r="AC10" i="34"/>
  <c r="AD9" i="34"/>
  <c r="AC9" i="34"/>
  <c r="AD8" i="34"/>
  <c r="AC8" i="34"/>
  <c r="AD7" i="34"/>
  <c r="AC7" i="34"/>
  <c r="AD6" i="34"/>
  <c r="AC6" i="34"/>
  <c r="AD5" i="34"/>
  <c r="AC5" i="34"/>
  <c r="Z25" i="34"/>
  <c r="Y25" i="34"/>
  <c r="Z24" i="34"/>
  <c r="Y24" i="34"/>
  <c r="Z23" i="34"/>
  <c r="Y23" i="34"/>
  <c r="Z22" i="34"/>
  <c r="Y22" i="34"/>
  <c r="Z21" i="34"/>
  <c r="Y21" i="34"/>
  <c r="Z20" i="34"/>
  <c r="Y20" i="34"/>
  <c r="Z19" i="34"/>
  <c r="Y19" i="34"/>
  <c r="Z18" i="34"/>
  <c r="Y18" i="34"/>
  <c r="Z17" i="34"/>
  <c r="Y17" i="34"/>
  <c r="Z16" i="34"/>
  <c r="Y16" i="34"/>
  <c r="Z15" i="34"/>
  <c r="Y15" i="34"/>
  <c r="Z14" i="34"/>
  <c r="Y14" i="34"/>
  <c r="Z13" i="34"/>
  <c r="Y13" i="34"/>
  <c r="Z12" i="34"/>
  <c r="Y12" i="34"/>
  <c r="Z11" i="34"/>
  <c r="Y11" i="34"/>
  <c r="Z10" i="34"/>
  <c r="Y10" i="34"/>
  <c r="Z9" i="34"/>
  <c r="Y9" i="34"/>
  <c r="Z8" i="34"/>
  <c r="Y8" i="34"/>
  <c r="Z7" i="34"/>
  <c r="Y7" i="34"/>
  <c r="Z6" i="34"/>
  <c r="Y6" i="34"/>
  <c r="Z5" i="34"/>
  <c r="Y5" i="34"/>
  <c r="V25" i="34"/>
  <c r="U25" i="34"/>
  <c r="V24" i="34"/>
  <c r="U24" i="34"/>
  <c r="V23" i="34"/>
  <c r="U23" i="34"/>
  <c r="V22" i="34"/>
  <c r="U22" i="34"/>
  <c r="V21" i="34"/>
  <c r="U21" i="34"/>
  <c r="V20" i="34"/>
  <c r="U20" i="34"/>
  <c r="V19" i="34"/>
  <c r="U19" i="34"/>
  <c r="V18" i="34"/>
  <c r="U18" i="34"/>
  <c r="V17" i="34"/>
  <c r="U17" i="34"/>
  <c r="V16" i="34"/>
  <c r="U16" i="34"/>
  <c r="V15" i="34"/>
  <c r="U15" i="34"/>
  <c r="V14" i="34"/>
  <c r="U14" i="34"/>
  <c r="V13" i="34"/>
  <c r="U13" i="34"/>
  <c r="V12" i="34"/>
  <c r="U12" i="34"/>
  <c r="V11" i="34"/>
  <c r="U11" i="34"/>
  <c r="V10" i="34"/>
  <c r="U10" i="34"/>
  <c r="V9" i="34"/>
  <c r="U9" i="34"/>
  <c r="V8" i="34"/>
  <c r="U8" i="34"/>
  <c r="V7" i="34"/>
  <c r="U7" i="34"/>
  <c r="V6" i="34"/>
  <c r="U6" i="34"/>
  <c r="V5" i="34"/>
  <c r="U5" i="34"/>
  <c r="BK16" i="35" l="1"/>
  <c r="AU26" i="35"/>
  <c r="L22" i="31"/>
  <c r="BK10" i="35"/>
  <c r="BK14" i="35"/>
  <c r="BK24" i="35"/>
  <c r="S26" i="35"/>
  <c r="AI26" i="35"/>
  <c r="AY26" i="35"/>
  <c r="BL21" i="35"/>
  <c r="BK8" i="35"/>
  <c r="BL11" i="35"/>
  <c r="BL18" i="35"/>
  <c r="BK21" i="35"/>
  <c r="BL25" i="35"/>
  <c r="AA26" i="35"/>
  <c r="AN26" i="35"/>
  <c r="BL9" i="35"/>
  <c r="BL12" i="35"/>
  <c r="AE26" i="35"/>
  <c r="AR26" i="35"/>
  <c r="D6" i="7"/>
  <c r="D17" i="7" s="1"/>
  <c r="C16" i="7"/>
  <c r="BJ26" i="35"/>
  <c r="BK6" i="35"/>
  <c r="O26" i="35"/>
  <c r="BL6" i="35"/>
  <c r="P26" i="35"/>
  <c r="R2" i="38"/>
  <c r="BH26" i="35"/>
  <c r="W26" i="35"/>
  <c r="BI26" i="35"/>
  <c r="BK26" i="35" s="1"/>
  <c r="BL14" i="35"/>
  <c r="BL10" i="35"/>
  <c r="BL22" i="35"/>
  <c r="BK7" i="35"/>
  <c r="BK11" i="35"/>
  <c r="BK19" i="35"/>
  <c r="BK23" i="35"/>
  <c r="BL8" i="35"/>
  <c r="BL20" i="35"/>
  <c r="BK5" i="35"/>
  <c r="BK13" i="35"/>
  <c r="BK17" i="35"/>
  <c r="BK25" i="35"/>
  <c r="BL26" i="35" l="1"/>
  <c r="AA28" i="37" l="1"/>
  <c r="Z28" i="37"/>
  <c r="Y28" i="37"/>
  <c r="X28" i="37"/>
  <c r="W28" i="37"/>
  <c r="V28" i="37"/>
  <c r="U28" i="37"/>
  <c r="T28" i="37"/>
  <c r="S28" i="37"/>
  <c r="R28" i="37"/>
  <c r="Q28" i="37"/>
  <c r="P28" i="37"/>
  <c r="O28" i="37"/>
  <c r="N28" i="37"/>
  <c r="M28" i="37"/>
  <c r="L28" i="37"/>
  <c r="K28" i="37"/>
  <c r="J28" i="37"/>
  <c r="I28" i="37"/>
  <c r="H28" i="37"/>
  <c r="G28" i="37"/>
  <c r="F28" i="37"/>
  <c r="E28" i="37"/>
  <c r="D31" i="37" s="1"/>
  <c r="D28" i="37"/>
  <c r="AA10" i="37"/>
  <c r="Z31" i="37" s="1"/>
  <c r="Z10" i="37"/>
  <c r="Y10" i="37"/>
  <c r="X31" i="37" s="1"/>
  <c r="X10" i="37"/>
  <c r="W10" i="37"/>
  <c r="V31" i="37" s="1"/>
  <c r="V10" i="37"/>
  <c r="U10" i="37"/>
  <c r="T10" i="37"/>
  <c r="S10" i="37"/>
  <c r="R10" i="37"/>
  <c r="Q10" i="37"/>
  <c r="P31" i="37" s="1"/>
  <c r="P10" i="37"/>
  <c r="O10" i="37"/>
  <c r="N31" i="37" s="1"/>
  <c r="N10" i="37"/>
  <c r="M10" i="37"/>
  <c r="L31" i="37" s="1"/>
  <c r="L10" i="37"/>
  <c r="K10" i="37"/>
  <c r="J31" i="37" s="1"/>
  <c r="J10" i="37"/>
  <c r="I10" i="37"/>
  <c r="H31" i="37" s="1"/>
  <c r="H10" i="37"/>
  <c r="G10" i="37"/>
  <c r="F31" i="37" s="1"/>
  <c r="F10" i="37"/>
  <c r="R31" i="37" l="1"/>
  <c r="T31" i="37"/>
  <c r="H11" i="36"/>
  <c r="J10" i="36"/>
  <c r="J9" i="36"/>
  <c r="J8" i="36"/>
  <c r="J7" i="36"/>
  <c r="J6" i="36"/>
  <c r="J5" i="36"/>
  <c r="G21" i="35" l="1"/>
  <c r="G6" i="35"/>
  <c r="H6" i="35" s="1"/>
  <c r="H7" i="35" s="1"/>
  <c r="G10" i="35"/>
  <c r="G8" i="35"/>
  <c r="G12" i="35"/>
  <c r="G11" i="35"/>
  <c r="G9" i="35"/>
  <c r="G13" i="35"/>
  <c r="J11" i="36"/>
  <c r="J13" i="36" s="1"/>
  <c r="J17" i="36" s="1"/>
  <c r="G20" i="35"/>
  <c r="G19" i="35"/>
  <c r="G18" i="35"/>
  <c r="G16" i="35"/>
  <c r="G17" i="35"/>
  <c r="G15" i="35"/>
  <c r="G24" i="35"/>
  <c r="G23" i="35"/>
  <c r="G25" i="35"/>
  <c r="G22" i="35"/>
  <c r="G14" i="35"/>
  <c r="H8" i="35" l="1"/>
  <c r="H9" i="35" s="1"/>
  <c r="H10" i="35" s="1"/>
  <c r="H11" i="35" s="1"/>
  <c r="H12" i="35" s="1"/>
  <c r="H13" i="35" s="1"/>
  <c r="H14" i="35" s="1"/>
  <c r="H15" i="35" s="1"/>
  <c r="H16" i="35" s="1"/>
  <c r="H17" i="35" s="1"/>
  <c r="H18" i="35" s="1"/>
  <c r="H19" i="35" s="1"/>
  <c r="H20" i="35" s="1"/>
  <c r="H21" i="35" s="1"/>
  <c r="H22" i="35" s="1"/>
  <c r="H23" i="35" s="1"/>
  <c r="H24" i="35" s="1"/>
  <c r="H25" i="35" s="1"/>
  <c r="L26" i="35" l="1"/>
  <c r="Q2" i="35"/>
  <c r="U2" i="35" s="1"/>
  <c r="Y2" i="35" s="1"/>
  <c r="AC2" i="35" s="1"/>
  <c r="AG2" i="35" s="1"/>
  <c r="AK2" i="35" s="1"/>
  <c r="AO2" i="35" s="1"/>
  <c r="AS2" i="35" s="1"/>
  <c r="AW2" i="35" s="1"/>
  <c r="BA2" i="35" s="1"/>
  <c r="BE2" i="35" s="1"/>
  <c r="J26" i="34"/>
  <c r="M12" i="34"/>
  <c r="N12" i="34"/>
  <c r="M13" i="34"/>
  <c r="N13" i="34"/>
  <c r="M14" i="34"/>
  <c r="N14" i="34"/>
  <c r="M15" i="34"/>
  <c r="N15" i="34"/>
  <c r="M16" i="34"/>
  <c r="N16" i="34"/>
  <c r="M17" i="34"/>
  <c r="N17" i="34"/>
  <c r="M18" i="34"/>
  <c r="N18" i="34"/>
  <c r="M19" i="34"/>
  <c r="N19" i="34"/>
  <c r="M20" i="34"/>
  <c r="N20" i="34"/>
  <c r="M21" i="34"/>
  <c r="N21" i="34"/>
  <c r="M22" i="34"/>
  <c r="N22" i="34"/>
  <c r="M23" i="34"/>
  <c r="N23" i="34"/>
  <c r="M24" i="34"/>
  <c r="N24" i="34"/>
  <c r="M25" i="34"/>
  <c r="N25" i="34"/>
  <c r="BH25" i="34"/>
  <c r="BG25" i="34"/>
  <c r="BH24" i="34"/>
  <c r="BG24" i="34"/>
  <c r="BH23" i="34"/>
  <c r="BG23" i="34"/>
  <c r="BH22" i="34"/>
  <c r="BG22" i="34"/>
  <c r="BH21" i="34"/>
  <c r="BG21" i="34"/>
  <c r="BH20" i="34"/>
  <c r="BG20" i="34"/>
  <c r="BH19" i="34"/>
  <c r="BG19" i="34"/>
  <c r="BH18" i="34"/>
  <c r="BG18" i="34"/>
  <c r="BH17" i="34"/>
  <c r="BG17" i="34"/>
  <c r="BH16" i="34"/>
  <c r="BG16" i="34"/>
  <c r="BH15" i="34"/>
  <c r="BG15" i="34"/>
  <c r="BH14" i="34"/>
  <c r="BG14" i="34"/>
  <c r="BH13" i="34"/>
  <c r="BG13" i="34"/>
  <c r="BH12" i="34"/>
  <c r="BG12" i="34"/>
  <c r="BH11" i="34"/>
  <c r="BG11" i="34"/>
  <c r="BH10" i="34"/>
  <c r="BG10" i="34"/>
  <c r="BH9" i="34"/>
  <c r="BG9" i="34"/>
  <c r="BH8" i="34"/>
  <c r="BG8" i="34"/>
  <c r="BH7" i="34"/>
  <c r="BG7" i="34"/>
  <c r="BH6" i="34"/>
  <c r="BG6" i="34"/>
  <c r="BH5" i="34"/>
  <c r="BG5" i="34"/>
  <c r="BD26" i="34"/>
  <c r="BC26" i="34"/>
  <c r="AZ26" i="34"/>
  <c r="AY26" i="34"/>
  <c r="AV26" i="34"/>
  <c r="AU26" i="34"/>
  <c r="AR26" i="34"/>
  <c r="AQ26" i="34"/>
  <c r="AN26" i="34"/>
  <c r="AM26" i="34"/>
  <c r="AJ26" i="34"/>
  <c r="AI26" i="34"/>
  <c r="AF26" i="34"/>
  <c r="AE26" i="34"/>
  <c r="AB26" i="34"/>
  <c r="AA26" i="34"/>
  <c r="X26" i="34"/>
  <c r="W26" i="34"/>
  <c r="T26" i="34"/>
  <c r="S26" i="34"/>
  <c r="P26" i="34"/>
  <c r="O26" i="34"/>
  <c r="Q6" i="34"/>
  <c r="R6" i="34"/>
  <c r="Q7" i="34"/>
  <c r="R7" i="34"/>
  <c r="Q8" i="34"/>
  <c r="R8" i="34"/>
  <c r="Q9" i="34"/>
  <c r="R9" i="34"/>
  <c r="Q10" i="34"/>
  <c r="R10" i="34"/>
  <c r="Q11" i="34"/>
  <c r="R11" i="34"/>
  <c r="Q12" i="34"/>
  <c r="R12" i="34"/>
  <c r="Q13" i="34"/>
  <c r="R13" i="34"/>
  <c r="Q14" i="34"/>
  <c r="R14" i="34"/>
  <c r="Q15" i="34"/>
  <c r="R15" i="34"/>
  <c r="Q16" i="34"/>
  <c r="R16" i="34"/>
  <c r="Q17" i="34"/>
  <c r="R17" i="34"/>
  <c r="Q18" i="34"/>
  <c r="R18" i="34"/>
  <c r="Q19" i="34"/>
  <c r="R19" i="34"/>
  <c r="Q20" i="34"/>
  <c r="R20" i="34"/>
  <c r="Q21" i="34"/>
  <c r="R21" i="34"/>
  <c r="Q22" i="34"/>
  <c r="R22" i="34"/>
  <c r="Q23" i="34"/>
  <c r="R23" i="34"/>
  <c r="Q24" i="34"/>
  <c r="R24" i="34"/>
  <c r="Q25" i="34"/>
  <c r="R25" i="34"/>
  <c r="O2" i="34"/>
  <c r="S2" i="34" s="1"/>
  <c r="W2" i="34" s="1"/>
  <c r="AA2" i="34" s="1"/>
  <c r="AE2" i="34" s="1"/>
  <c r="AI2" i="34" s="1"/>
  <c r="AM2" i="34" s="1"/>
  <c r="AQ2" i="34" s="1"/>
  <c r="AU2" i="34" s="1"/>
  <c r="AY2" i="34" s="1"/>
  <c r="BC2" i="34" s="1"/>
  <c r="M5" i="34"/>
  <c r="N5" i="34"/>
  <c r="Q5" i="34"/>
  <c r="R5" i="34"/>
  <c r="M6" i="34"/>
  <c r="N6" i="34"/>
  <c r="M7" i="34"/>
  <c r="N7" i="34"/>
  <c r="M8" i="34"/>
  <c r="N8" i="34"/>
  <c r="M9" i="34"/>
  <c r="N9" i="34"/>
  <c r="M10" i="34"/>
  <c r="N10" i="34"/>
  <c r="M11" i="34"/>
  <c r="N11" i="34"/>
  <c r="BI5" i="34" l="1"/>
  <c r="E8" i="34"/>
  <c r="E6" i="34"/>
  <c r="E18" i="34"/>
  <c r="E16" i="34"/>
  <c r="E15" i="34"/>
  <c r="E17" i="34"/>
  <c r="E10" i="34"/>
  <c r="E9" i="34"/>
  <c r="BI11" i="34"/>
  <c r="BI10" i="34"/>
  <c r="BI16" i="34"/>
  <c r="BJ23" i="34"/>
  <c r="AK26" i="34"/>
  <c r="BI6" i="34"/>
  <c r="BI12" i="34"/>
  <c r="BI18" i="34"/>
  <c r="BI24" i="34"/>
  <c r="BI9" i="34"/>
  <c r="BI15" i="34"/>
  <c r="BI21" i="34"/>
  <c r="BJ22" i="34"/>
  <c r="BJ17" i="34"/>
  <c r="BI23" i="34"/>
  <c r="BI7" i="34"/>
  <c r="BI19" i="34"/>
  <c r="BI8" i="34"/>
  <c r="BI14" i="34"/>
  <c r="BI20" i="34"/>
  <c r="BI17" i="34"/>
  <c r="BJ21" i="34"/>
  <c r="BI22" i="34"/>
  <c r="BI13" i="34"/>
  <c r="BJ19" i="34"/>
  <c r="BJ20" i="34"/>
  <c r="BJ15" i="34"/>
  <c r="BJ16" i="34"/>
  <c r="BJ12" i="34"/>
  <c r="BJ25" i="34"/>
  <c r="BJ14" i="34"/>
  <c r="BJ24" i="34"/>
  <c r="E14" i="34"/>
  <c r="E7" i="34"/>
  <c r="E25" i="34"/>
  <c r="E24" i="34"/>
  <c r="E23" i="34"/>
  <c r="E22" i="34"/>
  <c r="E13" i="34"/>
  <c r="E21" i="34"/>
  <c r="E12" i="34"/>
  <c r="E20" i="34"/>
  <c r="E11" i="34"/>
  <c r="E19" i="34"/>
  <c r="BI25" i="34"/>
  <c r="BJ18" i="34"/>
  <c r="M26" i="34"/>
  <c r="BG26" i="34"/>
  <c r="BJ13" i="34"/>
  <c r="Q26" i="34"/>
  <c r="AO26" i="34"/>
  <c r="BJ5" i="34"/>
  <c r="BH26" i="34"/>
  <c r="R26" i="34"/>
  <c r="AT26" i="34"/>
  <c r="V26" i="34"/>
  <c r="Z26" i="34"/>
  <c r="AX26" i="34"/>
  <c r="BB26" i="34"/>
  <c r="AD26" i="34"/>
  <c r="AH26" i="34"/>
  <c r="BF26" i="34"/>
  <c r="AP26" i="34"/>
  <c r="U26" i="34"/>
  <c r="AS26" i="34"/>
  <c r="AL26" i="34"/>
  <c r="Y26" i="34"/>
  <c r="AW26" i="34"/>
  <c r="AC26" i="34"/>
  <c r="BA26" i="34"/>
  <c r="AG26" i="34"/>
  <c r="BE26" i="34"/>
  <c r="BJ7" i="34"/>
  <c r="BJ8" i="34"/>
  <c r="BJ9" i="34"/>
  <c r="BJ10" i="34"/>
  <c r="BJ6" i="34"/>
  <c r="BJ11" i="34"/>
  <c r="K22" i="31"/>
  <c r="J22" i="31"/>
  <c r="C10" i="4" l="1"/>
  <c r="BI26" i="34"/>
  <c r="BJ26" i="34"/>
  <c r="P2" i="24"/>
  <c r="H6" i="22" l="1"/>
  <c r="P2" i="21"/>
  <c r="P2" i="20"/>
  <c r="B5" i="18" l="1"/>
  <c r="F14" i="18" s="1"/>
  <c r="F15" i="18" l="1"/>
  <c r="F12" i="18"/>
  <c r="F13" i="18"/>
  <c r="F16" i="18"/>
  <c r="F5" i="18"/>
  <c r="F17" i="18"/>
  <c r="F6" i="18"/>
  <c r="F18" i="18"/>
  <c r="F7" i="18"/>
  <c r="F19" i="18"/>
  <c r="F8" i="18"/>
  <c r="F20" i="18"/>
  <c r="F9" i="18"/>
  <c r="F21" i="18"/>
  <c r="F10" i="18"/>
  <c r="F11" i="18"/>
  <c r="D28" i="4" l="1"/>
  <c r="P11" i="4"/>
  <c r="P10" i="4"/>
  <c r="AI10" i="4" s="1"/>
  <c r="P25" i="4"/>
  <c r="AI25" i="4" s="1"/>
  <c r="P24" i="4"/>
  <c r="AI24" i="4" s="1"/>
  <c r="O42" i="4"/>
  <c r="N42" i="4"/>
  <c r="M42" i="4"/>
  <c r="L42" i="4"/>
  <c r="K42" i="4"/>
  <c r="J42" i="4"/>
  <c r="I42" i="4"/>
  <c r="H42" i="4"/>
  <c r="G42" i="4"/>
  <c r="F42" i="4"/>
  <c r="E42" i="4"/>
  <c r="D42" i="4"/>
  <c r="AI41" i="4"/>
  <c r="AI40" i="4"/>
  <c r="O40" i="4"/>
  <c r="N40" i="4"/>
  <c r="M40" i="4"/>
  <c r="L40" i="4"/>
  <c r="K40" i="4"/>
  <c r="J40" i="4"/>
  <c r="I40" i="4"/>
  <c r="H40" i="4"/>
  <c r="G40" i="4"/>
  <c r="F40" i="4"/>
  <c r="E40" i="4"/>
  <c r="D40" i="4"/>
  <c r="P39" i="4"/>
  <c r="C39" i="4"/>
  <c r="P38" i="4"/>
  <c r="AI38" i="4" s="1"/>
  <c r="C38" i="4"/>
  <c r="D37" i="4"/>
  <c r="E37" i="4" s="1"/>
  <c r="F37" i="4" s="1"/>
  <c r="G37" i="4" s="1"/>
  <c r="H37" i="4" s="1"/>
  <c r="I37" i="4" s="1"/>
  <c r="J37" i="4" s="1"/>
  <c r="K37" i="4" s="1"/>
  <c r="L37" i="4" s="1"/>
  <c r="M37" i="4" s="1"/>
  <c r="N37" i="4" s="1"/>
  <c r="O37" i="4" s="1"/>
  <c r="E36" i="4"/>
  <c r="F36" i="4" s="1"/>
  <c r="G36" i="4" s="1"/>
  <c r="H36" i="4" s="1"/>
  <c r="I36" i="4" s="1"/>
  <c r="J36" i="4" s="1"/>
  <c r="K36" i="4" s="1"/>
  <c r="L36" i="4" s="1"/>
  <c r="M36" i="4" s="1"/>
  <c r="N36" i="4" s="1"/>
  <c r="O36" i="4" s="1"/>
  <c r="O28" i="4"/>
  <c r="N28" i="4"/>
  <c r="M28" i="4"/>
  <c r="L28" i="4"/>
  <c r="K28" i="4"/>
  <c r="J28" i="4"/>
  <c r="I28" i="4"/>
  <c r="H28" i="4"/>
  <c r="G28" i="4"/>
  <c r="F28" i="4"/>
  <c r="E28" i="4"/>
  <c r="AI27" i="4"/>
  <c r="AI26" i="4"/>
  <c r="O26" i="4"/>
  <c r="N26" i="4"/>
  <c r="M26" i="4"/>
  <c r="L26" i="4"/>
  <c r="K26" i="4"/>
  <c r="J26" i="4"/>
  <c r="I26" i="4"/>
  <c r="H26" i="4"/>
  <c r="G26" i="4"/>
  <c r="F26" i="4"/>
  <c r="E26" i="4"/>
  <c r="D26" i="4"/>
  <c r="C25" i="4"/>
  <c r="C24" i="4"/>
  <c r="D23" i="4"/>
  <c r="E23" i="4" s="1"/>
  <c r="F23" i="4" s="1"/>
  <c r="G23" i="4" s="1"/>
  <c r="H23" i="4" s="1"/>
  <c r="I23" i="4" s="1"/>
  <c r="J23" i="4" s="1"/>
  <c r="K23" i="4" s="1"/>
  <c r="L23" i="4" s="1"/>
  <c r="M23" i="4" s="1"/>
  <c r="N23" i="4" s="1"/>
  <c r="O23" i="4" s="1"/>
  <c r="E22" i="4"/>
  <c r="F22" i="4" s="1"/>
  <c r="G22" i="4" s="1"/>
  <c r="H22" i="4" s="1"/>
  <c r="I22" i="4" s="1"/>
  <c r="J22" i="4" s="1"/>
  <c r="K22" i="4" s="1"/>
  <c r="L22" i="4" s="1"/>
  <c r="M22" i="4" s="1"/>
  <c r="N22" i="4" s="1"/>
  <c r="O22" i="4" s="1"/>
  <c r="O14" i="4"/>
  <c r="N14" i="4"/>
  <c r="D14" i="4"/>
  <c r="AI13" i="4"/>
  <c r="AI12" i="4"/>
  <c r="O12" i="4"/>
  <c r="N12" i="4"/>
  <c r="D12" i="4"/>
  <c r="E9" i="4"/>
  <c r="F9" i="4" s="1"/>
  <c r="G9" i="4" s="1"/>
  <c r="H9" i="4" s="1"/>
  <c r="I9" i="4" s="1"/>
  <c r="J9" i="4" s="1"/>
  <c r="K9" i="4" s="1"/>
  <c r="L9" i="4" s="1"/>
  <c r="M9" i="4" s="1"/>
  <c r="N9" i="4" s="1"/>
  <c r="O9" i="4" s="1"/>
  <c r="C28" i="4" l="1"/>
  <c r="C42" i="4"/>
  <c r="P42" i="4"/>
  <c r="AI42" i="4" s="1"/>
  <c r="P28" i="4"/>
  <c r="AI28" i="4" s="1"/>
  <c r="AI39" i="4"/>
  <c r="AG36" i="4"/>
  <c r="E14" i="4"/>
  <c r="E8" i="4"/>
  <c r="E12" i="4"/>
  <c r="AG22" i="4"/>
  <c r="F8" i="4" l="1"/>
  <c r="F14" i="4"/>
  <c r="F12" i="4"/>
  <c r="AG23" i="4"/>
  <c r="AG24" i="4"/>
  <c r="AG25" i="4"/>
  <c r="AG28" i="4"/>
  <c r="AG38" i="4"/>
  <c r="AG42" i="4"/>
  <c r="AG37" i="4"/>
  <c r="AG39" i="4"/>
  <c r="AG45" i="4" l="1"/>
  <c r="AG44" i="4"/>
  <c r="AF38" i="4"/>
  <c r="AF39" i="4"/>
  <c r="AG30" i="4"/>
  <c r="AF25" i="4"/>
  <c r="AF24" i="4"/>
  <c r="G8" i="4"/>
  <c r="G14" i="4"/>
  <c r="G12" i="4"/>
  <c r="H14" i="4" l="1"/>
  <c r="H12" i="4"/>
  <c r="H8" i="4"/>
  <c r="I8" i="4" l="1"/>
  <c r="I14" i="4"/>
  <c r="I12" i="4"/>
  <c r="J14" i="4" l="1"/>
  <c r="J12" i="4"/>
  <c r="J8" i="4"/>
  <c r="K12" i="4" l="1"/>
  <c r="K8" i="4"/>
  <c r="K14" i="4"/>
  <c r="L12" i="4" l="1"/>
  <c r="L8" i="4"/>
  <c r="L14" i="4"/>
  <c r="C14" i="4"/>
  <c r="M12" i="4" l="1"/>
  <c r="M8" i="4"/>
  <c r="N8" i="4" s="1"/>
  <c r="O8" i="4" s="1"/>
  <c r="AG8" i="4" s="1"/>
  <c r="M14" i="4"/>
  <c r="AG10" i="4" l="1"/>
  <c r="AG14" i="4"/>
  <c r="AG9" i="4"/>
  <c r="AG11" i="4"/>
  <c r="P14" i="4"/>
  <c r="AI14" i="4" s="1"/>
  <c r="AI11" i="4"/>
  <c r="AG16" i="4" l="1"/>
  <c r="AF11" i="4"/>
  <c r="AF10" i="4"/>
  <c r="H4" i="3" l="1"/>
  <c r="I4" i="3" s="1"/>
  <c r="J4" i="3" s="1"/>
  <c r="K4" i="3" s="1"/>
  <c r="L4" i="3" s="1"/>
  <c r="M4" i="3" s="1"/>
  <c r="N4" i="3" s="1"/>
  <c r="O4" i="3" s="1"/>
  <c r="P4" i="3" s="1"/>
  <c r="Q4" i="3" s="1"/>
  <c r="R4" i="3" s="1"/>
  <c r="F6" i="34" l="1"/>
  <c r="F7" i="34"/>
  <c r="F8" i="34" s="1"/>
  <c r="F9" i="34" s="1"/>
  <c r="F10" i="34" s="1"/>
  <c r="F11" i="34" s="1"/>
  <c r="F12" i="34" s="1"/>
  <c r="F13" i="34" s="1"/>
  <c r="F14" i="34" s="1"/>
  <c r="F15" i="34" s="1"/>
  <c r="F16" i="34" s="1"/>
  <c r="F17" i="34" s="1"/>
  <c r="F18" i="34" s="1"/>
  <c r="F19" i="34" s="1"/>
  <c r="F20" i="34" s="1"/>
  <c r="F21" i="34" s="1"/>
  <c r="F22" i="34" s="1"/>
  <c r="F23" i="34" s="1"/>
  <c r="F24" i="34" s="1"/>
  <c r="F25"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Reiche</author>
  </authors>
  <commentList>
    <comment ref="B6" authorId="0" shapeId="0" xr:uid="{E4D1666B-1C9E-4A8D-8CCA-2859C67FE556}">
      <text>
        <r>
          <rPr>
            <b/>
            <sz val="10"/>
            <color indexed="81"/>
            <rFont val="Segoe UI"/>
            <family val="2"/>
          </rPr>
          <t>DOCUMENTO ONDE VOCÊ DARÁ NOTAS PARA AS ROTINAS DE CADA UM DOS PILARES OBRIGATÓRIOS DA NOSSA METODLOGIA</t>
        </r>
      </text>
    </comment>
    <comment ref="B8" authorId="0" shapeId="0" xr:uid="{EA36D0FD-2624-478D-B213-A8D2A164BDAE}">
      <text>
        <r>
          <rPr>
            <b/>
            <sz val="10"/>
            <color indexed="81"/>
            <rFont val="Segoe UI"/>
            <family val="2"/>
          </rPr>
          <t>DOCUMENTO ONDE VOCÊ TERÁ ACESSO À EVOLUÇÃO DAS NOTAS DE CADA UM DOS PILARES (SERÁ REALIZADA UMA AVALIAÇÃO A CADA TRIMESTRE)</t>
        </r>
      </text>
    </comment>
    <comment ref="B10" authorId="0" shapeId="0" xr:uid="{9D0F641A-096C-40FA-9AB1-C649494B3B89}">
      <text>
        <r>
          <rPr>
            <b/>
            <sz val="10"/>
            <color indexed="81"/>
            <rFont val="Segoe UI"/>
            <family val="2"/>
          </rPr>
          <t>DOCUMENTO QUE CONSOLIDARÁ AS PRIORIDADES DA EMPRESA COM BASE NO TESTE DE NIVELAMENTO E NOTAS DADAS NA REUNIÃO DE ONBOARDING</t>
        </r>
        <r>
          <rPr>
            <sz val="10"/>
            <color indexed="81"/>
            <rFont val="Segoe UI"/>
            <family val="2"/>
          </rPr>
          <t xml:space="preserve">
</t>
        </r>
      </text>
    </comment>
    <comment ref="B12" authorId="0" shapeId="0" xr:uid="{6334E3BD-66EA-45F9-9C6B-0A1E6F998BA4}">
      <text>
        <r>
          <rPr>
            <b/>
            <sz val="10"/>
            <color indexed="81"/>
            <rFont val="Segoe UI"/>
            <family val="2"/>
          </rPr>
          <t>DOCUMENTO QUE CONSOLIDA GRAFICAMENTE A EVOLUÇÃO MENSAL E DESVIOS (POSITIVOS E NEGATIVOS) DAS METAS VERSUS O REALIZADO</t>
        </r>
      </text>
    </comment>
    <comment ref="B14" authorId="0" shapeId="0" xr:uid="{E37D61B5-8FF2-4A7D-AE43-A40D26BB0169}">
      <text>
        <r>
          <rPr>
            <b/>
            <sz val="10"/>
            <color indexed="81"/>
            <rFont val="Segoe UI"/>
            <family val="2"/>
          </rPr>
          <t>DOCUMENTO ONDE VOCÊ PREENCHERÁ MÉTRICAS ESPECÍFICAS DA SUA EMPRESA PARA MEDIR SUA EVOLUÇÃO MENSALMENTE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Reiche</author>
  </authors>
  <commentList>
    <comment ref="F10" authorId="0" shapeId="0" xr:uid="{391FE6BC-3D7A-416D-9BE7-119AD43CCA13}">
      <text>
        <r>
          <rPr>
            <b/>
            <sz val="14"/>
            <color indexed="81"/>
            <rFont val="Segoe UI"/>
            <family val="2"/>
          </rPr>
          <t>COMO TE AJUDAMOS AQUI?
NAS TUTORIAS AO VIVO E PLANTÕES DE DÚVIDAS COM OS DEMAIS EMPRESÁRIOS E O TIME DE MARKETING E TRÁFEGO PAGO</t>
        </r>
        <r>
          <rPr>
            <sz val="9"/>
            <color indexed="81"/>
            <rFont val="Segoe UI"/>
            <family val="2"/>
          </rPr>
          <t xml:space="preserve">
</t>
        </r>
      </text>
    </comment>
    <comment ref="J10" authorId="0" shapeId="0" xr:uid="{32E628FA-9A11-467B-BF90-E4D9B2D5699F}">
      <text>
        <r>
          <rPr>
            <b/>
            <sz val="22"/>
            <color indexed="81"/>
            <rFont val="Segoe UI"/>
            <family val="2"/>
          </rPr>
          <t>1 - PROSPEÇÃO
2 - CONEXÃO
3 - DIAGNÓSTICO
4 - OFERTA
5- PÓS VENDA
6 - FIDELIZAÇÃO
7- RETENÇÃO
8 - NOVAS OFERTAS</t>
        </r>
      </text>
    </comment>
    <comment ref="N10" authorId="0" shapeId="0" xr:uid="{473733B0-2DBA-474F-994C-A559E9432F31}">
      <text>
        <r>
          <rPr>
            <b/>
            <sz val="14"/>
            <color indexed="81"/>
            <rFont val="Segoe UI"/>
            <family val="2"/>
          </rPr>
          <t>COMO TE AJUDAMOS AQUI?
EXISTE UM MÓDULO DE RECRUTAMENTO E SELEÇÃO COM O PASSO A PASSO DE COMO EXECUTAR TODO O PROCESSO</t>
        </r>
      </text>
    </comment>
    <comment ref="R12" authorId="0" shapeId="0" xr:uid="{1FAA5F8E-60AB-4BDB-8FDE-8E20B818F042}">
      <text>
        <r>
          <rPr>
            <b/>
            <sz val="14"/>
            <color indexed="81"/>
            <rFont val="Segoe UI"/>
            <family val="2"/>
          </rPr>
          <t>COMO TE AJUDAMOS AQUI?
EXISTE UM MÓDULO NA ÁREA DE MEMBROS (MAPA DA MINA) COM O PASSO A PASSO PARA CONSTRUÇÃO E CONTROLE DO FLUXO DE CAIXA</t>
        </r>
      </text>
    </comment>
    <comment ref="F13" authorId="0" shapeId="0" xr:uid="{07424E96-B14A-4E76-BF78-FA68EB57F198}">
      <text>
        <r>
          <rPr>
            <b/>
            <sz val="14"/>
            <color indexed="81"/>
            <rFont val="Segoe UI"/>
            <family val="2"/>
          </rPr>
          <t>COMO TE AJUDAMOS AQUI?
EXISTE UM SCRIPT COM 70 HEADLINES DE VIDEOS COM POTENCIAL DE VIRALIZAÇÃO PARA VOCÊ MODELAR NO SEU NEGÓCIO</t>
        </r>
      </text>
    </comment>
    <comment ref="F14" authorId="0" shapeId="0" xr:uid="{1A6C32DD-A5D2-4B30-97D6-7957A440C9C5}">
      <text>
        <r>
          <rPr>
            <b/>
            <sz val="14"/>
            <color indexed="81"/>
            <rFont val="Segoe UI"/>
            <family val="2"/>
          </rPr>
          <t>COMO TE AJUDAMOS AQUI?
NAS TUTORIAS AO VIVO E PLANTÕES DE DÚVIDAS COM OS DEMAIS EMPRESÁRIOS E O TIME DE MARKETING E TRÁFEGO PAGO</t>
        </r>
        <r>
          <rPr>
            <sz val="14"/>
            <color indexed="81"/>
            <rFont val="Segoe UI"/>
            <family val="2"/>
          </rPr>
          <t xml:space="preserve">
</t>
        </r>
      </text>
    </comment>
    <comment ref="R15" authorId="0" shapeId="0" xr:uid="{426FE85C-63EB-4129-9826-D6198DFF421B}">
      <text>
        <r>
          <rPr>
            <b/>
            <sz val="14"/>
            <color indexed="81"/>
            <rFont val="Segoe UI"/>
            <family val="2"/>
          </rPr>
          <t>COMO TE AJUDAMOS AQUI?
EXISTE UM MÓDULO ESPECÍFICO COM AULA E FERRAMENTA PARA CONTROLE DE CUSTOS E DESPESAS DE FORMA MATRICIAL (VER E AGIR)</t>
        </r>
      </text>
    </comment>
    <comment ref="R16" authorId="0" shapeId="0" xr:uid="{934693AF-9458-48B6-B6CE-9CA81FF45CBD}">
      <text>
        <r>
          <rPr>
            <b/>
            <sz val="14"/>
            <color indexed="81"/>
            <rFont val="Segoe UI"/>
            <family val="2"/>
          </rPr>
          <t>COMO TE AJUDAMOS AQUI?
EXISTE UM MÓDULO ESPECÍFICO COM AULA E FERRAMENTA PARA CONTROLE DE RECEITAS E VENDAS DE FORMA MATRICIAL (VER E AGIR)</t>
        </r>
        <r>
          <rPr>
            <sz val="14"/>
            <color indexed="81"/>
            <rFont val="Segoe UI"/>
            <family val="2"/>
          </rPr>
          <t xml:space="preserve">
</t>
        </r>
      </text>
    </comment>
    <comment ref="F17" authorId="0" shapeId="0" xr:uid="{203B3EFF-C073-4C18-8821-00C22D17642C}">
      <text>
        <r>
          <rPr>
            <b/>
            <sz val="14"/>
            <color indexed="81"/>
            <rFont val="Segoe UI"/>
            <family val="2"/>
          </rPr>
          <t>COMO TE AJUDAMOS AQUI?
EXISTE NA ÁREA DE MEMBROS UMA AULA BONUS COM UM EXPERT NO TEMA (RAFAEL SANTOS)</t>
        </r>
      </text>
    </comment>
    <comment ref="N18" authorId="0" shapeId="0" xr:uid="{E083FD6A-4138-40FF-809E-195BD98BA0B1}">
      <text>
        <r>
          <rPr>
            <b/>
            <sz val="14"/>
            <color indexed="81"/>
            <rFont val="Segoe UI"/>
            <family val="2"/>
          </rPr>
          <t>COMO TE AJUDAMOS AQUI?
EXISTE UM SCRIPT COM O PASSO A PASSO DE UMA PESQUISA DE CLIMA QUE PODE SER APLICADA EM SUA EMPRESA IMEDIATAMENTE</t>
        </r>
      </text>
    </comment>
    <comment ref="R19" authorId="0" shapeId="0" xr:uid="{991488D3-0E6C-4AA7-B544-88C1EA6FA881}">
      <text>
        <r>
          <rPr>
            <b/>
            <sz val="14"/>
            <color indexed="81"/>
            <rFont val="Segoe UI"/>
            <family val="2"/>
          </rPr>
          <t>COMO TE AJUDAMOS AQUI?
EXISTE UM MÓDULO NA ÁREA DE MEMBROS (MAPA DA MINA) COM O PASSO A PASSO PARA CONSTRUÇÃO E CONTROLE DO FUNDO DE RESERVA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Reiche</author>
  </authors>
  <commentList>
    <comment ref="E13" authorId="0" shapeId="0" xr:uid="{9C8032BF-6055-4342-B47F-5256068F4764}">
      <text>
        <r>
          <rPr>
            <b/>
            <sz val="14"/>
            <color indexed="81"/>
            <rFont val="Segoe UI"/>
            <family val="2"/>
          </rPr>
          <t>COMO TE AJUDAMOS AQUI?
NAS TUTORIAS AO VIVO E PLANTÕES DE DÚVIDAS COM OS DEMAIS EMPRESÁRIOS E O TIME DE MARKETING E TRÁFEGO PAGO</t>
        </r>
        <r>
          <rPr>
            <sz val="9"/>
            <color indexed="81"/>
            <rFont val="Segoe UI"/>
            <family val="2"/>
          </rPr>
          <t xml:space="preserve">
</t>
        </r>
      </text>
    </comment>
    <comment ref="E16" authorId="0" shapeId="0" xr:uid="{84918057-9B82-4BF8-AB68-8D7288EB864E}">
      <text>
        <r>
          <rPr>
            <b/>
            <sz val="14"/>
            <color indexed="81"/>
            <rFont val="Segoe UI"/>
            <family val="2"/>
          </rPr>
          <t>COMO TE AJUDAMOS AQUI?
NAS TUTORIAS AO VIVO E PLANTÕES DE DÚVIDAS COM OS DEMAIS EMPRESÁRIOS E O TIME DE MARKETING E TRÁFEGO PAGO</t>
        </r>
        <r>
          <rPr>
            <sz val="14"/>
            <color indexed="81"/>
            <rFont val="Segoe UI"/>
            <family val="2"/>
          </rPr>
          <t xml:space="preserve">
</t>
        </r>
      </text>
    </comment>
    <comment ref="E17" authorId="0" shapeId="0" xr:uid="{80179087-C622-412E-B66C-A0AF8DA697CC}">
      <text>
        <r>
          <rPr>
            <b/>
            <sz val="22"/>
            <color indexed="81"/>
            <rFont val="Segoe UI"/>
            <family val="2"/>
          </rPr>
          <t>1 - PROSPEÇÃO
2 - CONEXÃO
3 - DIAGNÓSTICO
4 - OFERTA
5- PÓS VENDA
6 - FIDELIZAÇÃO
7- RETENÇÃO
8 - NOVAS OFERTAS</t>
        </r>
      </text>
    </comment>
    <comment ref="E23" authorId="0" shapeId="0" xr:uid="{2308A10A-1AB8-4799-B275-F5E2AB40B672}">
      <text>
        <r>
          <rPr>
            <b/>
            <sz val="14"/>
            <color indexed="81"/>
            <rFont val="Segoe UI"/>
            <family val="2"/>
          </rPr>
          <t>COMO TE AJUDAMOS AQUI?
EXISTE UM MÓDULO DE RECRUTAMENTO E SELEÇÃO COM O PASSO A PASSO DE COMO EXECUTAR TODO O PROCESSO</t>
        </r>
      </text>
    </comment>
    <comment ref="E29" authorId="0" shapeId="0" xr:uid="{F0BFC780-21FC-488F-B5DD-FF0AB1044F9A}">
      <text>
        <r>
          <rPr>
            <b/>
            <sz val="14"/>
            <color indexed="81"/>
            <rFont val="Segoe UI"/>
            <family val="2"/>
          </rPr>
          <t>COMO TE AJUDAMOS AQUI?
EXISTE UM MÓDULO NA ÁREA DE MEMBROS (MAPA DA MINA) COM O PASSO A PASSO PARA CONSTRUÇÃO E CONTROLE DO FLUXO DE CAIXA</t>
        </r>
      </text>
    </comment>
    <comment ref="E32" authorId="0" shapeId="0" xr:uid="{91195949-4AFF-42B0-AEC8-16DE9FBB9C78}">
      <text>
        <r>
          <rPr>
            <b/>
            <sz val="14"/>
            <color indexed="81"/>
            <rFont val="Segoe UI"/>
            <family val="2"/>
          </rPr>
          <t>COMO TE AJUDAMOS AQUI?
EXISTE UM MÓDULO ESPECÍFICO COM AULA E FERRAMENTA PARA CONTROLE DE CUSTOS E DESPESAS DE FORMA MATRICIAL (VER E AGIR)</t>
        </r>
      </text>
    </comment>
    <comment ref="E33" authorId="0" shapeId="0" xr:uid="{C4224A91-DA59-4D50-9846-C654CF39AD72}">
      <text>
        <r>
          <rPr>
            <b/>
            <sz val="14"/>
            <color indexed="81"/>
            <rFont val="Segoe UI"/>
            <family val="2"/>
          </rPr>
          <t>COMO TE AJUDAMOS AQUI?
EXISTE UM MÓDULO ESPECÍFICO COM AULA E FERRAMENTA PARA CONTROLE DE RECEITAS E VENDAS DE FORMA MATRICIAL (VER E AGIR)</t>
        </r>
        <r>
          <rPr>
            <sz val="14"/>
            <color indexed="81"/>
            <rFont val="Segoe UI"/>
            <family val="2"/>
          </rPr>
          <t xml:space="preserve">
</t>
        </r>
      </text>
    </comment>
  </commentList>
</comments>
</file>

<file path=xl/sharedStrings.xml><?xml version="1.0" encoding="utf-8"?>
<sst xmlns="http://schemas.openxmlformats.org/spreadsheetml/2006/main" count="2064" uniqueCount="1079">
  <si>
    <t>PILAR ESTRATÉGICO</t>
  </si>
  <si>
    <t>PILAR DE MARKETING</t>
  </si>
  <si>
    <t>PILAR VENDAS</t>
  </si>
  <si>
    <t>PILAR DE PESSOAS</t>
  </si>
  <si>
    <t>PILAR FINANCEIRO</t>
  </si>
  <si>
    <t>ROTINAS DO PILAR</t>
  </si>
  <si>
    <t>NÍVEL CRÍTICO</t>
  </si>
  <si>
    <t>NOTA ATUAL</t>
  </si>
  <si>
    <t>DEFINIÇÃO E ALINHAMENTO COM O TIME DE 
MISSÃO, VISÃO E VALORES (DO CEO ATÉ A OPERAÇÃO)</t>
  </si>
  <si>
    <t>ALTO</t>
  </si>
  <si>
    <t>RAIO-X DO CLIENTE DOS SONHOS, ANÁLISE DA CONCORRÊNCIA E ESTUDO DE MERCADO</t>
  </si>
  <si>
    <t>ROTINAS DE RECRUTAMENTO E SELEÇÃO DE NOVOS COLABORADORES</t>
  </si>
  <si>
    <t>ROTINAS DE CONTAS A PAGAR (GESTÃO DE MULTAS E JUROS EM DIA)</t>
  </si>
  <si>
    <t>GESTÃO DO ORGANOGRAMA DA EMPRESA
 E MAPEAMENTO DOS CARGOS E FUNÇÕES</t>
  </si>
  <si>
    <t>GESTÃO DE PÁGINAS, SITES, GOOGLE MEU NEGÓCIO</t>
  </si>
  <si>
    <t>GESTÃO CONTÍNUA DA BASE DE CLIENTES (ATIVOS E INATIVOS)</t>
  </si>
  <si>
    <t>ROTINAS DE CONTAS A RECEBER (GESTÃO DA CONSTRUÇÃO DE UM CAIXA FORTE)</t>
  </si>
  <si>
    <t>ELABORAÇÃO E APRESENTAÇÃO DO REGULAMENTO INTERNO PARA GARANTIR REGRAS E PADRÕES DA EMPRESA</t>
  </si>
  <si>
    <t>GESTÃO DAS REDES SOCIAIS E 
CRIAÇÃO DE CONTEÚDOS ORGÂNICOS/VIRAIS</t>
  </si>
  <si>
    <t>TREINAMENTO E CAPACITAÇÃO DE COLABORADORES NAS SUAS FUNÇÕES (COM FLUXOGRAMAS)</t>
  </si>
  <si>
    <t>DEFINIÇÃO DE METAS ANUAIS E 
DESDOBRAMENTO DE METAS MÊS A MÊS</t>
  </si>
  <si>
    <t>ROTINAS DE SOCIAL SELLER (PROSPECÇÃO ATIVA NAS REDES SOCIAIS)</t>
  </si>
  <si>
    <t>MÉDIO</t>
  </si>
  <si>
    <t>FECHAMENTO MENSAL DOS RESULTADOS E ANÁLISE DA DRE DA EMPRESA</t>
  </si>
  <si>
    <t>GESTÃO DE TRÁFEGO PAGO/ANÚNCIOS ONLINE</t>
  </si>
  <si>
    <t>ROTINA DE FEEDBACKS COM FUNCIONÁRIOS (1 A 1) LÍDERES E LIDERADOS</t>
  </si>
  <si>
    <t>ROTINAS DE PRECIFICAÇÃO E ANÁLISE DAS MARGENS DE LUCRO</t>
  </si>
  <si>
    <t>PARCERIAS COM EMPRESAS E NEGÓCIOS ESTRATÉGICOS</t>
  </si>
  <si>
    <t>ROTINA DE FOLLOWUP DE PROPOSTAS EM ABERTO PARA CLIENTES</t>
  </si>
  <si>
    <t>GESTÃO MATRICIAL DE CUSTOS E DESPESAS (CONTROLE LINHA A LINHA DE TODOS OS GASTOS)</t>
  </si>
  <si>
    <t>ELABORAÇÃO E CONSTRUÇÃO DE ORÇAMENTOS PARA O CLIENTE</t>
  </si>
  <si>
    <t>GESTÃO MATRICIAL DE RECEITAS E VENDAS (CONTROLE DE VOLUME E LUCRO)</t>
  </si>
  <si>
    <t>ROTINA DE QUEBRA DE OBJEÇÕES E 
USO DE GATILHOS MENTAIS</t>
  </si>
  <si>
    <t>AÇÕES DE PREMIAÇÃO, BONIFICAÇÃO E DE PROMOÇÃO DA MERITOCRACIA</t>
  </si>
  <si>
    <t>ROTINA DE EMISSÃO DE NOTAS FISCAIS</t>
  </si>
  <si>
    <t>BAIXO</t>
  </si>
  <si>
    <t>PARCERIAS COM INFLUENCERS E PROFISSIONAIS DO NICHO</t>
  </si>
  <si>
    <t>ROTINA DE UPSELL, DOWNSELL, CROSSELL E COMBOS NAS NEGOCIAÇÕES</t>
  </si>
  <si>
    <t>PESQUISA DE CLIMA ORGANIZACIONAL PARA PADRONIZAÇÃO DE BOAS PRÁTICAS E AÇÕES CORRETIVAS</t>
  </si>
  <si>
    <t>GESTÃO DE INADIMPLENTES</t>
  </si>
  <si>
    <t>ELABORAÇÃO DE MATERIAIS, FOLDERS, PANFLETOS INSTITUCIONAIS, CARTAZES, ETC</t>
  </si>
  <si>
    <t>ROTINAS DE PROCESSO DEMISSIONAL
E ENTREVISTA DE DESLIGAMENTO (SE APLICÁVEL)</t>
  </si>
  <si>
    <t>GESTÃO DO FUNDO DE RESERVA 
E PRÓ-LABORE DOS SÓCIOS</t>
  </si>
  <si>
    <t>ESTRATÉGICO</t>
  </si>
  <si>
    <t>MARKETING</t>
  </si>
  <si>
    <t>VENDAS</t>
  </si>
  <si>
    <t>PESSOAS</t>
  </si>
  <si>
    <t>FINANCEIRO</t>
  </si>
  <si>
    <t>TOTAL</t>
  </si>
  <si>
    <t>MÉDIA DO PILAR</t>
  </si>
  <si>
    <t>Coluna preenchida de forma automática</t>
  </si>
  <si>
    <t>Preencher a data do onboarding e colcar valores nas datas</t>
  </si>
  <si>
    <t>PILARES DO TESTE DE NIVELAMENTO EMPRESARIAL</t>
  </si>
  <si>
    <t>DIAGNÓSTICO DO CLIENTE E MAPEAMENTO DAS NECESSIDADES (AMPULHETA DE VENDAS)</t>
  </si>
  <si>
    <r>
      <t xml:space="preserve">FOTOGRAFIA DA EMPRESA </t>
    </r>
    <r>
      <rPr>
        <b/>
        <sz val="26"/>
        <color rgb="FFFFC000"/>
        <rFont val="Calibri"/>
        <family val="2"/>
      </rPr>
      <t>(CNPJ X CPF)</t>
    </r>
  </si>
  <si>
    <t>#</t>
  </si>
  <si>
    <t>PERGUNTAS</t>
  </si>
  <si>
    <t>COMO CALCULAR</t>
  </si>
  <si>
    <t>MÉDIA HISTÓRICA (ÚLTIMOS 12 MESES)</t>
  </si>
  <si>
    <t>Qual o seu faturamento médio mensal?</t>
  </si>
  <si>
    <t>Total de vendas em média nos últimos meses</t>
  </si>
  <si>
    <t>Qual seu gasto médio mensal?</t>
  </si>
  <si>
    <t>Total de obrigações que você possui com sua empresa (alugel, salários, etc)</t>
  </si>
  <si>
    <t>Qual seu lucro médio mensal?</t>
  </si>
  <si>
    <t>Total de dinheiro limpo que tem sobrado ao final de cada mês no seu caixa</t>
  </si>
  <si>
    <t>Qual seu fundo de reserva hoje?</t>
  </si>
  <si>
    <t>Total de dinheiro separado para eventuais emergências da empresa</t>
  </si>
  <si>
    <t>Qual seu pró-labore hoje?</t>
  </si>
  <si>
    <t>Total (em R$) que você retira da empresa para se pagar (seu salário como dono(a))</t>
  </si>
  <si>
    <t>Qual o número de funcionários você possui?</t>
  </si>
  <si>
    <t>Total de pessoas que trabalham com você em sua empresa (contando com você)</t>
  </si>
  <si>
    <t>Quantas horas em média você trabalha por dia?</t>
  </si>
  <si>
    <t>Total de horas que você dedica a sua empresa ao longo de 1 dia de trabalho</t>
  </si>
  <si>
    <t>Quantos dias 100% offline você tira ao mês?</t>
  </si>
  <si>
    <t>Total de dias que você consegue tirar no mês para descansar e se dedicar à família</t>
  </si>
  <si>
    <t>De 0 a 10 que nota você dá para a EQUIPE que toca as rotinas da sua empresa?</t>
  </si>
  <si>
    <t>Avalie criticamente como sua empresa está organizada hoje</t>
  </si>
  <si>
    <t>De 0 a 10 que nota você dá para VOCÊ como gestor(a) da sua empresa?</t>
  </si>
  <si>
    <t>Avalie criticamente como você está preparado(a) hoje</t>
  </si>
  <si>
    <t>Indicador</t>
  </si>
  <si>
    <t>Responsável</t>
  </si>
  <si>
    <t>Última atualização</t>
  </si>
  <si>
    <t>Sentido do indicador</t>
  </si>
  <si>
    <t>Histórico Anual</t>
  </si>
  <si>
    <t>Mês</t>
  </si>
  <si>
    <t>Extra</t>
  </si>
  <si>
    <t>Acumulado</t>
  </si>
  <si>
    <t>Meta</t>
  </si>
  <si>
    <t>Meta acum.</t>
  </si>
  <si>
    <t>Realizado</t>
  </si>
  <si>
    <t>Real acum.</t>
  </si>
  <si>
    <t>Abaixo da meta</t>
  </si>
  <si>
    <t>-</t>
  </si>
  <si>
    <t>Acima da meta</t>
  </si>
  <si>
    <t>Desvio mensal</t>
  </si>
  <si>
    <t>Diferença</t>
  </si>
  <si>
    <t>Verde</t>
  </si>
  <si>
    <t>Vermelho</t>
  </si>
  <si>
    <r>
      <t xml:space="preserve">AVALIAÇÃO DOS PILARES EMPRESARIAIS </t>
    </r>
    <r>
      <rPr>
        <b/>
        <sz val="18"/>
        <color rgb="FFFFC000"/>
        <rFont val="Calibri"/>
        <family val="2"/>
        <scheme val="minor"/>
      </rPr>
      <t>(EVOLUÇÃO TRIMESTRAL)</t>
    </r>
  </si>
  <si>
    <t>ENTRE 8,1 E 10</t>
  </si>
  <si>
    <t>LEGENDA DO GRÁFICO</t>
  </si>
  <si>
    <t>FATURAMENTO</t>
  </si>
  <si>
    <t>LUCRO</t>
  </si>
  <si>
    <t>DESPESAS</t>
  </si>
  <si>
    <r>
      <t xml:space="preserve">CONTROLE DE METAS </t>
    </r>
    <r>
      <rPr>
        <b/>
        <sz val="20"/>
        <color rgb="FFFFC000"/>
        <rFont val="Calibri"/>
        <family val="2"/>
        <scheme val="minor"/>
      </rPr>
      <t>(ANÁLISE MENSAL)</t>
    </r>
  </si>
  <si>
    <r>
      <t>EXECUÇÃO DIÁRIA DA AMPULHETA DE VENDAS</t>
    </r>
    <r>
      <rPr>
        <b/>
        <sz val="10"/>
        <rFont val="Calibri"/>
        <family val="2"/>
        <scheme val="minor"/>
      </rPr>
      <t xml:space="preserve"> (DA PROSPECÇÃO ATÉ A VENDA E INDICAÇÕES)</t>
    </r>
  </si>
  <si>
    <t>AVALIAÇÃO 1
(90 dias após o onboarding)</t>
  </si>
  <si>
    <t>AVALIAÇÃO 2
(180 dias após a Avaliação 1)</t>
  </si>
  <si>
    <t>AVALIAÇÃO 3
(270 dias após a Avaliação 2)</t>
  </si>
  <si>
    <t>PLANO DE PRIORIDADES DA EMPRESA</t>
  </si>
  <si>
    <t>PILAR</t>
  </si>
  <si>
    <t>ROTINA</t>
  </si>
  <si>
    <t>AÇÃO CORRETIVA</t>
  </si>
  <si>
    <t>QUEM</t>
  </si>
  <si>
    <t>STATUS</t>
  </si>
  <si>
    <t>ABAIXO DE 6</t>
  </si>
  <si>
    <t>ENTRE 6,1 E 8</t>
  </si>
  <si>
    <t>X</t>
  </si>
  <si>
    <t>✓</t>
  </si>
  <si>
    <t>LEGENDA</t>
  </si>
  <si>
    <t>MISSÃO, VISÃO E VALORES</t>
  </si>
  <si>
    <t>MAPA DE CARGOS E FUNÇÕES</t>
  </si>
  <si>
    <t>REGULAMENTO INTERNO</t>
  </si>
  <si>
    <t>DESDOBRAMENTO DE METAS</t>
  </si>
  <si>
    <t>REUNIÃO NOTA 10 (DIÁRIA)</t>
  </si>
  <si>
    <t>CRIAÇÃO DE CULTURA FORTE</t>
  </si>
  <si>
    <t>ANÁLISE DE RESULTADOS DO MÊS</t>
  </si>
  <si>
    <t>RAIO-X DO CLIENTE DOS SONHOS</t>
  </si>
  <si>
    <t>CRIAÇÃO DE CONTEÚDOS</t>
  </si>
  <si>
    <t>SOCIAL SELLER</t>
  </si>
  <si>
    <t>AMPULHETA DE VENDAS</t>
  </si>
  <si>
    <t>GESTÃO DA BASE DE CLIENTES</t>
  </si>
  <si>
    <t>SCRIPT DE ATENDIMENTO IDEAL</t>
  </si>
  <si>
    <t>QUEBRA DE OBJEÇÕES</t>
  </si>
  <si>
    <t>GATILHOS MENTAIS</t>
  </si>
  <si>
    <t>RECRUTAMENTO E SELEÇÃO</t>
  </si>
  <si>
    <t>PRODUTIVIDADE X OCIOSIDADE</t>
  </si>
  <si>
    <t>FEEDBACKS 1 X 1 COM SEU TIME</t>
  </si>
  <si>
    <t>PESQUISA DE CLIMA NA EMPRESA</t>
  </si>
  <si>
    <t>ENTREVISTA DE DESLIGAMENTO</t>
  </si>
  <si>
    <t>GESTÃO DO FLUXO DE CAIXA</t>
  </si>
  <si>
    <t>GESTÃO MATRICIAL DE DESPESAS</t>
  </si>
  <si>
    <t>GESTÃO MATRICIAL DE RECEITAS</t>
  </si>
  <si>
    <t>TESTE DE NIVELAMENTO</t>
  </si>
  <si>
    <t>EVOLUÇÃO POR PILAR</t>
  </si>
  <si>
    <t>FOTOGRAFIA DA EMPRESA</t>
  </si>
  <si>
    <t>CONTROLE DE METAS</t>
  </si>
  <si>
    <t>&lt;   CLIQUE AQUI E VOLTE AO PAINEL INICIAL</t>
  </si>
  <si>
    <t>CADEIA DE VALOR</t>
  </si>
  <si>
    <t>MISSÃO</t>
  </si>
  <si>
    <t>VISÃO</t>
  </si>
  <si>
    <t>VALORES</t>
  </si>
  <si>
    <t>O QUE SIGNIFICA ESSE VALOR?</t>
  </si>
  <si>
    <r>
      <rPr>
        <b/>
        <sz val="28"/>
        <rFont val="Calibri"/>
        <family val="2"/>
        <scheme val="minor"/>
      </rPr>
      <t>VISÃO DE FUTURO DA EMPRESA EM RELAÇÃO AOS PRÓXIMOS ANOS (3 A 5).</t>
    </r>
    <r>
      <rPr>
        <b/>
        <sz val="36"/>
        <rFont val="Calibri"/>
        <family val="2"/>
        <scheme val="minor"/>
      </rPr>
      <t xml:space="preserve">
</t>
    </r>
    <r>
      <rPr>
        <b/>
        <sz val="28"/>
        <color rgb="FF0070C0"/>
        <rFont val="Calibri"/>
        <family val="2"/>
        <scheme val="minor"/>
      </rPr>
      <t>EX: SER UMA REFERÊNCIA EM XYZ...</t>
    </r>
  </si>
  <si>
    <t>POR QUE ESSE VALOR É IMPORTANTE PARA A EMPRESA?</t>
  </si>
  <si>
    <t>PROCESSO CRÍTICO: ATENDIMENTO PRESENCIAL DE CLIENTES NO AÇOUGUE</t>
  </si>
  <si>
    <t>DESEJAR AS BOAS VINDAS AO CLIENTE (BOM DIA, BOA TARDE, BOA NOITE)</t>
  </si>
  <si>
    <t>QUAL OCASIÃO TE TROUXE ATÉ AQUI EM NOSSO AÇOUGUE?</t>
  </si>
  <si>
    <t>COMPRA DA SEMANA: REFEIÇÕES DO COTIDIANO</t>
  </si>
  <si>
    <t>COMPRA DE FINAL DE SEMANA: REFEIÇÃO ESPECIAL</t>
  </si>
  <si>
    <t>COMPRA DE FINAL DE SEMANA: CHURRASCO COM OS AMIGOS</t>
  </si>
  <si>
    <t>VOCÊ VEIO BUSCANDO ALGUM CORTE ESPECÍFICO PRA ESSE PEDIDO?</t>
  </si>
  <si>
    <t>SE A PESSOA BUSCA UM CORTE FRANGO:</t>
  </si>
  <si>
    <t>VOCÊ PLANEJA FAZER ALGUM PRATO ESPECÍFICA COM O FRANGO?</t>
  </si>
  <si>
    <t>SUGERIR PRATOS COM FRANGO: ESTROGONOFF, FRICASSÊ, EMPADÃO DE FRANGO, FRANGO À MILANESA</t>
  </si>
  <si>
    <t>OFERTAR OS CORTES JÁ TEMPERADOS</t>
  </si>
  <si>
    <t>OFERTAR OS CORTES JÁ NAS BANDEJAS</t>
  </si>
  <si>
    <t>OFERTAR OS CORTES COM OSSOS (COXA, SOBRECOXA, ASINHA, PEITO INTEIRO)</t>
  </si>
  <si>
    <t>OFERTAR OS CORTES SEM OSSOS (PEITO, FILÉ DE FRANGO, COXA, LINGUIÇA)</t>
  </si>
  <si>
    <t>SE A PESSOA BUSCA UM CORTE SUÍNO</t>
  </si>
  <si>
    <t>VOCÊ PLANEJA FAZER ALGUM PRATO ESPECÍFICO COM O SUÍNO?</t>
  </si>
  <si>
    <t>SUGERIR PRATOS COM SUÍNO: FEIJOADA, COSTELINHA ASSADA, PERNIL ASSADO, CORTES PRA CHURRASCO, ETC</t>
  </si>
  <si>
    <t>OFERTAR OS CORTES TEMPERADOS (SALGADOS)</t>
  </si>
  <si>
    <t>OFERTAR OS CORTES COM OSSOS (COSTELA, PERNIL E BISTECA)</t>
  </si>
  <si>
    <t>OFERTAR OS CORTES SEM OSSOS (FILÉ DO PERFIL, LINGUIÇA, PICANHA SUÍNA, BACON, BARRIGA)</t>
  </si>
  <si>
    <t>SE A PESSOA BUSCA UM CORTE BOVINO</t>
  </si>
  <si>
    <t>VOCÊ PLANEJA FAZER ALGUM PRATO ESPECÍFICO COM A CARNE BOVINA?</t>
  </si>
  <si>
    <t>SUGERIR PRATOS COM A CARNE BOVINA: PICADINHO, ESTROGONOFF, COZIDO, MACARRAO BOLONHESA, BIFE COM FRITAS</t>
  </si>
  <si>
    <t xml:space="preserve">OFERTAR OS CORTES TEMPERADOS </t>
  </si>
  <si>
    <t>OFERTAR OS CORTES COM OSSOS (COSTELA, OSSOBUCO, CHULETA, PALETA, CONTRA FILÉ (CHULETÃO), PONTA DE AGULHA, ETC</t>
  </si>
  <si>
    <t>OFERTAR OS CORTES SEM OSSOS (PICANHA, ALCATRA, FILET MIGNON, FRALDINHA, CONTRA FILÉ, ACÉM, PATINHO, ETC)</t>
  </si>
  <si>
    <t>ESSE CORTE QUE VOCÊ PEDIU, VAI SER FEITO DE QUE MANEIRA?</t>
  </si>
  <si>
    <t>SUGERIR GUARNIÇÕES E ACOMPANHAMENTO PARA COMPOR AS REFEIÇÕES</t>
  </si>
  <si>
    <t>SE COMPROU FRANGO: SUGERIR O CREME DE LEITE, BATATA PALHA, ARROZ, CATCHUP, MOSTARDA, MILHO, TEMPEROS, ETC</t>
  </si>
  <si>
    <t>SE COMPROU PORCO: FAROFA, CEBOLA, ALHO, TEMPEROS, PAPEL ALUMINIO, ASSADEIRA, PALITO DE DENTE, CELOFONE</t>
  </si>
  <si>
    <t>SE COMPROU BOVINO: FAROFA, CEBOLA, ALHO, TEMPEROS, PAPEL ALUMINIO, ASSADEIRA, PALITO DE DENTE, CELOFONE</t>
  </si>
  <si>
    <t>SUGERIR QUE O CLIENTE POSTE A REFEIÇÃO ELABORADA E MARQUE O MERCADO</t>
  </si>
  <si>
    <t>ESPERO QUE VOCÊ VOLTE EM BREVE E ME CONTE COMO FOI A EXPERIÊNCIA COM AS SUGESTÕES SUGERIDAS</t>
  </si>
  <si>
    <t>TREINAMENTO COM FLUXOGRAMA</t>
  </si>
  <si>
    <t>DORES</t>
  </si>
  <si>
    <t>DESEJOS</t>
  </si>
  <si>
    <t>CRENÇAS</t>
  </si>
  <si>
    <t>OBJEÇÕES</t>
  </si>
  <si>
    <t>BLOCO</t>
  </si>
  <si>
    <t>INTRODUTÓRIO</t>
  </si>
  <si>
    <t>O regulamento interno da empresa é um documento em que está descrito um conjunto de direitos e deveres que tanto o empregador quanto os empregados devem seguir.</t>
  </si>
  <si>
    <t>Neste bloco você deve inserir uma frase objetiva para cada um desses 3 pilares da sua empresa</t>
  </si>
  <si>
    <t>Aqui você vai inserir o modelo de contratação: CLT, PJ, Freelancer, Temporário, Terceirizado, Home Office, Jovem Aprendiz, Estágio, etc</t>
  </si>
  <si>
    <t>ASSINALE O QUE VOCÊ IRÁ INSERIR NO SEU R.I.</t>
  </si>
  <si>
    <t>PERGUNTAS PARA ANÁLISE</t>
  </si>
  <si>
    <t>É indispensável o uso de uniforme completo por parte dos funcionários no interior da empresa e no caso de extravio ou de qualquer dano (por culpa do funcionário) o uniforme deverá ser ressarcido ao seu empregador.</t>
  </si>
  <si>
    <t>Funções que exigem o uso de EPIs (Equipamentos de Proteção Individual), jamais podem ser exercidas sem que os funcionários estejam utilizando os itens obrigatórios.</t>
  </si>
  <si>
    <t>UNIFORMES E EPI'S</t>
  </si>
  <si>
    <t>Os funcionários deverão se apresentar para o trabalho com cinco minutos de antecedência;</t>
  </si>
  <si>
    <t>Os horários estabelecidos pelo Departamento de Pessoal (inclusive para café, almoço e lanche) deverão ser estritamente cumpridos, sob pena de descontos dos salários na razão do tempo de trabalho perdido;</t>
  </si>
  <si>
    <t>O registro nos controles de frequência serão feitos por meio de ... (Ex: cartão de ponto) e os funcionários são obrigados a marcar cautelosamente as entradas e saídas, a fim de evitar registros errados.</t>
  </si>
  <si>
    <t>O controle de frequência será verificado para monitorar as presenças, faltas e atrasos (neste caso serão procedidos descontos no salário);</t>
  </si>
  <si>
    <t>As reincidências de ausências, ou atrasos ao serviço, sem causa justificada, constituem motivo passível de rescisão do Contrato de Trabalho por justa causa;</t>
  </si>
  <si>
    <t>É necessária a apresentação de atestado médico para abono de faltas e atrasos nas rotinas de trabalho;</t>
  </si>
  <si>
    <t>As saídas antecipadas somente serão permitidas, com a devida autorização do responsável pelo Departamento e, após a marcação do cartão de ponto;</t>
  </si>
  <si>
    <t>Inserir como funciona as escalas e quando o colaborador poderá gozar do seu dia de folga</t>
  </si>
  <si>
    <t>As férias devem ser solicitadas e aprovadas previamente pela liderança imediata do funcionário (com antecedência de X meses);</t>
  </si>
  <si>
    <t>HORÁRIOS DE TRABALHO</t>
  </si>
  <si>
    <t>O funcionário não pode permanecer sem o uniforme durante as atividades na empresa ou em serviços fora da empresa;</t>
  </si>
  <si>
    <t>O funcionário não pode recusar-se a assinar o cartão de ponto ou o controle de horas trabalhadas;</t>
  </si>
  <si>
    <t>O funcionário não pode ausentar-se dos departamentos ou seções onde trabalha, sem prévia autorização dos seus chefes;</t>
  </si>
  <si>
    <t>O funcionário não pode usar o telefone celular próprio durante o horário de trabalho, interrompendo suas atividades, não estando em seu horário de intervalo, salvo com autorização de seu superior hierárquico;</t>
  </si>
  <si>
    <t>O funcionário não pode destratar os clientes da empresa, ainda que esteja com a razão;</t>
  </si>
  <si>
    <t>O funcionário não pode destratar os colegas e chefias com palavras ásperas ou ofensivas;</t>
  </si>
  <si>
    <t>O funcionário não pode criticar os atos da administração da empresa de forma que prejudique o andamento dos trabalhos;</t>
  </si>
  <si>
    <t>O funcionário não pode recusar-se a cumprir as ordens dadas pelos superiores hierárquicos;</t>
  </si>
  <si>
    <t>O funcionário não pode prejudicar ou retardar a produção, por negligência comprovada;</t>
  </si>
  <si>
    <t>O funcionário não pode usar telefones, internet ou e-mail da empresa, para fins pessoais em assuntos estranhos ao interesse da empresa;</t>
  </si>
  <si>
    <t>O funcionário não pode utilizar o nome da empresa para negócios particulares, sem prévia autorização da administração;</t>
  </si>
  <si>
    <t>O funcionário não pode consumir bebidas alcoólicas, substâncias entorpecentes em serviço ou apresentar-se nestas condições para exercer suas atividades;</t>
  </si>
  <si>
    <t>O funcionário não pode deixar de zelar pela limpeza do seu local de trabalho, bem como do estabelecimento em geral;</t>
  </si>
  <si>
    <t>O funcionário não pode danificar mercadorias, bens móveis ou quaisquer outros equipamentos de seu uso pertencentes à empresa;</t>
  </si>
  <si>
    <t>O funcionário não pode ignorar o uso obrigatório de EPIs, colocando em risco sua integridade física, a qualidade de suas entregas e até a imagem da empresa;</t>
  </si>
  <si>
    <t>O funcionário não pode praticar atos que vão ferir a moral e o pudor, nas dependências da empresa e até mesmo fora da empresa;</t>
  </si>
  <si>
    <t>O funcionário não pode fumar em locais que não são os determinados e permitidos pela empresa;</t>
  </si>
  <si>
    <t>ROTINAS INTERNAS</t>
  </si>
  <si>
    <t>É um diferencial ter um bom índice de produção individual, cumprindo seus horários, entregando dentro dos prazos acordados superando as expectativas da liderança em relação ao que foi combinado;</t>
  </si>
  <si>
    <t>É um diferencial ter um comportamento colaborativo, auxiliando seus colegas de trabalho na solução de problemas e levando aos seus superiores, sugestões de melhoria para os problemas observados;</t>
  </si>
  <si>
    <t>É um diferencial ter uma conduta irrepreensível, vestindo a camisa de empresa e com postura e atitude de dono na execução das rotinas diárias, mesmo sem a presença do(a) dono(a);</t>
  </si>
  <si>
    <t>É um diferencial ter uma postura de sempre buscar aprender mais (o que não sabe) e sempre apoiar seus colegas no dia a dia (nas atividades que domina);</t>
  </si>
  <si>
    <t>É um diferencial ter uma postura de proatividade, sem depender de ordens diretas da liderança imediata e buscando antever o que precisa ser feito;</t>
  </si>
  <si>
    <t>É um diferencial saber trabalhar sob pressão, seja para cumprir os prazos de entrega, atender clientes difíceis, lidar com conflitos no dia a dia e agir de forma madura e profissional.</t>
  </si>
  <si>
    <t>PROMOÇÕES NA CARREIRA</t>
  </si>
  <si>
    <r>
      <t>REUNIÃO NOTA 10</t>
    </r>
    <r>
      <rPr>
        <b/>
        <sz val="36"/>
        <color rgb="FFFFC000"/>
        <rFont val="Calibri"/>
        <family val="2"/>
        <scheme val="minor"/>
      </rPr>
      <t xml:space="preserve"> (DIÁRIA OU SEMANAL)</t>
    </r>
  </si>
  <si>
    <t>NOME DA PESSOA</t>
  </si>
  <si>
    <r>
      <rPr>
        <b/>
        <sz val="12"/>
        <color rgb="FFFF0000"/>
        <rFont val="Calibri"/>
        <family val="2"/>
        <scheme val="minor"/>
      </rPr>
      <t>AÇÃO PARA SER EXECUTADA</t>
    </r>
    <r>
      <rPr>
        <b/>
        <sz val="12"/>
        <rFont val="Calibri"/>
        <family val="2"/>
        <scheme val="minor"/>
      </rPr>
      <t xml:space="preserve">
ESCRITA COM VERBO NO INFINITIVO E QUE SEJA DE RESPONSABILIDADE DA PESSOA OU DO TIME DA PESSOA, POIS ELA SERÁ COBRADA NO DIA SEGUINTE</t>
    </r>
  </si>
  <si>
    <t>FUNIL DE PROSPECÇÃO ATIVA PELO DIRECT (SOCIAL SELLER)</t>
  </si>
  <si>
    <t>IDENTIFICAÇÃO DO PERFIL DO LEAD QUALIFICADO (MQL ou CDP)</t>
  </si>
  <si>
    <r>
      <t xml:space="preserve">QUAIS AS CARACTERÍSTICAS DA PERSONA DO MEU PRODUTO? </t>
    </r>
    <r>
      <rPr>
        <sz val="8"/>
        <rFont val="Calibri"/>
        <family val="2"/>
        <scheme val="minor"/>
      </rPr>
      <t>(EX: DONO DE EMPRESA, COM MINIMO DE 10 FUNCIONÁRIOS, VIDA E FAMÍLIA ESTRUTURADA, VIAGENS, FÉRIAS, ETC)</t>
    </r>
  </si>
  <si>
    <r>
      <t>QUAIS ELEMENTOS DA REDE SOCIAL VOU USAR NO CHECKLIST DA MINHA PERSONA?</t>
    </r>
    <r>
      <rPr>
        <sz val="8"/>
        <rFont val="Calibri"/>
        <family val="2"/>
        <scheme val="minor"/>
      </rPr>
      <t xml:space="preserve"> (FOTO,Nº PUBLICAÇÕES, Nº DE SEGUIDORES,INFO NA BIO, SEGUIDORES EM COMUM...)</t>
    </r>
  </si>
  <si>
    <t>IDENTIFICAÇÃO DA LINGUAGEM QUE SERÁ UTILIZADA COM O LEAD</t>
  </si>
  <si>
    <r>
      <t>QUAL O TOM DE VOZ QUE A SUA MARCA SE COMUNICA? (</t>
    </r>
    <r>
      <rPr>
        <sz val="8"/>
        <rFont val="Calibri"/>
        <family val="2"/>
        <scheme val="minor"/>
      </rPr>
      <t>HUMOR, DESCOLADO, FORMAL)</t>
    </r>
  </si>
  <si>
    <r>
      <t xml:space="preserve">QUAIS EXPRESSÕES E TERMOS PADRÕES DA COMUNICAÇÃO DA MARCA </t>
    </r>
    <r>
      <rPr>
        <sz val="8"/>
        <rFont val="Calibri"/>
        <family val="2"/>
        <scheme val="minor"/>
      </rPr>
      <t>(JARGÃO, FRASE, PALAVRAS CHAVE)</t>
    </r>
  </si>
  <si>
    <r>
      <t xml:space="preserve">QUAIS EXPRESSÕES E TERMOS NÃO USAR </t>
    </r>
    <r>
      <rPr>
        <sz val="8"/>
        <rFont val="Calibri"/>
        <family val="2"/>
        <scheme val="minor"/>
      </rPr>
      <t>(DO CONCORRENTE)</t>
    </r>
  </si>
  <si>
    <t>CRIAÇÃO DE LISTA DE CONTROLE DE ABORDAGENS</t>
  </si>
  <si>
    <t>REGISTRAR DADOS PARA GERENCIAR ESTE LEAD (NOME, @, CIDADE, CLASSIFICAÇÃO, DATA DE CONTATO, DE QUAL POST)</t>
  </si>
  <si>
    <t>DEFINIR PERIODICIDADE DOS CONTATOS E MONITORAR LEADS SEM CONTATO A "X DIAS"</t>
  </si>
  <si>
    <t>ELABORAÇÃO DE CONTEÚDOS INTENCIONAIS PARA GERAR INTERAÇÃO ("LEVANTADA DE MÃO")</t>
  </si>
  <si>
    <t>MAPEAR AS DORES, DESEJOS, CRENÇAS LIMITANTES E OBJEÇÕES DO MEU CLIENTE DOS SONHOS</t>
  </si>
  <si>
    <t>CRIAR CONTEÚDOS E ENQUETES NOS STORIES QUE PROVOQUEM REAÇÕES E VOTOS</t>
  </si>
  <si>
    <t>CRIAR POSTS EM REELS QUE PROVOQUEM CURTIDAS OU COMPARTILHAMENTOS</t>
  </si>
  <si>
    <t>CRIAR LIVES QUE PROVOQUEM OS LEADS PARA ABERTURA DE UMA NOVA CONVERSA (MANUAL OU COM AUTOMAÇÃO)</t>
  </si>
  <si>
    <t>O LEAD QUE REAGIU AO CONTEÚDO TEM PERFIL QUALIFICADO?</t>
  </si>
  <si>
    <t>SE NÃO: AVANÇAR PARA A ANÁLISE DE OUTRO LEAD</t>
  </si>
  <si>
    <t>SE SIM: INICIAR A ABORDAGEM COM O LEAD E ADICIONAR NA PLANILHA DE CONTROLE DE PROSPECÇÕES</t>
  </si>
  <si>
    <t>COMO INICIAR A ABORDAGEM DO LEAD?</t>
  </si>
  <si>
    <t xml:space="preserve">SAUDAÇÃO COM NOME + JUSTIFICATIVA DE CONTATO + RECONHECIMENTO SOCIAL + PERGUNTA PRETEXTO </t>
  </si>
  <si>
    <r>
      <t xml:space="preserve">ABORDAGEM PARA: </t>
    </r>
    <r>
      <rPr>
        <b/>
        <sz val="11"/>
        <color rgb="FFFFC000"/>
        <rFont val="Calibri"/>
        <family val="2"/>
        <scheme val="minor"/>
      </rPr>
      <t>LEAD QUE RESPONDEU ENQUETE DOS STORIES</t>
    </r>
  </si>
  <si>
    <t>OI FULANO, BELEZA? VI AQUI QUE CLICOU NA ENQUETE QUE EU FIZ DIZENDO QUE É EMPRESÁRIO!
A PROPÓSITO, VISITEI SUA PÁGINA E FIQUEI IMPRESSIONADO COM O CAPRICHO DO POST X (CONEXÃO GENUÍNA COM A EMPRESA OU VIDA PESSOAL, FAMILIAR). PARABÉNS! ÓTIMA SEGUNDA-FEIRA PRA VOCÊ!</t>
  </si>
  <si>
    <r>
      <t xml:space="preserve">ABORDAGEM PARA: </t>
    </r>
    <r>
      <rPr>
        <b/>
        <sz val="11"/>
        <color rgb="FFFFC000"/>
        <rFont val="Calibri"/>
        <family val="2"/>
        <scheme val="minor"/>
      </rPr>
      <t>LEAD QUE COMPARTILHOU UM POST</t>
    </r>
  </si>
  <si>
    <t>OI FULANO, BELEZA? OBRIGADO POR LEVAR ESSA MENSAGEM AINDA MAIS LONGE! JÁ VIVEU ALGO PARECIDO COM O QUE CITEI NO POST?
AGUARDO SEU RETORNO. ÓTIMA QUARTA FEIRA PRA VOCÊ!</t>
  </si>
  <si>
    <r>
      <t xml:space="preserve">ABORDAGEM PARA: </t>
    </r>
    <r>
      <rPr>
        <b/>
        <sz val="11"/>
        <color rgb="FFFFC000"/>
        <rFont val="Calibri"/>
        <family val="2"/>
        <scheme val="minor"/>
      </rPr>
      <t>LEAD QUE COMENTOU POSITIVAMENTE EM UM POST</t>
    </r>
  </si>
  <si>
    <t>OI FULANO, TUDO BEM? PERCEBI SEU COMENTÁRIO NO POST DIZENDO XYZ....REALMENTE (REFORÇAR O PROBLEMA/DESAFIO EM QUESTÃO).
QUAL TEM SIDO SEU PRINCIPAL DESAFIO POR AÍ NO DIA A DIA DA SUA EMPRESA?</t>
  </si>
  <si>
    <r>
      <t xml:space="preserve">ABORDAGEM PARA: </t>
    </r>
    <r>
      <rPr>
        <b/>
        <sz val="11"/>
        <color rgb="FFFFC000"/>
        <rFont val="Calibri"/>
        <family val="2"/>
        <scheme val="minor"/>
      </rPr>
      <t>LEAD QUE RESPONDEU UMA CAIXINHA DE PERGUNTA</t>
    </r>
  </si>
  <si>
    <t>OI FULANO, TUDO BEM? ACABEI DE NOTAR SUA PERGUNTA E DECIDI TE RESPONDER PESSOALMENTE PRA ENTENDER MELHOR A SUA DOR.
O TEMA XYZ REALMENTE É UM GRANDE DESAFIO, MAS ME CONTA: O QUE VOCÊ JÁ FEZ PARA TENTAR SOLUCIONAR ISSO?</t>
  </si>
  <si>
    <r>
      <t xml:space="preserve">ABORDAGEM PARA: </t>
    </r>
    <r>
      <rPr>
        <b/>
        <sz val="11"/>
        <color rgb="FFFFC000"/>
        <rFont val="Calibri"/>
        <family val="2"/>
        <scheme val="minor"/>
      </rPr>
      <t>LEAD QUE COMEÇOU A SEGUIR SEU PERFIL</t>
    </r>
  </si>
  <si>
    <t>OI FULANO, TUDO BEM? SEJA MUITO BEM VINDO(Ao POR AQUI. ESPERO QUE MEUS CONTEÚDOS TE AJUDEM BASTANTE.
A PROPÓSITO, NOTEI QUE TEM UMA EMPRESA XYZ. BACANA DEMAIS SEU TRABALHO. VOCÊ QUEM FAZ A GESTÃO DE TUDO POR AI OU TEM UMA EQUIPE QUE TE AJUDA?</t>
  </si>
  <si>
    <r>
      <t xml:space="preserve">ABORDAGEM PARA: </t>
    </r>
    <r>
      <rPr>
        <b/>
        <sz val="11"/>
        <color rgb="FFFFC000"/>
        <rFont val="Calibri"/>
        <family val="2"/>
        <scheme val="minor"/>
      </rPr>
      <t>LEAD QUE VISUALIZOU SEU STORIE</t>
    </r>
  </si>
  <si>
    <t>OI FULANO, TUDO BEM? PERCEBI QUE TEM ACOMPANHADO MEU TRABALHO E ACABEI VISITANDO SEU PERFIL. ME SURPREENDI COM O CAPRICHO E ADOREI O SEU POST ABC ONDE FALA DE XYZ. PARABÉNS PELO SEU TRABALHO. ÓTIMA SEGUNDA-FEIRA PRA VOCÊ.</t>
  </si>
  <si>
    <r>
      <t xml:space="preserve">ABORDAGEM PARA: </t>
    </r>
    <r>
      <rPr>
        <b/>
        <sz val="11"/>
        <color rgb="FFFFC000"/>
        <rFont val="Calibri"/>
        <family val="2"/>
        <scheme val="minor"/>
      </rPr>
      <t>LEAD QUE É SEGUIDOR ANTIGO E NÃO INTERAGE</t>
    </r>
  </si>
  <si>
    <t>FALA FULANO! PERCEBI QUE ACOMPANHA MEU TRABALHO E FIQUEI CURIOSO PARA SABER COMO ESTÃO AS COISAS POR AI NA EMPRESA XXX. MANDE NOTÍCIAS QUANDO PUDER!</t>
  </si>
  <si>
    <t>LEAD RESPONDEU A ABORDAGEM?</t>
  </si>
  <si>
    <t>SE NÃO: AGUARDAR INTERVALO ENTRE A PRÓXIMA ABORDAGEM E FAZER NOVA PERGUNTA PRETEXTO</t>
  </si>
  <si>
    <t>FALA FULANO, IMAGINO QUE AS COISAS ESTEJAM CORRIDAS POR AÍ, POR ISSO, ACREDITO QUE AINDA NEM VIU MINHA MENSAGEM. MAS QUANDO PUDER, ME CONTE MAIS SOBRE A SUA EMPRESA. FIQUEI FELIZ E SABER QUE MEUS CONTEÚDOS FIZERAM SENTIDO PRA VOCÊ. GRANDE ABRAÇO</t>
  </si>
  <si>
    <t>SE SIM: PROSSEGUIR O DIÁLOGO COM O LEAD DE FORMA INTENCIONAL EM BUSCA DE DORES E DESEJOS</t>
  </si>
  <si>
    <t>FALA FULANO, ISSO É UM BAITA DESAFIO MESMO! ESSA É UMA DOR MUITO COMUM NAS EMPRESAS HOJE. ALÉM DESSE, QUAIS SÃO OS OUTROS DESAFIOS QUE VOCÊ TEM VIVIDO NA (NOME DA EMPRESA) E QUANTOS FUNCIONÁRIOS VOCÊ POSSUI NO SEU NEGÓCIO HOJE?</t>
  </si>
  <si>
    <t>LEAD SINALIZOU ALGUMA DOR OU DESEJO QUE VOCÊ PODE RESOLVER?</t>
  </si>
  <si>
    <t>SE SIM: ACOLHIMENTO DE DOR OU DESEJO + OFERTA DE AJUDA</t>
  </si>
  <si>
    <t>SE FIZER SENTIDO PARA VOCÊ, PODEMOS FAZER UM BATE PAPO ON LINE PRA APROFUNDAR NESSE TEMA. VEZ OU OUTRA EU PRESENTEIO MEUS SEGUIDORES COM 1 HORA DE CONSULTORIA INDIVIDUAL E GRATUITA COM UM ESPECIALISTA DO MEU TIME. SE FIZER SENTIDO, ME AVISE E TENTAREI ENCAIXAR VOCÊ EM NOSSA AGENDA. TOPA?</t>
  </si>
  <si>
    <t>LEAD TOPOU O CONVITE?</t>
  </si>
  <si>
    <t>SE NÃO: AGRADECER E SE COLOCAR À DISPOSIÇÃO QUANDO FIZER SENTIDO</t>
  </si>
  <si>
    <t>SE SIM: ENVIAR LINK DE FORMULÁRIO OU SOLICITAR CONEXÃO VIA WHATSAPP PARA ABRIR PROCESSO DE ATENDIMENTO INDIVIDUAL</t>
  </si>
  <si>
    <t>FIM</t>
  </si>
  <si>
    <t>QUE DIA É HOJE?</t>
  </si>
  <si>
    <t>GESTÃO DA BASE DE CLIENTES (MODO BABÁ)</t>
  </si>
  <si>
    <t>NOME + SOBRENOME DO CLIENTE (PF OU PJ)</t>
  </si>
  <si>
    <t>ÚLTIMO DIA QUE ENTREI EM CONTATO</t>
  </si>
  <si>
    <t>NUMERO DE DIAS DESDE O ÚLTIMO CONTATO</t>
  </si>
  <si>
    <t>"NÃO CONSIGO FAZER MINHA EMPRESA FUNCIONAR SEM DEPENDER DE MIM"</t>
  </si>
  <si>
    <t>"NÃO ACHO QUE UMA MENTORIA VAI AJUDAR MINHA EMPRESA A MUDAR"</t>
  </si>
  <si>
    <t>"ESTUDAR ONLINE NÃO É PRA MIM E NÃO VAI ME AJUDAR EM MEU NEGÓCIO"</t>
  </si>
  <si>
    <t>"ESTOU VELHO PARA COMEÇAR A ME CAPACITAR NOVAMENTE"</t>
  </si>
  <si>
    <t>"NÃO TENHO DINHEIRO AGORA, MAS QUANDO TIVER, EU ENTRO PARA SUA MENTORIA"</t>
  </si>
  <si>
    <t>"NÃO TENHO TEMPO PARA ME DEDICAR E ESTUDAR COMO DEVERIA PARA SUA MENTORIA"</t>
  </si>
  <si>
    <t>"NO MEU CASO ESPECÍFICO, PRO MEU NICHO, EU ACHO QUE ISSO NÃO FUNCIONA"</t>
  </si>
  <si>
    <t>"NÃO ESTOU NO MOMENTO CERTO PRA ENTRAR, PORQUE PRECISO ME ORGANIZAR PRIMEIRO"</t>
  </si>
  <si>
    <t>"NÃO TENHO LIMITE NO CARTÃO PARA FAZER O PAGAMENTO AGORA"</t>
  </si>
  <si>
    <t>"QUERO CUIDAR MELHOR DA MINHA FAMÍLIA, MAS MINHA EMPRESA NÃO PERMITE"</t>
  </si>
  <si>
    <t>"QUERO PODER TIRAR FÉRIAS DA MINHA EMPRESA, MAS ESTOU PRESO(A) NA OPERAÇÃO"</t>
  </si>
  <si>
    <t>"QUERO CUIDAR DA MINHA SAÚDE, MAS NÃO SOBRA TEMPO DE IR PRA ACADEMIA"</t>
  </si>
  <si>
    <t>"NÃO CONFIO NO MEU TIME E TENHO QUE CONFERIR TUDO QUE PEÇO PARA OS FUNCIONÁRIOS"</t>
  </si>
  <si>
    <t>"NÃO ACHO GENTE BOA PARA TRABALHAR E CADA DIA ESTÁ MAIS DIFÍCIL CONTRATAR FUNCIONÁRIOS"</t>
  </si>
  <si>
    <t>"NÃO TENHO UMA EQUIPE ENGAJADA, PROATIVA E COM ATITUDE DE DONO NO DIA A DIA DA EMPRESA"</t>
  </si>
  <si>
    <t>"NÃO VEJO O RETORNO FINANCEIRO QUE GOSTARIA DE VER, MESMO TRABALHANDO MUITO DURO"</t>
  </si>
  <si>
    <t>"QUERO TER UM EMPRESA QUE FUNCIONE COMIGO POR PERTO OU MESMO SEM A MINHA PRESENÇA"</t>
  </si>
  <si>
    <t>"QUERO PODER GARANTIR MINHA INDEPENDÊNCIA FINANCEIRA E DOS MEUS FILHOS"</t>
  </si>
  <si>
    <t>"ACHO QUE JÁ ATINGI MEU POTENCIAL MÁXIMO COM MINHA EMPRESA"</t>
  </si>
  <si>
    <t>"PRECISO FALAR COM MEU SÓCIO(A) E DEPOIS TE DOU UM RETORNO"</t>
  </si>
  <si>
    <t>3 ERROS QUE IMPEDEM SUA EMPRESA DE FUNCIONAR SEM VOCÊ</t>
  </si>
  <si>
    <t>SUA EMPRESA FUNCIONARÁ SEM VOCÊ DEPOIS DESSA ÚNICA AÇÃO</t>
  </si>
  <si>
    <t>EMPRESÁRIOS COM LIBERDADE, NÃO COMETEM ESSES ERROS</t>
  </si>
  <si>
    <t>VOCÊ NUNCA VAI TIRAR FÉRIAS SE COMETER ESSES 4 ERROS</t>
  </si>
  <si>
    <t>EMPRESÁRIOS COM FÉRIAS DE 30 DIAS AO ANO, FAZEM EXATAMENTE ISSO</t>
  </si>
  <si>
    <t>TREINE SUA EQUIPE DESSA FORMA E TENHA FÉRIAS TODOS OS ANOS</t>
  </si>
  <si>
    <t>COMO A MENTORIA MUDOU MINHA EMPRESA EM X MESES</t>
  </si>
  <si>
    <t>DEPOIS DA MENTORIA, ESSE FOI O RESULTADO QUE EU TIVE</t>
  </si>
  <si>
    <t>EMPRESÁRIOS QUE TEM MENTORES AVANÇAM MUITO POR CAUSA DESSE DIFERENCIAL...</t>
  </si>
  <si>
    <t>SE SUA EMPRESA ESTÁ SEM DINHEIRO VOCÊ PODE ESTAR ERRANDO NESSES PONTOS...</t>
  </si>
  <si>
    <t>2. Este é pra quem tem/faz (erro comum do avatar) </t>
  </si>
  <si>
    <t>3. Aposto que você pensa que (pensamento comum do avatar) </t>
  </si>
  <si>
    <t>4. Se te dizem que (objeção comum do avatar) então veja esse vídeo </t>
  </si>
  <si>
    <t>5. Quando (grupo do seu avatar – mulheres, autônomo, pais) descobrem isso, é um choque! </t>
  </si>
  <si>
    <t>6. Como fazer para (objetivo do avatar) sem ter que (objeção do avatar) </t>
  </si>
  <si>
    <t>7. Se você está fazendo isso está cometendo um grande erro </t>
  </si>
  <si>
    <t>8. Essa é pra quem (comportamento comum do avatar) e não sabe como resolver </t>
  </si>
  <si>
    <t>9. Essa é pra quem (comportamento comum do avatar) e quer muito mudar </t>
  </si>
  <si>
    <t>10. Essa atitude fez muita diferença na minha vida </t>
  </si>
  <si>
    <t>11. Sem saber isso você não consegue (objetivo do seu avatar) </t>
  </si>
  <si>
    <t>12. Mais um segredo do (algo do seu nicho) que muita gente não sabe </t>
  </si>
  <si>
    <t>13. Isso é o que meus alunos fazem para (resultado obtido no seu curso) </t>
  </si>
  <si>
    <t>14. Entenda o que (tema do seu nicho) tem a ver com (algo que seu avatar não sabe) </t>
  </si>
  <si>
    <t>15. Você também precisa olhar para (algo do seu nicho) assim </t>
  </si>
  <si>
    <t>16. É assim que você descobre como começar </t>
  </si>
  <si>
    <t>17. Eu fiz essas X coisas para conseguir (resultado que seu avatar quer) </t>
  </si>
  <si>
    <t>18. É por isso que você não precisa (objeção do seu avatar) </t>
  </si>
  <si>
    <t>19. É assim que se faz para (resultado que seu avatar quer) </t>
  </si>
  <si>
    <t>20. Se você quiser de verdade, você consegue fazendo isso! </t>
  </si>
  <si>
    <t>21. Se você quer (objetivo do avatar), este é o caminho</t>
  </si>
  <si>
    <t>22. Se você já (erro comum), veja esse vídeo</t>
  </si>
  <si>
    <t>23. Estou (situação indesejada comum do seu avatar). O que eu faço? </t>
  </si>
  <si>
    <t>24. É isso que te falta para (objetivo do seu avatar)</t>
  </si>
  <si>
    <t>25. Assista a esse vídeo se você quer (objetivo do seu avatar)</t>
  </si>
  <si>
    <t>26. Quem fez isso conseguiu (objetivo do seu avatar)</t>
  </si>
  <si>
    <t>27. Se você é assim, então melhor nem ver esse vídeo</t>
  </si>
  <si>
    <t>28. Se você não fizer (algo que avatar está procrastinando), olha o que acontece</t>
  </si>
  <si>
    <t>29. É por isso que (algo que seu avatar acha que é a solução) não funciona</t>
  </si>
  <si>
    <t>30. Esse vídeo vai te salvar dessa armadilha. Ou “Esse vídeo vai te salvar da armadilha de (algo que acontece com seu avatar) </t>
  </si>
  <si>
    <t>31. Não é (algo que o seu avatar acredita que é a solução) que traz resultado. É isso aqui! </t>
  </si>
  <si>
    <t>32. Assim que você faz (objetivo do seu avatar) sem precisar (objeção do avatar)</t>
  </si>
  <si>
    <t>33. Vou te provar que (algo que seu avatar não acredita)</t>
  </si>
  <si>
    <t>34. Duvido que depois desse vídeo você ainda pense que (algo que seu avatar acredita) </t>
  </si>
  <si>
    <t>35. É isso que acontece quando (erro comum do avatar)</t>
  </si>
  <si>
    <t>36. Entre tal coisa e tal coisa você deve começar por... (dúvida comum do seu avatar) </t>
  </si>
  <si>
    <t>37. Você quer ter ânimo para (algo que ele procrastina)? </t>
  </si>
  <si>
    <t>38. Quanto mais você fizer isso, mais vai conseguir (objetivo do avatar) </t>
  </si>
  <si>
    <t>39. Essa é pra quem está (frustrado, desesperado, tenso) com (situação comum do seu avatar) </t>
  </si>
  <si>
    <t>40. A única maneira de (objetivo do seu avatar) é essa</t>
  </si>
  <si>
    <t>41. Quem está (situação comum do seu avatar) é por que ainda não percebeu/aprendeu/descobriu isso</t>
  </si>
  <si>
    <t>42. Enquanto você não (atitude que seu avatar desconsidera) você não vai (objetivo do seu avatar) </t>
  </si>
  <si>
    <t>43. Essa é pra você que precisa (objetivo do avatar) </t>
  </si>
  <si>
    <t>44. Essa é o problema de (comportamento comum do seu avatar) </t>
  </si>
  <si>
    <t>45. É possível evitar (resultado indesejado comum) assim</t>
  </si>
  <si>
    <t>46. A forma mais efetiva de (resultado desejado)</t>
  </si>
  <si>
    <t>47. O melhor jeito de (resultado desejado) sem (objeção) </t>
  </si>
  <si>
    <t>48. O que eu penso quando me dizem que (frase repetida pelo seu avatar) </t>
  </si>
  <si>
    <t>49. Use isso na hora de (situação corriqueira do seu avatar) </t>
  </si>
  <si>
    <t>50. A verdade oculta sobre (algo do seu nicho)</t>
  </si>
  <si>
    <t>51. Os segredos por trás de (algo do seu nicho) </t>
  </si>
  <si>
    <t>52. Você pensa que é difícil (resultado desejado) mas assim fica bem mais fácil </t>
  </si>
  <si>
    <t>53. Por que eu não acredito que (ação ineficaz comum do seu avatar para chegar ao resultado) dá certo </t>
  </si>
  <si>
    <t>54. Definitivamente desse jeito você não vai conseguir (resultado desejado) </t>
  </si>
  <si>
    <t>55. O motivo pelo qual você não consegue (resultado desejado) </t>
  </si>
  <si>
    <t>56. A ideia mais incrível para quem quer (resultado indesejado) </t>
  </si>
  <si>
    <t>57. A sacada mais eficaz para quem não sabe (resultado desejado) </t>
  </si>
  <si>
    <t>58. Um guia rápido para (resultado desejado) </t>
  </si>
  <si>
    <t>59. Aprenda isso antes de querer (algo que seu avatar quer ou está fazendo) </t>
  </si>
  <si>
    <t>60. A pior maneira de (resultado desejado) </t>
  </si>
  <si>
    <t>61. Por que eu não recomendo que você (atitude ineficaz comum do seu avatar) </t>
  </si>
  <si>
    <t>62. Aplique isso e seus resultados vão explodir </t>
  </si>
  <si>
    <t>64. Talvez seja por isso que você não consegue (resultado desejado). </t>
  </si>
  <si>
    <t>65. O ponto chave para (resultado desejado) </t>
  </si>
  <si>
    <t>66. Você não precisa ser (comportamento comum) para (resultado desejado) </t>
  </si>
  <si>
    <t>67. O risco escondido em (comportamento comum) </t>
  </si>
  <si>
    <t>68. Consiga (resultado desejado) sem perder (algo que seu avatar não quer perder) </t>
  </si>
  <si>
    <t>69. Se livre de (problema) de uma vez por todas. </t>
  </si>
  <si>
    <t>70. O quanto antes você souber isso melhor.</t>
  </si>
  <si>
    <t>70 HEADLINES PARA POSTS QUE ENGAJAM</t>
  </si>
  <si>
    <t>1. Se você age assim olha o que acontece </t>
  </si>
  <si>
    <t>63. Fazer tal coisa ou fazer tal coisa, o que é melhor pra você? (dúvida comum do seu avatar) </t>
  </si>
  <si>
    <t>QUANDO ANTES VOCÊ SOUBER DISSO, MENOS DINHEIRO VOCÊ PERDE NA SUA EMPRESA</t>
  </si>
  <si>
    <t>SE SUA EMPRESA VIVE SEM DINHEIRO, VEJA ESSE VÍDEO AGORA</t>
  </si>
  <si>
    <t>DIGITE AQUI UMA DOR ESPECÍFICA QUE SEU CLIENTE DOS SONHOS POSSUI DIARIAMENTE E VOCÊ PODE SOLUCIONAR</t>
  </si>
  <si>
    <t>DIGITE AQUI UM DESEJO ESPECÍFICO QUE SEU CLIENTE DOS SONHOS POSSUI DIARIAMENTE E VOCÊ PODE REALIZAR</t>
  </si>
  <si>
    <t>DIGITE AQUI UMA CRENÇA LIMITANTE SOBRE SEU PRODUTO OU SERVIÇO QUE SEU CLIENTE POSSUI E VOCÊ PRECISA COMBATER DIARIAMENTE</t>
  </si>
  <si>
    <t>DIGITE AQUI UMA OBJEÇÃO QUE SEU CLIENTE DOS SONHOS POSSUI DIARIAMENTE E VOCÊ PODE SOLUCIONAR</t>
  </si>
  <si>
    <t>0. COMECE POR AQUI</t>
  </si>
  <si>
    <t>1. ESTRATÉGICO</t>
  </si>
  <si>
    <t>2. MARKETING</t>
  </si>
  <si>
    <t>3. VENDAS</t>
  </si>
  <si>
    <t>4. PESSOAS</t>
  </si>
  <si>
    <t>5. FINANCEIRO</t>
  </si>
  <si>
    <t>TÓPICO ANALISADO</t>
  </si>
  <si>
    <t>NOTA DA AVALIAÇÃO &gt;</t>
  </si>
  <si>
    <r>
      <t xml:space="preserve">DEFINIR E COMUNICAR A MISSÃO, VISÃO E VALORES NO DIA A DIA 
</t>
    </r>
    <r>
      <rPr>
        <b/>
        <sz val="18"/>
        <color rgb="FFFFC000"/>
        <rFont val="Calibri"/>
        <family val="2"/>
        <scheme val="minor"/>
      </rPr>
      <t>(QUADROS, PAREDES, PROTEÇÃO DE TELA, ETC)</t>
    </r>
  </si>
  <si>
    <r>
      <t xml:space="preserve">PROMOVER TREINAMENTOS ESPECÍFICOS PARA MEMBROS DA EQUIPE
</t>
    </r>
    <r>
      <rPr>
        <b/>
        <sz val="18"/>
        <color rgb="FFFFC000"/>
        <rFont val="Calibri"/>
        <family val="2"/>
        <scheme val="minor"/>
      </rPr>
      <t>(ESTÍMULO PARA CARGOS E HABILIDADES ESPECÍFICAS)</t>
    </r>
  </si>
  <si>
    <r>
      <t>PROMOVER EVENTOS ABERTOS AO TIME</t>
    </r>
    <r>
      <rPr>
        <b/>
        <sz val="18"/>
        <color rgb="FFFFC000"/>
        <rFont val="Calibri"/>
        <family val="2"/>
        <scheme val="minor"/>
      </rPr>
      <t xml:space="preserve"> (ANIVERSÁRIO DA EMPRESA, SEMANA DA QUALIDADE, DIA DE REFORÇO DOS PILARES DA CULTURA)</t>
    </r>
  </si>
  <si>
    <r>
      <t xml:space="preserve">REALIZAR PESQUISA DE CLIMA ORGANIZACIONAL
</t>
    </r>
    <r>
      <rPr>
        <b/>
        <sz val="18"/>
        <color rgb="FFFFC000"/>
        <rFont val="Calibri"/>
        <family val="2"/>
        <scheme val="minor"/>
      </rPr>
      <t>(ESTRATÉGIA OBRIGATÓRIA PARA FORTALECER A CULTURA)</t>
    </r>
  </si>
  <si>
    <r>
      <t xml:space="preserve">PROMOVER COMUNICAÇÃO INTERNA
</t>
    </r>
    <r>
      <rPr>
        <b/>
        <sz val="18"/>
        <color rgb="FFFFC000"/>
        <rFont val="Calibri"/>
        <family val="2"/>
        <scheme val="minor"/>
      </rPr>
      <t>(E-MAILS, NEWSLETTER, COMUNICADOS, ALINHAMENTO COM FUNCIONÁRIOS, FORNECEDORES E CLIENTES)</t>
    </r>
  </si>
  <si>
    <r>
      <t xml:space="preserve">DEFINIÇÃO DE METAS, PROPÓSITOS CLAROS E AÇÕES CONCRETAS
</t>
    </r>
    <r>
      <rPr>
        <b/>
        <sz val="18"/>
        <color rgb="FFFFC000"/>
        <rFont val="Calibri"/>
        <family val="2"/>
        <scheme val="minor"/>
      </rPr>
      <t>(FOCO EM RESULTADO)</t>
    </r>
  </si>
  <si>
    <r>
      <t xml:space="preserve">REUNIÃO DE ALINHAMENTO DIÁRIO, SEMANAL E MENSAL
</t>
    </r>
    <r>
      <rPr>
        <b/>
        <sz val="18"/>
        <color rgb="FFFFC000"/>
        <rFont val="Calibri"/>
        <family val="2"/>
        <scheme val="minor"/>
      </rPr>
      <t>(ALINHAMENTO DE EXPECTATIVAS E PRIORIDADES SEMPRE)</t>
    </r>
  </si>
  <si>
    <r>
      <t xml:space="preserve">COMEMORAÇÃO POR METAS BATIDAS COM A EQUIPE
</t>
    </r>
    <r>
      <rPr>
        <b/>
        <sz val="18"/>
        <color rgb="FFFFC000"/>
        <rFont val="Calibri"/>
        <family val="2"/>
        <scheme val="minor"/>
      </rPr>
      <t>(PASSEIOS, RESTAURANTES, FESTAS, ETC)</t>
    </r>
  </si>
  <si>
    <r>
      <t>COMEMORAÇÃO EM DATAS ESPECIAIS</t>
    </r>
    <r>
      <rPr>
        <b/>
        <sz val="18"/>
        <color rgb="FFFFC000"/>
        <rFont val="Calibri"/>
        <family val="2"/>
        <scheme val="minor"/>
      </rPr>
      <t xml:space="preserve"> (DIA DO TRABALHO, DIA DA MULHER,  DIA DAS MÃES, DIA DOS PAIS, DAY OFF (FOLGA)</t>
    </r>
    <r>
      <rPr>
        <b/>
        <sz val="18"/>
        <color theme="0"/>
        <rFont val="Calibri"/>
        <family val="2"/>
        <scheme val="minor"/>
      </rPr>
      <t xml:space="preserve"> NO ANIVERSÁRIO</t>
    </r>
  </si>
  <si>
    <r>
      <t xml:space="preserve">FEEDBACKS INDIVIDUAIS COM O TIME
</t>
    </r>
    <r>
      <rPr>
        <b/>
        <sz val="18"/>
        <color rgb="FFFFC000"/>
        <rFont val="Calibri"/>
        <family val="2"/>
        <scheme val="minor"/>
      </rPr>
      <t>(REFORÇO ESPECÍFICO AOS PILARES COM BASE NOS COMPORTAMENTOS DE CADA PESSOA)</t>
    </r>
  </si>
  <si>
    <t>SUA EQUIPE SE SENTE 100% CONFORTÁVEL NO AMBIENTE DE TRABALHO?</t>
  </si>
  <si>
    <t>EXISTEM LAÇOS DE AMIZADE ENTRE OS MEMBROS DO TIME?</t>
  </si>
  <si>
    <t>O TRABALHO IMPACTA POSITIVAMENTE A VIDA DE ALGUMA PESSOA?</t>
  </si>
  <si>
    <t>A LIDERANÇA É CLARA NAS FUNÇÕES QUE DELEGA PARA A EQUIPE?</t>
  </si>
  <si>
    <t>A LIDERANÇA DÁ LIBERDADE PARA PEDIR E DAR FEEDBACKS?</t>
  </si>
  <si>
    <t>O DIA A DIA DE TRABALHO É AGRADÁVEL PARA O TIME?</t>
  </si>
  <si>
    <t>A LIDERANÇA DÁ ABERTURA PARA QUE TODOS OPINEM?</t>
  </si>
  <si>
    <t>A LIDERANÇA RECONHECE AS AÇÕES POSITIVAS DA SUA EQUIPE?</t>
  </si>
  <si>
    <t>A EQUIPE ESTÁ FELIZ COM AS FUNÇÕES DESEMPENHADAS?</t>
  </si>
  <si>
    <t>A LIDERANÇA DIVIDE BEM AS ATIVIDADES EVITANDO SOBRECARGA NO TIME?</t>
  </si>
  <si>
    <t xml:space="preserve">A LIDERANÇA DÁ AUTONOMIA PARA O TIME NA EXECUÇÃO DE TAREFAS? </t>
  </si>
  <si>
    <t>A EMPRESA OFERECE OPÇÕES DE CRESCIMENTO PARA A EQUIPE?</t>
  </si>
  <si>
    <t>A EMPRESA SINALIZA QUAIS ENTREGAS SÃO NECESSÁRIAS PARA PROMOÇÕES?</t>
  </si>
  <si>
    <t>A EMPRESA OFERECE UM AMBIENTE DE TRABALHO ADEQUADO PRO TIME?</t>
  </si>
  <si>
    <t>AS CONDIÇÕES ERGONÔMICAS DE TRABALHO SÃO BOAS?</t>
  </si>
  <si>
    <t>A EQUIPE ESTÁ SATISFEITA COM REMUNERAÇÃO RECEBIDA?</t>
  </si>
  <si>
    <t>A EQUIPE RECEBE BONIFICAÇÕES QUE MOTIVAM E ENGAJAM?</t>
  </si>
  <si>
    <t>SUA EQUIPE INDICARIA SUA EMPRESA PARA UMA PESSOA PRÓXIMA OU AMIGO?</t>
  </si>
  <si>
    <t>SUA EQUIPE SENTE ORGULHO DE TRABALHAR NA SUA EMPRESA?</t>
  </si>
  <si>
    <t>SUA EMPRESA PERMITE A REALIZAÇÃO PROFISSIONAL DE CADA FUNCIONÁRIO?</t>
  </si>
  <si>
    <t>PESQUISA DE CLIMA ORGANIZACIONAL</t>
  </si>
  <si>
    <t>ANÁLISE DE RESULTADOS MENSAIS</t>
  </si>
  <si>
    <t>META</t>
  </si>
  <si>
    <t>DESVIO</t>
  </si>
  <si>
    <t>FAROL</t>
  </si>
  <si>
    <t>n</t>
  </si>
  <si>
    <t>Causa Primária</t>
  </si>
  <si>
    <t>Causa 2</t>
  </si>
  <si>
    <t>Causa 3</t>
  </si>
  <si>
    <t>Causa 4</t>
  </si>
  <si>
    <t>Causa 5</t>
  </si>
  <si>
    <t>INDICADOR ANALISADO</t>
  </si>
  <si>
    <t>REALIZADO</t>
  </si>
  <si>
    <t>Causa Raiz</t>
  </si>
  <si>
    <t>Ação Corretiva</t>
  </si>
  <si>
    <t>Quem</t>
  </si>
  <si>
    <t>Prazo</t>
  </si>
  <si>
    <t>&gt; CLIQUE NAS CÉLULAS PARA ACESSAR O CONTEÚDO &lt;</t>
  </si>
  <si>
    <t>PRAZO</t>
  </si>
  <si>
    <t>LIVES SHOP</t>
  </si>
  <si>
    <t>CRIAÇÃO DE CONTEÚDOS VIRAIS</t>
  </si>
  <si>
    <t>PROSPECÇÃO</t>
  </si>
  <si>
    <t>1.2 VOCÊ POSSUI UMA BUSCA ATIVA PELO SEU CLIENTE?</t>
  </si>
  <si>
    <t>1.3 VOCÊ BUSCA DE FORMA AUTOMÁTICA, ATRAVÉS DE TRÁFEGO PAGO FOCADO NA DOR?</t>
  </si>
  <si>
    <t>1.4 VOCÊ MONITORA A PERFORMANCE DOS SEUS ANÚNCIOS?</t>
  </si>
  <si>
    <t>1.5 VOCÊ TESTA SEUS ANÚNCIOS EM VÁRIOS FORMATOS?</t>
  </si>
  <si>
    <t>CONEXÃO</t>
  </si>
  <si>
    <t>2.1 SEU CLIENTE CHEGA NA SUA PÁGINA/SITE/LOJA E PERCEBE SUA AUTORIDADE? ELA É ATRATIVA?</t>
  </si>
  <si>
    <t xml:space="preserve">2.2 SEU CLIENTE É BEM ACOLHIDO(A) QUANDO FAZ O PRIMEIRO CONTATO? </t>
  </si>
  <si>
    <t xml:space="preserve">2.3 SEU TEMPO DE ATENDIMENTO É ÁGIL E AS RESPOSTAS RÁPIDAS? </t>
  </si>
  <si>
    <t>2.4 SEU CLIENTE SE SENTE CUIDADO(A) DE FORMA DIFERENCIADA ANTES DE COMPRAR?</t>
  </si>
  <si>
    <t>2.5 SEU CLIENTE PERCEBE SEU INTERESSE GENUÍNO EM INVESTIGAR O PROBLEMA DELE?</t>
  </si>
  <si>
    <t>DIAGNÓSTICO</t>
  </si>
  <si>
    <t>3.1 VOCÊ PERGUNTA COMO SEU CLIENTE TE CONHECEU?</t>
  </si>
  <si>
    <t>3.2 VOCÊ INVESTIGA SE ELE JÁ TENTOU COMPRAR DE OUTRA EMPRESA ANTES?</t>
  </si>
  <si>
    <t>3.3 VOCÊ BUSCA DESCOBRIR O DIFERENCIAL QUE O CLIENTE DESEJA? (PREÇO, PRAZO, QUALIDADE)</t>
  </si>
  <si>
    <t>3.4 VOCÊ POSSUI UM SCRIPT DE PERGUNTAS INICIAIS AO SEU CLIENTE?</t>
  </si>
  <si>
    <t>3.5 VOCÊ MAIS FALA OU MAIS ESCUTA NO INÍCIO DA ABORDAGEM?</t>
  </si>
  <si>
    <t>OFERTA</t>
  </si>
  <si>
    <t>4.1 VOCÊ ENVIA ORÇAMENTOS POR EMAIL OU PELO WHATSAPP?</t>
  </si>
  <si>
    <t>4.2 VOCÊ USA GATILHOS MENTAIS? (HISTÓRIA, PROVA SOCIAL, AUTORIDADE, ESCASSEZ, ETC)?</t>
  </si>
  <si>
    <t>4.3 VOCÊ ENTREGA BONUS QUE AUMENTAM A PERCEPÇÃO DE VALOR DO CLIENTE?</t>
  </si>
  <si>
    <t>4.4 VOCÊ POSSUI DIFERENCIAIS NA SUA OFERTA OU COPIA ALGO PARECIDO COM A CONCORRÊNCIA?</t>
  </si>
  <si>
    <t>4.5 VOCÊ CONSTRÓI SUA OFERTA COM BASE NAS DORES DO CLIENTE?</t>
  </si>
  <si>
    <t>FASE</t>
  </si>
  <si>
    <t>PERGUNTA</t>
  </si>
  <si>
    <t>NOTA DE 0 A 10</t>
  </si>
  <si>
    <t>5.1 SEU CLIENTE RECEBE CONTATOS APÓS EFETUAR A COMPRA PRA SABER SE ESTÁ TUDO OK?</t>
  </si>
  <si>
    <t>5.2 SEU CLIENTE É PROVOCADO(A) PARA QUE FORNEÇA FEEDBACKS?</t>
  </si>
  <si>
    <t>5.3 SUA TAXA DE CONVERSÃO É MEDIDA (LEADS OBTIDOS X VENDAS REALIZADAS)?</t>
  </si>
  <si>
    <t>5.4 SEU CLIENTE RECLAMA COM FREQUÊNCIA DE ALGUM PONTO DA SUA ENTREGA?</t>
  </si>
  <si>
    <t>5.5 SEU CLIENTE “DEIXA DE EXISTIR” APÓS REALIZAR A COMPRA NA SUA EMPRESA?</t>
  </si>
  <si>
    <t>6.1 VOCÊ OFERTA COMBOS E PROMOÇÕES QUE BUSCAM FIDELIZAR?</t>
  </si>
  <si>
    <t>6.2 VOCÊ POSSUI "ASSINATURAS" OU "PLANOS“ ANUAIS, SEMESTRAIS?</t>
  </si>
  <si>
    <t>6.3 VOCÊ POSSUI UMA ROTINA DE CONTACTAR CLIENTES ANTIGOS QUE ESTÃO "SUMIDOS"?</t>
  </si>
  <si>
    <t>6.4 VOCÊ “MIMA” SEU CLIENTES MAIS FIÉIS (PARABÉNS, OFERTAS ESPECIAIS, BRINDES)?</t>
  </si>
  <si>
    <t>6.5 VOCÊ PREMIA OU BONIFICA OS CLIENTES MAIS FIEIS E ANTIGOS NA SUA EMPRESA?</t>
  </si>
  <si>
    <t>7.1 SEU CLIENTE FICA EM MÉDIA COM VOCÊ POR QUANTO TEMPO (ANOS/MESES)?</t>
  </si>
  <si>
    <t>7.2 SEU CLIENTE POSSUI ALGUM TIPO DE BENEFÍCIO ATRAVÉS DE INDICAÇÕES DE NOVOS CLIENTES?</t>
  </si>
  <si>
    <t>7.3 SEU CLIENTE É MONITORADO MENSALMENTE PARA QUE VOCÊ PROVOQUE NOVAS VENDAS?</t>
  </si>
  <si>
    <t>7.4 SEU CLIENTE ESTÁ EM UMA BASE DE DADOS MONITORADA PERIODICAMENTE?</t>
  </si>
  <si>
    <t>7.5 SEU CLIENTE TEM UM PLANO COM OS PRÓXIMOS PASSOS CLAROS E ANUNCIADOS?</t>
  </si>
  <si>
    <t>8.1 VOCÊ POSSUI UMA BASE DE LEADS (CONTATOS) QUE NÃO COMPRARAM PRA FAZER DOWNSELL?</t>
  </si>
  <si>
    <t>8.2 VOCÊ GERENCIA SUA BASE DE LEADS (CONTATOS) PARA FAZER CROSSELL?</t>
  </si>
  <si>
    <t>8.3 VOCÊ GERENCIA SUA BASE DE LEADS (CONTATOS) PARA FAZER UPSELL?</t>
  </si>
  <si>
    <t>8.4 VOCÊ MONITORA SEUS CONTATOS PARA FAZER UMA OFERTA A CADA X DIAS?</t>
  </si>
  <si>
    <t>8.5 VOCÊ TEM VERGONHA DE OFERTAR E OFERTAR E OFERTAR? NÃO NEGUE SOCORRO!</t>
  </si>
  <si>
    <t>PÓS VENDA</t>
  </si>
  <si>
    <t>FIDELIZAÇÃO</t>
  </si>
  <si>
    <t>RETENÇÃO</t>
  </si>
  <si>
    <t>NOVA OFERTA</t>
  </si>
  <si>
    <t>TOTAL GERAL</t>
  </si>
  <si>
    <r>
      <t xml:space="preserve">AMPULHETA DE VENDAS </t>
    </r>
    <r>
      <rPr>
        <b/>
        <sz val="16"/>
        <color rgb="FFFFC000"/>
        <rFont val="Calibri"/>
        <family val="2"/>
        <scheme val="minor"/>
      </rPr>
      <t>(MÉDIA GERAL) &gt;</t>
    </r>
  </si>
  <si>
    <r>
      <t>VOCÊ E SEU TIME USAM E DOMINAM O</t>
    </r>
    <r>
      <rPr>
        <b/>
        <sz val="18"/>
        <color rgb="FFFFC000"/>
        <rFont val="Calibri"/>
        <family val="2"/>
        <scheme val="minor"/>
      </rPr>
      <t xml:space="preserve"> GATILHO DA ESCASSEZ</t>
    </r>
    <r>
      <rPr>
        <b/>
        <sz val="18"/>
        <color theme="0"/>
        <rFont val="Calibri"/>
        <family val="2"/>
        <scheme val="minor"/>
      </rPr>
      <t>?</t>
    </r>
  </si>
  <si>
    <r>
      <t xml:space="preserve">VOCÊ E SEU TIME USAM E DOMINAM O </t>
    </r>
    <r>
      <rPr>
        <b/>
        <sz val="18"/>
        <color rgb="FFFFC000"/>
        <rFont val="Calibri"/>
        <family val="2"/>
        <scheme val="minor"/>
      </rPr>
      <t>GATILHO DA URGÊNCIA</t>
    </r>
    <r>
      <rPr>
        <b/>
        <sz val="18"/>
        <color theme="0"/>
        <rFont val="Calibri"/>
        <family val="2"/>
        <scheme val="minor"/>
      </rPr>
      <t>?</t>
    </r>
  </si>
  <si>
    <r>
      <t xml:space="preserve">VOCÊ E SEU TIME USAM E DOMINAM O </t>
    </r>
    <r>
      <rPr>
        <b/>
        <sz val="18"/>
        <color rgb="FFFFC000"/>
        <rFont val="Calibri"/>
        <family val="2"/>
        <scheme val="minor"/>
      </rPr>
      <t>GATILHO DA AUTORIDADE</t>
    </r>
    <r>
      <rPr>
        <b/>
        <sz val="18"/>
        <color theme="0"/>
        <rFont val="Calibri"/>
        <family val="2"/>
        <scheme val="minor"/>
      </rPr>
      <t>?</t>
    </r>
  </si>
  <si>
    <r>
      <t xml:space="preserve">VOCÊ E SEU TIME USAM E DOMINAM O </t>
    </r>
    <r>
      <rPr>
        <b/>
        <sz val="18"/>
        <color rgb="FFFFC000"/>
        <rFont val="Calibri"/>
        <family val="2"/>
        <scheme val="minor"/>
      </rPr>
      <t>GATILHO DA PROVA SOCIAL</t>
    </r>
    <r>
      <rPr>
        <b/>
        <sz val="18"/>
        <color theme="0"/>
        <rFont val="Calibri"/>
        <family val="2"/>
        <scheme val="minor"/>
      </rPr>
      <t>?</t>
    </r>
  </si>
  <si>
    <r>
      <t>VOCÊ E SEU TIME USAM E DOMINAM O</t>
    </r>
    <r>
      <rPr>
        <b/>
        <sz val="18"/>
        <color rgb="FFFFC000"/>
        <rFont val="Calibri"/>
        <family val="2"/>
        <scheme val="minor"/>
      </rPr>
      <t xml:space="preserve"> GATILHO DA RECIPROCIDADE</t>
    </r>
    <r>
      <rPr>
        <b/>
        <sz val="18"/>
        <color theme="0"/>
        <rFont val="Calibri"/>
        <family val="2"/>
        <scheme val="minor"/>
      </rPr>
      <t>?</t>
    </r>
  </si>
  <si>
    <r>
      <t xml:space="preserve">VOCÊ E SEU TIME USAM E DOMINAM O </t>
    </r>
    <r>
      <rPr>
        <b/>
        <sz val="18"/>
        <color rgb="FFFFC000"/>
        <rFont val="Calibri"/>
        <family val="2"/>
        <scheme val="minor"/>
      </rPr>
      <t>GATILHO DA HISTÓRIA</t>
    </r>
    <r>
      <rPr>
        <b/>
        <sz val="18"/>
        <color theme="0"/>
        <rFont val="Calibri"/>
        <family val="2"/>
        <scheme val="minor"/>
      </rPr>
      <t>?</t>
    </r>
  </si>
  <si>
    <r>
      <t xml:space="preserve">VOCÊ E SEU TIME USAM E DOMINAM O </t>
    </r>
    <r>
      <rPr>
        <b/>
        <sz val="18"/>
        <color rgb="FFFFC000"/>
        <rFont val="Calibri"/>
        <family val="2"/>
        <scheme val="minor"/>
      </rPr>
      <t>GATILHO DA ANTECIPAÇÃO</t>
    </r>
    <r>
      <rPr>
        <b/>
        <sz val="18"/>
        <color theme="0"/>
        <rFont val="Calibri"/>
        <family val="2"/>
        <scheme val="minor"/>
      </rPr>
      <t>?</t>
    </r>
  </si>
  <si>
    <r>
      <t xml:space="preserve">VOCÊ E SEU TIME USAM E DOMINAM O </t>
    </r>
    <r>
      <rPr>
        <b/>
        <sz val="18"/>
        <color rgb="FFFFC000"/>
        <rFont val="Calibri"/>
        <family val="2"/>
        <scheme val="minor"/>
      </rPr>
      <t>GATILHO DO “SEM COMPROMISSO”</t>
    </r>
    <r>
      <rPr>
        <b/>
        <sz val="18"/>
        <color theme="0"/>
        <rFont val="Calibri"/>
        <family val="2"/>
        <scheme val="minor"/>
      </rPr>
      <t xml:space="preserve"> PARA QUE O CLIENTE USE/TESTE ANTES?</t>
    </r>
  </si>
  <si>
    <r>
      <t xml:space="preserve">VOCÊ E SEU TIME USAM E DOMINAM </t>
    </r>
    <r>
      <rPr>
        <b/>
        <sz val="18"/>
        <color rgb="FFFFC000"/>
        <rFont val="Calibri"/>
        <family val="2"/>
        <scheme val="minor"/>
      </rPr>
      <t>PERGUNTAS CHAVES PARA QUEBRA DE OBJEÇÕES</t>
    </r>
    <r>
      <rPr>
        <b/>
        <sz val="18"/>
        <color theme="0"/>
        <rFont val="Calibri"/>
        <family val="2"/>
        <scheme val="minor"/>
      </rPr>
      <t>?</t>
    </r>
  </si>
  <si>
    <r>
      <t xml:space="preserve">VOCÊ APRESENTA SEUS PRODUTOS/ SERVIÇOS DE FORMA A </t>
    </r>
    <r>
      <rPr>
        <b/>
        <sz val="18"/>
        <color rgb="FFFFC000"/>
        <rFont val="Calibri"/>
        <family val="2"/>
        <scheme val="minor"/>
      </rPr>
      <t>CONDUZIR  A ESCOLHA</t>
    </r>
    <r>
      <rPr>
        <b/>
        <sz val="18"/>
        <color theme="0"/>
        <rFont val="Calibri"/>
        <family val="2"/>
        <scheme val="minor"/>
      </rPr>
      <t xml:space="preserve"> DO CLIENTE?</t>
    </r>
  </si>
  <si>
    <t>ORIGEM DA OBJEÇÃO</t>
  </si>
  <si>
    <t>O QUE NÃO FALAR</t>
  </si>
  <si>
    <t>O QUE FALAR</t>
  </si>
  <si>
    <t>Quando nós começamos a implementar essa solução para você?</t>
  </si>
  <si>
    <t>Você gostaria de pensar mais um pouco?</t>
  </si>
  <si>
    <t>Se der, me avisa quando você quiser fechar. Ok?</t>
  </si>
  <si>
    <t>Podemos fechar agora mesmo e começar a resolver esse problema.</t>
  </si>
  <si>
    <t>Eu tenho certeza que isso vai atender perfeitamente as suas necessidades.</t>
  </si>
  <si>
    <t>Mas se você não gostar, podemos ver outra coisa!</t>
  </si>
  <si>
    <t>Entendi, mas é o valor justo pelo que você vai receber e vale cada centavo!</t>
  </si>
  <si>
    <t>Olha, eu acho que não consigo dar mais desconto</t>
  </si>
  <si>
    <t>Vamos agendar nosso próximo contato para avançar com isso?</t>
  </si>
  <si>
    <t>Ah, se você quiser, pode me ligar depois, tá bom?</t>
  </si>
  <si>
    <t>Será que você não tem um tempinho pra falar agora?</t>
  </si>
  <si>
    <t>Sei que seu tempo é curto, mas fica tranquilo que eu serei breve.</t>
  </si>
  <si>
    <t>Cliente, eu acho que eu poderia te ajudar com isso.</t>
  </si>
  <si>
    <t>Eu tenho certeza que essa solução vai agregar muito no seu negócio.</t>
  </si>
  <si>
    <t>Oh, nós podemos ver se cabe no seu planejamento financeiro.</t>
  </si>
  <si>
    <t>Vamos ajustar isso para que você tenha o melhor retorno sobre o investimento.</t>
  </si>
  <si>
    <t>Eu posso te enviar mais informações por e-mail?</t>
  </si>
  <si>
    <t>Eu vou te enviar os detalhes agora para já iniciarmos o processo.</t>
  </si>
  <si>
    <t>Se você mudar de ideia me avisa.</t>
  </si>
  <si>
    <t>Vou te acompanhar nesse processo para que você tome a melhor decisão.</t>
  </si>
  <si>
    <t>Cliente precisa de tempo pra pensar</t>
  </si>
  <si>
    <t>Cliente aparentemente não gostou do que foi apresentado</t>
  </si>
  <si>
    <t>Cliente sem data de fechamento exata</t>
  </si>
  <si>
    <t xml:space="preserve">Cliente pedindo desconto </t>
  </si>
  <si>
    <t>Cliente sem tempo para falar ou se reunir</t>
  </si>
  <si>
    <t>Cliente demonstrando desconfiança na solução</t>
  </si>
  <si>
    <t>Cliente com limitações financeiras</t>
  </si>
  <si>
    <t>Cliente que precisa de mais informações</t>
  </si>
  <si>
    <t>Cliente sem confiança para decidir</t>
  </si>
  <si>
    <r>
      <t xml:space="preserve">SCRIPT DE ATENDIMENTO IDEAL </t>
    </r>
    <r>
      <rPr>
        <b/>
        <sz val="18"/>
        <color rgb="FFFFC000"/>
        <rFont val="Calibri"/>
        <family val="2"/>
        <scheme val="minor"/>
      </rPr>
      <t>(EXEMPLO: AÇOUGUE)</t>
    </r>
  </si>
  <si>
    <t>DESCRIÇÃO DA ETAPA</t>
  </si>
  <si>
    <t>PREPARAÇÃO</t>
  </si>
  <si>
    <t>EXPLICAR O QUE É A ENTREVISTA:
É UMA ETAPA DO PROCESSO DEMISSIONAL QUE CONSISTE NUMA CONVERSA ESTRUTURADA ENTRE O PROFISSIONAL DESLIGADO E UM COLABORADOR DO TIME DE RH</t>
  </si>
  <si>
    <t>EXPLICAR PARA QUE SERVE A ENTREVISTA:
SERVE PARA COLETAR INFORMAÇÕES E PERCEPÇÕES PARA MELHORAR O AMBIENTE ORGANIZACIONAL COM PERGUNTAS DIRETAS SOBRE O PONTO DE VISTA DO EX-FUNCIONÁRIO</t>
  </si>
  <si>
    <t>COMO CONDUZIR O ROTEIRO DA ENTREVISTA:
SEJA UM BOM OUVINTE E PERMITA QUE SE EXPRESSE LIVREMENTE, SEM INTERRUPÇÕES E SEM FICAR NA DEFENSIVA, MAS FILTRE AS OPINIÕES, POIS A PESSOA PODE ESTAR ABALADA.</t>
  </si>
  <si>
    <t>Qual motivo fez você pedir demissão? (em caso de demissão voluntária);</t>
  </si>
  <si>
    <t>Existem outros fatores que contribuíram para a sua decisão?</t>
  </si>
  <si>
    <t>O que você acha que a empresa poderia ter feito para evitar a situação?</t>
  </si>
  <si>
    <t>Em quais pontos você acredita que a empresa precisa melhorar?</t>
  </si>
  <si>
    <t xml:space="preserve">O que você gostaria de saber no início da sua jornada na empresa? </t>
  </si>
  <si>
    <t xml:space="preserve">Você recomendaria nossa organização para outras pessoas? </t>
  </si>
  <si>
    <t xml:space="preserve">Qual a sua opinião sobre o ambiente de trabalho e a infraestrutura da empresa? </t>
  </si>
  <si>
    <t xml:space="preserve">Você acha que a empresa ofereceu oportunidades para você se desenvolver profissionalmente? </t>
  </si>
  <si>
    <t xml:space="preserve">Quais foram os pontos positivos e negativos em sua trajetória na empresa? </t>
  </si>
  <si>
    <t xml:space="preserve">Você se sentia reconhecido profissionalmente? </t>
  </si>
  <si>
    <t>Qual a sua opinião sobre a política salarial e o pacote de benefícios oferecido?</t>
  </si>
  <si>
    <t xml:space="preserve">Como era o seu relacionamento com líderes e colegas? </t>
  </si>
  <si>
    <t>O que você acha dos nossos canais de comunicação interna?</t>
  </si>
  <si>
    <t xml:space="preserve">Como você descreveria a cultura da empresa? </t>
  </si>
  <si>
    <t>Você recebeu metas claras e atingíveis?</t>
  </si>
  <si>
    <t>Você recebeu feedbacks no período em que esteve na empresa?</t>
  </si>
  <si>
    <t xml:space="preserve">Você sofreu algum tipo de discriminação ou assédio nesta empresa? </t>
  </si>
  <si>
    <t>Caso tivesse a oportunidade, você voltaria a trabalhar na organização? Por quê?</t>
  </si>
  <si>
    <t>Por que você escolheu esta nova oportunidade (caso o pedido de demissão seja motivado por uma troca de emprego);</t>
  </si>
  <si>
    <t>Se você pudesse dar uma dica para a empresa, qual seria?</t>
  </si>
  <si>
    <t xml:space="preserve">Qual conselho você daria para a pessoa que vai ocupar sua posição no futuro? </t>
  </si>
  <si>
    <t xml:space="preserve">Você tem mais alguma crítica, comentário ou sugestão que não foi abordada nas perguntas anteriores? </t>
  </si>
  <si>
    <t>FEEDBACKS 1 X 1</t>
  </si>
  <si>
    <t xml:space="preserve">  ELABORAR CALENDÁRIO DE REUNIÕES POR FUNCIONÁRIO (Sugestão: 30 minutos por pessoas)</t>
  </si>
  <si>
    <t xml:space="preserve"> EXPLICAR  PARA A EQUIPE O PROPÓSITO DAS REUNIÕES INDIVIDUAIS (Alinhamento de expectativas)</t>
  </si>
  <si>
    <t xml:space="preserve"> DEFINIR A DATA, HORÁRIO,LOCAL E AGENDAR REUNIÃO (Preferencialmente fora do ambiente de trabalho)</t>
  </si>
  <si>
    <t xml:space="preserve"> PERGUNTAS PARA CONDUÇÃO DA REUNIÃO (LADO PESSOAL)</t>
  </si>
  <si>
    <t>COMO ESTÁ SUA FAMÍLIA TENDO EM VISTA QUE ISSO É A BASE PARA SEU BOM DESEMPENHO?</t>
  </si>
  <si>
    <t xml:space="preserve"> SEU TRABALHO HOJE INTERFERE NEGATIVAMENTE EM ALGUMA ESFERA DA SUA VIDA PESSOAL?</t>
  </si>
  <si>
    <t>HÁ ALGUMA SITUAÇÃO PESSOAL HOJE QUE TEM ROUBADO SUA PAZ OU ATENÇÃO (EX: Dívidas)</t>
  </si>
  <si>
    <t>VOCÊ CONSEGUE CONCILIAR BEM SUA SAÚDE COM O TRABALHO (Ex: Atividades físicas)</t>
  </si>
  <si>
    <t xml:space="preserve"> VOCÊ CONSEGUE CONCILIAR BEM SUA VIDA FAMILIAR COM O TRABALHO? (ex: Tempo de qualidade)</t>
  </si>
  <si>
    <t>PERGUNTAS PARA CONDUÇÃO DA REUNIÃO (LADO PROFISSIONAL)</t>
  </si>
  <si>
    <t>VOCÊ É FELIZ NO DIA A DIA DO SEU TRABALHO AQUI NA EMPRESA?</t>
  </si>
  <si>
    <t xml:space="preserve"> VOCÊ CONSIDERA SEU AMBIENTE DE TRABALHO ADEQUADO? SE NÃO, COMO PODERIA MELHORAR?</t>
  </si>
  <si>
    <t>COMO VOCÊ TEM SE SENTIDO NO DIA A DIA DA EXECUÇÃO DO SEU CARGO E FUNÇÕES?</t>
  </si>
  <si>
    <t>VOCÊ SE SENTE DESAFIADO(A) NO DIA A DIA DAS SUAS ROTINAS?</t>
  </si>
  <si>
    <t xml:space="preserve"> COMO A EMPRESA PODE MELHORAR PARA FACILITAR AINDA MAIS AS SUAS ROTINAS?</t>
  </si>
  <si>
    <t>COMO VOCÊ PODE MELHORAR PARA DESEMPENHAR MELHOR SUAS FUNÇÕES NA EMPRESA?</t>
  </si>
  <si>
    <t>FEEDBACK POSITIVO:</t>
  </si>
  <si>
    <t>APRESENTAR CARACTERÍSTICAS FORTES E TRAZER EVIDÊNCIAS COM EXEMPLOS REIAS</t>
  </si>
  <si>
    <t>APRESENTAR PONTOS DE MELHORIA E TRAZER EVIDÊNCIAS COM EXEMPLOS REAIS</t>
  </si>
  <si>
    <t>ALIANÇA DE COMPROMISSO E FECHAMENTO DA REUNIÃO</t>
  </si>
  <si>
    <t>PARA ROTINAS QUE  A EMPRESA PODE MELHORAR: CRIAR E VALIDAR AÇÕES CORRETIVAS</t>
  </si>
  <si>
    <t xml:space="preserve"> AGENDAR DATA, HORÁRIO E LOCAL DA PRÓXIMA REUNIÃO INDIVIDUA</t>
  </si>
  <si>
    <t>PARA ROTINAS QUE FUNCIONÁRIO FAZ BEM: SOLICITAR QUE A ROTINA SEJA PADRONIZADA</t>
  </si>
  <si>
    <t>LISTAR ATRIBUIÇÕES E PERFIL COMPORTAMENTAL PARA A FUNÇÃO DESEJADA NA EMPRESA</t>
  </si>
  <si>
    <t>ELABORAR O ANÚNCIO DA VAGA (ENVOLVER O MARKETING)</t>
  </si>
  <si>
    <t>OBTER CURRÍCULOS PARA A VAGA ABERTA</t>
  </si>
  <si>
    <t>REALIZAR A TRIAGEM CURRICULAR</t>
  </si>
  <si>
    <t>AGENDAR ENTREVISTAS INICIAIS (PRESENCIAL OU VIDEO CONFERÊNCA)</t>
  </si>
  <si>
    <t>O CANDIDATO FOI APROVADO(A) NA ENTREVISTA INICIAL?</t>
  </si>
  <si>
    <t>SE NÃO: ENVIAR FEEDBACK POR EMAIL E ENCERRAR PROCESSO SELETIVO DO CANDIDATO(A)</t>
  </si>
  <si>
    <t>REALIZAR ENTREVISTAS INICIAIS (PRESENCIAL OU VIDEO CONFERÊNCA) - ATIVIDADE CRÍTICA</t>
  </si>
  <si>
    <t>CALCULAR O CUSTO REFERENTE A VAGA A SER PREENCHIDA  E VALIDAR COM O SETOR FINANCEIRO</t>
  </si>
  <si>
    <t>CUMPRIMENTE A PESSOA, DIGA SEU NOME E INICIE A ENTREVISTA</t>
  </si>
  <si>
    <t>DEPOIS DE TUDO APRESENTADO, VOCÊ CONTINUA COM INTERESSE NA VAGA?</t>
  </si>
  <si>
    <t>O QUE VOCÊ JÁ VIVEU CONTRA SEUS VALORES E COMO REAGIU A ISSO?</t>
  </si>
  <si>
    <t>PROCESSO DE RECRUTAMENTO</t>
  </si>
  <si>
    <t>8.1</t>
  </si>
  <si>
    <t>8.2</t>
  </si>
  <si>
    <t>8.3</t>
  </si>
  <si>
    <t>8.4</t>
  </si>
  <si>
    <t>8.5</t>
  </si>
  <si>
    <t>8.6</t>
  </si>
  <si>
    <t>8.7</t>
  </si>
  <si>
    <t>8.8</t>
  </si>
  <si>
    <t>8.9</t>
  </si>
  <si>
    <t>8.10</t>
  </si>
  <si>
    <t>8.11</t>
  </si>
  <si>
    <t>8.12</t>
  </si>
  <si>
    <t>8.13</t>
  </si>
  <si>
    <t>8.14</t>
  </si>
  <si>
    <t>8.15</t>
  </si>
  <si>
    <t>8.16</t>
  </si>
  <si>
    <t>8.17</t>
  </si>
  <si>
    <t>8.18</t>
  </si>
  <si>
    <t>8.19</t>
  </si>
  <si>
    <t>8.20</t>
  </si>
  <si>
    <t>SE SIM: AGENDAR A APLICAÇÃO DE PROVAS TÉCNICAS PRESENCIAIS (SE HOUVER)</t>
  </si>
  <si>
    <t>SE SIM: CONSOLIDAR TODAS ETAPAS DO PROCESSO DE CONTRATAÇÃO DOS CANDIDATOS APROVADOS</t>
  </si>
  <si>
    <t>ENTREGAR TODOS OS RESULTADOS DE CADA ETAPA PARA O GESTOR SOLICITANTE</t>
  </si>
  <si>
    <t>SELECIONAR O CANDIDATO DESEJADO PARA A VAGA</t>
  </si>
  <si>
    <t>COMUNICAR A APROVAÇÃO NO PROCESSO AO CANDIDATO ESCOLHIDO</t>
  </si>
  <si>
    <t>INFORMAR CHECKLIST DE DOCUMENTOS NECESSÁRIOS AO CANDIDATO APROVADO</t>
  </si>
  <si>
    <t>AGENDAR ASSINATURA DO CONTRATO DE TRABALHO E ENTREGA DOS DOCUMENTOS</t>
  </si>
  <si>
    <t xml:space="preserve">O CANDIDATO FOI APROVADO(A) NAS PROVAS TÉCNICAS? </t>
  </si>
  <si>
    <t>ROTEIRO DE ENTREVISTA DO CANDIDATO</t>
  </si>
  <si>
    <t>QUAL ÚLTIMO PROJETO QUE ATUOU? COMO TRABALHOU PRA ALCANÇA-LO?</t>
  </si>
  <si>
    <t>COMO VOCÊ TOMAVA DECISÕES DENTRO DA SUA ÚLTIMA EMPRESA/ EXPERIÊNCIA?</t>
  </si>
  <si>
    <t>POR QUE VOCÊ SE CANDIDATOU PARA ESSA VAGA?</t>
  </si>
  <si>
    <t>O QUE VOCÊ SABE SOBRE NOSSA EMPRESA?</t>
  </si>
  <si>
    <t>O QUE VOCÊ SABE SOBRE NOSSOS PRODUTOS/SERVIÇOS?</t>
  </si>
  <si>
    <t>PARA O CARGO QUE VOCÊ DISPUTA, VOCÊ ACHA QUE ESTÁ 100% PREPARADO(A)? ONDE PODE MELHORAR?</t>
  </si>
  <si>
    <t>NO QUE VOCÊ ESTÁ CONCENTRADO EM MELHORAR ATUALMENTE? EXEMPLIFIQUE</t>
  </si>
  <si>
    <t>QUAIS SÃO SEUS PLANOS PROFISSIONAIS E DE CARREIRA?</t>
  </si>
  <si>
    <t>VOCÊ FAZ PARTE DE ALGUM GRUPO (RELIGIÃO, ONG, BANDA, ESPORTE)?</t>
  </si>
  <si>
    <t>NA SUA OPINIÃO O QUE UM BOM/BOA______________(NOME DO CARGO) PRECISA TER?</t>
  </si>
  <si>
    <t>8.21</t>
  </si>
  <si>
    <t>8.22</t>
  </si>
  <si>
    <t>8.23</t>
  </si>
  <si>
    <t>8.24</t>
  </si>
  <si>
    <t>QUAIS DESSAS CARACTERÍSTICAS (DA PERGUNTA ANTERIOR), VOCÊ ACHA QUE POSSUI? EVIDENCIE.</t>
  </si>
  <si>
    <t>O QUE MAIS GOSTOU E MENOS GOSTOU NAS EMPRESAS ONDE TRABALHOU?</t>
  </si>
  <si>
    <t>8.25</t>
  </si>
  <si>
    <t>8.26</t>
  </si>
  <si>
    <t>INTRODUÇÃO DA ENTREVISTA</t>
  </si>
  <si>
    <t>SE NÃO: AGRADEÇA A PARTICIPAÇÃO E ENCERRE A ENTREVISTA</t>
  </si>
  <si>
    <t>SE SIM: DÊ CONTINUIDADE A ENTREVISTA</t>
  </si>
  <si>
    <t>INFORME AS FUNÇÕES A SEREM EXERCIDAS, HORÁRIO DE TRABALHO E EXPECTATIVAS PRO CARGO</t>
  </si>
  <si>
    <t>8.27</t>
  </si>
  <si>
    <t>8.28</t>
  </si>
  <si>
    <t>8.29</t>
  </si>
  <si>
    <t>8.30</t>
  </si>
  <si>
    <t>8.31</t>
  </si>
  <si>
    <t>8.32</t>
  </si>
  <si>
    <t>8.33</t>
  </si>
  <si>
    <t>8.34</t>
  </si>
  <si>
    <t>8.35</t>
  </si>
  <si>
    <t>8.36</t>
  </si>
  <si>
    <t>8.37</t>
  </si>
  <si>
    <t>8.38</t>
  </si>
  <si>
    <t>DIGA 3 COISAS QUE FEZ OU FALOU (PALAVRAS OU ATITUDES) DAS QUAIS SE ARREPENDEU NA VIDA</t>
  </si>
  <si>
    <t>DIGA UMA COISA INESQUECÍVEL QUE VOCÊ REALIZOU E SENTE MUITO ORGULHO DE TER FEITO</t>
  </si>
  <si>
    <t>COMO VOCÊ ACHA QUE DEVEM SER OS CLIENTES AQUI DA EMPRESA?</t>
  </si>
  <si>
    <t>SE VOCÊ FOR CONTRATADO(A) COMO __________ (CARGO), O QUE ACHA QUE VAI GOSTAR DE FAZER MAIS?</t>
  </si>
  <si>
    <t>SE VOCÊ FOR CONTRATADO(A) COMO __________(CARGO), O QUE ACHA QUE VAI GOSTAR DE FAZER MENOS?</t>
  </si>
  <si>
    <t>O QUE VOCÊ FAZ NO SEU TEMPO LIVRE? VOCÊ TEM ALGUM HOBBIE? DIGA 3 COISAS QUE VOCÊ AMA NA VIDA</t>
  </si>
  <si>
    <t>VOCÊ JÁ RECEBEU CRÍTICAS SOBRE O SEU TRABALHO? O QUE FOI DITO? COMO VOCÊ REAGIU?</t>
  </si>
  <si>
    <t>QUANDO AS PESSOAS TE ELOGIAM, O QUE ELAS FALAM? EVIDENCIE COM EXEMPOS.</t>
  </si>
  <si>
    <t>JÁ FOI TRATADO COM GROSSERIA POR ALGUM CLIENTE?</t>
  </si>
  <si>
    <t>ONDE E COM QUEM VOCÊ MORA ATUALMENTE? (BUSQUE ENTENDER O CONTEXTO FAMILIAR DA PESSOA)</t>
  </si>
  <si>
    <r>
      <t xml:space="preserve">AVALIANDO O QUE </t>
    </r>
    <r>
      <rPr>
        <b/>
        <sz val="14"/>
        <color rgb="FFFFC000"/>
        <rFont val="Calibri"/>
        <family val="2"/>
        <scheme val="minor"/>
      </rPr>
      <t>TROUXE</t>
    </r>
    <r>
      <rPr>
        <b/>
        <sz val="14"/>
        <color theme="0"/>
        <rFont val="Calibri"/>
        <family val="2"/>
        <scheme val="minor"/>
      </rPr>
      <t xml:space="preserve"> O CANDIDATO(A) ATÉ A EMPRESA:</t>
    </r>
  </si>
  <si>
    <r>
      <t xml:space="preserve">AVALIANDO O CONTEXTO </t>
    </r>
    <r>
      <rPr>
        <b/>
        <sz val="14"/>
        <color rgb="FFFFC000"/>
        <rFont val="Calibri"/>
        <family val="2"/>
        <scheme val="minor"/>
      </rPr>
      <t>PESSOAL</t>
    </r>
    <r>
      <rPr>
        <b/>
        <sz val="14"/>
        <color theme="0"/>
        <rFont val="Calibri"/>
        <family val="2"/>
        <scheme val="minor"/>
      </rPr>
      <t xml:space="preserve"> DO CANDIDATO(A):</t>
    </r>
  </si>
  <si>
    <r>
      <t xml:space="preserve">AVALIANDO A </t>
    </r>
    <r>
      <rPr>
        <b/>
        <sz val="14"/>
        <color rgb="FFFFC000"/>
        <rFont val="Calibri"/>
        <family val="2"/>
        <scheme val="minor"/>
      </rPr>
      <t>ÉTICA</t>
    </r>
    <r>
      <rPr>
        <b/>
        <sz val="14"/>
        <color theme="0"/>
        <rFont val="Calibri"/>
        <family val="2"/>
        <scheme val="minor"/>
      </rPr>
      <t xml:space="preserve"> DO CANDIDATO(A):</t>
    </r>
  </si>
  <si>
    <r>
      <t xml:space="preserve">AVALIANDO A </t>
    </r>
    <r>
      <rPr>
        <b/>
        <sz val="14"/>
        <color rgb="FFFFC000"/>
        <rFont val="Calibri"/>
        <family val="2"/>
        <scheme val="minor"/>
      </rPr>
      <t>HUMILDADE</t>
    </r>
    <r>
      <rPr>
        <b/>
        <sz val="14"/>
        <color theme="0"/>
        <rFont val="Calibri"/>
        <family val="2"/>
        <scheme val="minor"/>
      </rPr>
      <t xml:space="preserve"> DO CANDIDATO(A):</t>
    </r>
  </si>
  <si>
    <r>
      <t xml:space="preserve">AVALIANDO A CAPACIDADE DE </t>
    </r>
    <r>
      <rPr>
        <b/>
        <sz val="14"/>
        <color rgb="FFFFC000"/>
        <rFont val="Calibri"/>
        <family val="2"/>
        <scheme val="minor"/>
      </rPr>
      <t>TRABALHAR EM EQUIPE/SOB PRESSÃO</t>
    </r>
    <r>
      <rPr>
        <b/>
        <sz val="14"/>
        <color theme="0"/>
        <rFont val="Calibri"/>
        <family val="2"/>
        <scheme val="minor"/>
      </rPr>
      <t xml:space="preserve"> DO CANDIDATO(A):</t>
    </r>
  </si>
  <si>
    <r>
      <t xml:space="preserve">AVALIANDO AS </t>
    </r>
    <r>
      <rPr>
        <b/>
        <sz val="14"/>
        <color rgb="FFFFC000"/>
        <rFont val="Calibri"/>
        <family val="2"/>
        <scheme val="minor"/>
      </rPr>
      <t>PROJEÇÕES DE CURTO, MÉDIO E LONGO PRAZO</t>
    </r>
    <r>
      <rPr>
        <b/>
        <sz val="14"/>
        <color theme="0"/>
        <rFont val="Calibri"/>
        <family val="2"/>
        <scheme val="minor"/>
      </rPr>
      <t xml:space="preserve"> DO CANDIDATO(A):</t>
    </r>
  </si>
  <si>
    <t>COMO É PRA VOCÊ TRABALHAR COM METAS AUDACIOSAS? E SE PRECISAR FAZER HORAS EXTRAS?</t>
  </si>
  <si>
    <t xml:space="preserve">QUAL TIPO DE CLIENTE/COLEGA DE EQUIPE VOCÊ ACHA QUE TERIA DIFICULDADE EM ATENDER/LIDAR? </t>
  </si>
  <si>
    <t>ONDE VOCÊ DESEJA ESTAR PROFISSIONALMENTE DAQUI 1, 2 OU 3 ANOS?</t>
  </si>
  <si>
    <t>ANOTAÇÕES</t>
  </si>
  <si>
    <t>A PERCEPÇÃO FOI:
 (+ OU -)</t>
  </si>
  <si>
    <t>ROTINAS TREINAMENTO E CAPACITAÇÃO DAS LIDERANÇAS DA EMPRESA</t>
  </si>
  <si>
    <t>TREINAMENTO DAS LIDERANÇAS</t>
  </si>
  <si>
    <t>PROMOVER O DESENVOLVIMENTO DE UMA VISÃO COMUM/COMPARTILHADA</t>
  </si>
  <si>
    <t>PROVER DIRECIONAMENTO CLARO E DEFINIR PRIORIDADES PARA O TIME</t>
  </si>
  <si>
    <t>ESCLARECER PAPÉIS E RESPONSABILIDADES ENTRE OS INTEGRANTES DO TIME</t>
  </si>
  <si>
    <t>CONCILIAR A VISÃO DE CADA UM DA EQUIPE COM A VISÃO INSTITUCIONAL</t>
  </si>
  <si>
    <t>COMUNICAR EM ASPECTOS MAIS AMPLOS E ESTRATÉGICOS</t>
  </si>
  <si>
    <t>ATENTAR-SE PARA OS DETALHES CHAVE E QUE SÃO REALMENTE RELEVANTES</t>
  </si>
  <si>
    <t>MARQUE 
O “X” AQUI↓</t>
  </si>
  <si>
    <t>TRADUZIR AS ESTRATÉGIAS INSTITUCIONAIS EM OBJETIVOS CLAROS</t>
  </si>
  <si>
    <t>ANALISAR PROBLEMAS SOB DIFERENTES PONTOS DE VISTA</t>
  </si>
  <si>
    <t>TOMAR DECISÕES EM CENÁRIOS DE INCERTEZAS</t>
  </si>
  <si>
    <t>ADOTAR UMA POSIÇÃO E RESOLVER QUESTÕES CRÍTICAS</t>
  </si>
  <si>
    <t>COMPROMETER-SE DE CORPO E ALMA APESAR DE RECEIOS E DÚVIDAS</t>
  </si>
  <si>
    <t>TOMAR DECISÕES DIFÍCEIS QUE PODEM IMPACTAR NEGATIVAMENTE OUTRAS PESSOAS</t>
  </si>
  <si>
    <t>DESAFIAR OUTRAS PESSOAS A FAZER ESCOLHAS DIFÍCEIS</t>
  </si>
  <si>
    <t>ORDENAR ATENÇÃO DA EQUIPE</t>
  </si>
  <si>
    <t>CONVERGIR EMOÇÕES, ENERGIA E PRÓPÓSITO</t>
  </si>
  <si>
    <t>GANHAR O APOIO DA EQUIPE</t>
  </si>
  <si>
    <t>CONDUZIR OUTROS A TOMAR AS PRÓPRIAS MEDIDAS</t>
  </si>
  <si>
    <t>OUVIR ATENTAMENTE E REFLETIR SOBRE O ASSUNTO</t>
  </si>
  <si>
    <t>CONSTRUIR ENTENDIMENTO COMUM ENTRE A EQUIPE</t>
  </si>
  <si>
    <t>INFLUENCIAR E AJUSTAR DECISÕES VINDAS DE NÍVEIS SUPERIORES</t>
  </si>
  <si>
    <t>ENVOLVER NA TOMADA DE DECISÃO AS PESSOAS QUE SERÃO IMPACTADAS POR ELA</t>
  </si>
  <si>
    <t>PROMOVER COOPERAÇÃO E CAMARADAGEM ENTRE A EQUIPE</t>
  </si>
  <si>
    <t>REPROVAR O PENSAMENTO “EU” EM DETRIMENTO DO “NÓS”</t>
  </si>
  <si>
    <t>ENERGIZAR A EQUIPE AO ENFRENTAR TAREFAS DIFÍCEIS</t>
  </si>
  <si>
    <t>RECONHECER E COMEMORAR AS CONQUISTAS DO TIME</t>
  </si>
  <si>
    <t>VALORIZAR A CONTRIBUIÇÃO DE CADA INTEGRANTE DA EQUIPE</t>
  </si>
  <si>
    <t>DESAFIAR O ESTADO “SEMPRE FOI FEITO DESSA FORMA”</t>
  </si>
  <si>
    <t>ESTIMULAR AS PESSOAS A FAZER MUDANÇAS E MELHORIAS</t>
  </si>
  <si>
    <t>ENVOLVER OUTRAS PESSOAS NO PROCESSO DE MUDANÇA</t>
  </si>
  <si>
    <t>PREPARAR AS PESSOAS PARA ENTENDER AS MUDANÇAS</t>
  </si>
  <si>
    <t>CONFIAR NA COMPETÊNCIA DE OUTRAS PESSOAS PARA EXECUTAR UM BOM TRBALHO</t>
  </si>
  <si>
    <t>INSPIRAR PESSOAS A EXCEDER SUAS PRÓPRIAS EXPECTATIVAS</t>
  </si>
  <si>
    <t>CRIAR UM AMBIENTE QUE FAÇA DO TRABALHO UM AMBIENTE LEVE E DIVERTIDO</t>
  </si>
  <si>
    <t>MOTIVAR PESSOAS QUE TENHAM RECEBIDO FEEDBACKS NEGATIVOS</t>
  </si>
  <si>
    <t>CONSTRUIR RELACIONAMENTO EFETIVO COM SEUS COLABORADORES DIRETOS</t>
  </si>
  <si>
    <t>CONSTRUIR RELACIONAMENTO EFETIVO COM SEUS PARES</t>
  </si>
  <si>
    <t>CONSTRUIR RELACIONAMENTO EFETIVO COM PESSOAS CHAVE DE OUTRAS FUNÇÕES/GRUPOS</t>
  </si>
  <si>
    <t>FAZER USO DA REDE INFORMAL DE RELACIONAMENTO NA EMPRESA PARA CONSEGUIR AVANÇOS</t>
  </si>
  <si>
    <t>CRIAR UM AMBIENTE NO QUAL PESSOAS DE DIFERENTES PERFIS SE SINTAM À VONTADE</t>
  </si>
  <si>
    <t>AJUDAR PESSOAS DE DIFERENTES CULTURAS A TER SUCESSO NA ORGANIZAÇÃO</t>
  </si>
  <si>
    <t>GERENCIAR SEU PRÓPRIO DESCONFORTO QUANDO TRABALHA COM PESSOAS DIFERENTES</t>
  </si>
  <si>
    <t>CONSTRUIR RELACIONAMENTO EFETIVO COM PESSAS MUITO DIFERENTES DE VOCÊ</t>
  </si>
  <si>
    <t>EXPRESSAR DESACORDO COM TATO E SENSIBILIDADE</t>
  </si>
  <si>
    <t>ENDEREÇAR SITUAÇÕES E TRABALHAR PARA RESOLVER CONFLITOS</t>
  </si>
  <si>
    <t>REDUZIR SUA PRÓPRIA POSIÇÃO DEFENSIVA</t>
  </si>
  <si>
    <t>ENGAJAR PESSOAS EM CONVERSAS DIFÍCEIS</t>
  </si>
  <si>
    <t>VIVER DE ACORDO COM OS COMPROMISSOS FIRMADOS</t>
  </si>
  <si>
    <t>DEMONSTRAR PRINCÍPIOS E ÉTICA AO EXERCER LIDERANÇA</t>
  </si>
  <si>
    <t>LIDAR DE FORMA CONSTRUTIVA COM SEUS PRÓPRIOS ERROS E FRACASSOS</t>
  </si>
  <si>
    <t>TRABALHAR DE FORMA CONSTRUTIVA MESMO SOB STRESS E PRESSÃO</t>
  </si>
  <si>
    <t>ACEITAR CRÍTICAS DE FORMA ABERTA E NÃO DEFENSIVA</t>
  </si>
  <si>
    <t>DEMONSTRAR PACIÊNCIA EM NÍVEIS APROPRIADOS</t>
  </si>
  <si>
    <t>ADAPTAR COMPORTAMENTO EM RESPOSTA A FEEDBACKS</t>
  </si>
  <si>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DAR A DIREÇÃO</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</si>
  <si>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DETERMINAÇÃO E BOM SENSO</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</si>
  <si>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DECIDIR CORAJOSAMENTE</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</si>
  <si>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INFLUENCIAR OUTRAS PESSOAS</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</si>
  <si>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INSPIRAR TRABALHO EM EQUIPE</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</si>
  <si>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LIDAR COM MUDANÇAS</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</si>
  <si>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MOTIVAR OUTRAS PESSOAS</t>
    </r>
  </si>
  <si>
    <r>
      <rPr>
        <b/>
        <sz val="20"/>
        <color theme="4" tint="0.39997558519241921"/>
        <rFont val="Calibri"/>
        <family val="2"/>
        <scheme val="minor"/>
      </rPr>
      <t>HABILIDADES INTERPESSOAIS</t>
    </r>
    <r>
      <rPr>
        <b/>
        <sz val="20"/>
        <color theme="0"/>
        <rFont val="Calibri"/>
        <family val="2"/>
        <scheme val="minor"/>
      </rPr>
      <t xml:space="preserve">
TEMA: </t>
    </r>
    <r>
      <rPr>
        <b/>
        <sz val="20"/>
        <color rgb="FFFFC000"/>
        <rFont val="Calibri"/>
        <family val="2"/>
        <scheme val="minor"/>
      </rPr>
      <t>CONSTRUIR RELACIONAMENTOS</t>
    </r>
  </si>
  <si>
    <r>
      <rPr>
        <b/>
        <sz val="20"/>
        <color theme="4" tint="0.39997558519241921"/>
        <rFont val="Calibri"/>
        <family val="2"/>
        <scheme val="minor"/>
      </rPr>
      <t>HABILIDADES INTERPESSOAIS</t>
    </r>
    <r>
      <rPr>
        <b/>
        <sz val="20"/>
        <color theme="0"/>
        <rFont val="Calibri"/>
        <family val="2"/>
        <scheme val="minor"/>
      </rPr>
      <t xml:space="preserve">
TEMA: </t>
    </r>
    <r>
      <rPr>
        <b/>
        <sz val="20"/>
        <color rgb="FFFFC000"/>
        <rFont val="Calibri"/>
        <family val="2"/>
        <scheme val="minor"/>
      </rPr>
      <t>GERENCIAR POR MEIO DAS DIFERENÇAS</t>
    </r>
  </si>
  <si>
    <r>
      <rPr>
        <b/>
        <sz val="20"/>
        <color theme="4" tint="0.39997558519241921"/>
        <rFont val="Calibri"/>
        <family val="2"/>
        <scheme val="minor"/>
      </rPr>
      <t>HABILIDADES INTERPESSOAIS</t>
    </r>
    <r>
      <rPr>
        <b/>
        <sz val="20"/>
        <color theme="0"/>
        <rFont val="Calibri"/>
        <family val="2"/>
        <scheme val="minor"/>
      </rPr>
      <t xml:space="preserve">
TEMA: </t>
    </r>
    <r>
      <rPr>
        <b/>
        <sz val="20"/>
        <color rgb="FFFFC000"/>
        <rFont val="Calibri"/>
        <family val="2"/>
        <scheme val="minor"/>
      </rPr>
      <t>RESOLVER CONFLITOS</t>
    </r>
  </si>
  <si>
    <t>TÓPICOS ANALISADOS</t>
  </si>
  <si>
    <t>CRITICIDADE DA ROTINA</t>
  </si>
  <si>
    <t>AUTO AVALIAÇÃO</t>
  </si>
  <si>
    <t>AVALIAÇÃO DA LIDERANÇA</t>
  </si>
  <si>
    <t>ALTA</t>
  </si>
  <si>
    <t>MÉDIA</t>
  </si>
  <si>
    <t>BAIXA</t>
  </si>
  <si>
    <t>ROTINA DE ATENDIMENTO VIA WHATSAP</t>
  </si>
  <si>
    <t>BOAS VINDAS E RECEPÇÃO</t>
  </si>
  <si>
    <t>OLÁ, BOM DIA (BOA TARDE), POSSO TE AJUDAR?</t>
  </si>
  <si>
    <t>DESCOBRIR O MOTIVO DO CONTATO (COMPRA, PAGAMENTO OU INFORMAÇÕES GERAIS)</t>
  </si>
  <si>
    <t>INVESTIGAÇÃO DO MOTIVO DO CONTATO: COMPRA X PAGAMENTO X INFORMAÇÕES GERAIS</t>
  </si>
  <si>
    <t>DESCOBRIR O TIPO DE COMPRA QUE VAI SER REALIZADA (COMPRA PESSOAL X COMPRA DE PRESENTE PARA TERCEIROS)</t>
  </si>
  <si>
    <t>COMPRA DE PRESENTE  PARA TERCEIROS</t>
  </si>
  <si>
    <t>VOCÊ TEM ALGUMA PREFERÊNCIA POR ALGUM DEPARTAMENTO DA LOJA?</t>
  </si>
  <si>
    <t>SIM: DEFINIR QUAL DEPARTAMENTO</t>
  </si>
  <si>
    <t>VOCÊ SABE A IDADE DA PESSOA QUE GANHARÁ O PRESENTE?</t>
  </si>
  <si>
    <t>SE SIM: APRESENTAR PRODUTOS RELACIONADOS À IDADE DA PESSOA E AO DEPARTAMENTO ESCOLHIDO</t>
  </si>
  <si>
    <t>SE NÃO: DEFINIR SE É INFANTIL, JOVEM OU ADULTO PARA SEGMENTAR MELHOR</t>
  </si>
  <si>
    <t>O PRESENTE É PARA HOMEM OU MULHER?</t>
  </si>
  <si>
    <t>SE FOR PARA MULHER: APRESENTAR PRODUTOS FEMININOS</t>
  </si>
  <si>
    <t>SE FOR PARA HOMEM:  APRESENTAR PRODUTOS MASCULINOS</t>
  </si>
  <si>
    <t>VOCÊ TEM ALGUMA VERBA LIMITE?</t>
  </si>
  <si>
    <t>SIM: QUAL O VALOR?</t>
  </si>
  <si>
    <t>NÃO: APRESENTAR OS PRODUTOS DE TODAS AS FAIXAS DE PREÇO (ALTO, MÉDIO E BAIXO)</t>
  </si>
  <si>
    <t>DEPARTAMENTOS COM FOCO EM MULHERES</t>
  </si>
  <si>
    <t>"SE HÁ INTERESSE POR COSMÉTICOS"</t>
  </si>
  <si>
    <t>A PESSOA PREFERE CHEIRO MAIS DOCE OU MENOS ADOCICADO? 
A PESSOA GOSTA DE CORES MAIS NEUTRAS?
O QUE ACHA DE ACRESCENTAR ALGO PRA MELHORAR SEU PRESENTE? (MAQUIAGEM, PERFUMARIA, ITENS DE HIGIENE, ETC)</t>
  </si>
  <si>
    <t>"SE HÁ INTERESSE POR PIJAMAS"</t>
  </si>
  <si>
    <t>QUAL TAMANHO QUE A PESSOA VESTE? 
VOCÊ QUER UMA PEÇA DA COLEÇÃO DE VERÃO OU INVERNO? 
VOCÊ DESEJA UMA PEÇA COM CORES MAIS CLARAS OU ESCURAS? 
O QUE ACHA DE ACRESCENTAR ALGO PRA MELHORAR SEU PRESENTE? (PANTUFA, ROUPÃO,ETC)</t>
  </si>
  <si>
    <t>"SE HÁ INTERESSE POR BIJUTERIAS"</t>
  </si>
  <si>
    <t>VOCÊ PREFERE UMA PEÇA DOURADA OU PRATA?
A PESSOA QUE SERÁ PRESENTEADA TEM FURO NA ORELHA? 
O QUE ACHA DE ACRESCENTAR ALGO PRA MELHORAR SEU PRESENTE? (BRINCOS, COLARES, PULSEIRAS, ANÉIS)</t>
  </si>
  <si>
    <t xml:space="preserve">"SE HÁ INTERESSE POR BOLSAS/CARTEIRAS/NECESSAIRE" </t>
  </si>
  <si>
    <t xml:space="preserve">VOCÊ PREFERE CORES MAIS NEUTRAS?
VOCÊ TEM PREFERÊNCIA POR TAMANHO DE PREFERÊNCIA? </t>
  </si>
  <si>
    <t>"SE HÁ INTERESSE EM "CALÇADOS"</t>
  </si>
  <si>
    <t>VOCÊ PREFERE PRESENTEAR A PESSOA DE QUE FORMA? (CHINELO, TÊNIS, BOTA, MULE, SANDÁLIA, RASTEIRINHAS) 
VOCÊ SABE QUANTO A PESSOA CALÇA? 
VOCÊ TEM PREFERÊNCIA POR COR DO PRESENTE?
VOCÊ PREFERE O CALÇADO COM OU SEM SALTO?</t>
  </si>
  <si>
    <t>"SE HÁ INTERESSE POR MODA PRAIA"</t>
  </si>
  <si>
    <t>VOCÊ SABIA QUE VENDEMOS AS PARTES DO BIQUINI SEPARADAMENTE?
VOCÊ SABE QUE TAMANHO ELA USA EM CIMA E EMBAIXO? 
VOCÊ TEM PREFERÊNCIA POR MODELO? (MAIS LARGUINHO, FIO DENTAL, TOMARA QUE CAIA, MELHOR SUSTENTAÇÃO)
VOCÊ TEM PREFERÊNCIA POR COR? 
O QUE ACHA DE ACRESCENTAR ALGO PRA MELHORAR SEU PRESENTE? (SAÍDAS DE PRAIA, CANGAS,  ACESSÓRIOS, ETC)</t>
  </si>
  <si>
    <t>"SE HÁ INTERESSE POR ALGUM PRESENTE ESPECIAL E/OU PERSONALIZADO"</t>
  </si>
  <si>
    <t>VOCÊ DESEJA HOMENAGERAR UM(A) PARENTE?  
VOCÊ DESEJA HOMENAGEAR UM(A) AMIGO(A)?
VOCÊ DESEJA HOMENAGEAR UM(A) PROFISSIONAL?
VOCÊ DESEJA HOMENAGEAR COM UM OBJETO DECORATIVO?</t>
  </si>
  <si>
    <t>"SE HÁ INTERESSE POR MODA FITNESS"</t>
  </si>
  <si>
    <t>QUAL O TAMANHO A PESSOA VESTE? 
VOCÊ DESEJA PRESENTEAR COM CALÇAS, BERMUDAS, SHORTS, TOPS, BLUSINHAS, MEIAS?
VOCÊ DESEJA UM PRESENTE MAIS COLORIDOS OU NEUTROS?</t>
  </si>
  <si>
    <t>AO COLETAR AS PREFERENCIAS DO CLIENTE: ENVIAR AS OPÇÕES COM FOTOS</t>
  </si>
  <si>
    <t>ESCOLHA DAS PEÇAS</t>
  </si>
  <si>
    <t>O CLIENTE FEZ A ESCOLHA DO PRESENTE?</t>
  </si>
  <si>
    <t>SIM: AVANÇAR PARA DEFINIÇÃO DA FORMA DE PAGAMENTO</t>
  </si>
  <si>
    <t>NÃO:APROFUNDAR A INVESTIGAÇÃO  E APRESENTAR MAIS OS PRODUTOS</t>
  </si>
  <si>
    <t>DEFINIÇÃO DA FORMA DE RECEBIMENTO DO PRESENTE</t>
  </si>
  <si>
    <t xml:space="preserve">ENTREGA NA CASA DO CLIENTE: COLETAR O ENDEREÇO DO CLIENTE PARA COTAR A TAXA DE ENTREGAR, APROVAR E DEFINIR HORÁRIO
</t>
  </si>
  <si>
    <t>RETIRADA EM LOJA: SEPARAÇÃO E RESERVA DO PEDIDO, DEFININDO QUEM E QUANDO SERÁ FEITA A RETIRADA</t>
  </si>
  <si>
    <t>DEFINIÇÃO DA FORMA DE PAGAMENTO</t>
  </si>
  <si>
    <t>VOCÊ PREFERE FAZER QUE TIPO DE PAGAMENTO?</t>
  </si>
  <si>
    <t>PAGAMENTO NA RETIRADA
PAGAMENTO NA ENTREGA
PAGAMENTO VIA PIX
PAGAMENTO VIA CREDIÁRIO</t>
  </si>
  <si>
    <t>FIM DO PROCESSO</t>
  </si>
  <si>
    <t>SE NÃO: APRESENTAR AS OPÇÕES (COSMÉTICOS, MAQUIAGEM, MODA PRAIA, MODA FITNESS, PIJAMAS, BIJUTERIAS, BOLSAS, CALÇADOS, ACESSÓRIOS, DECORAÇÃO)</t>
  </si>
  <si>
    <t>OCIOSIDADE X PRODUTIVIDADE</t>
  </si>
  <si>
    <t>FREQUÊNCIA DA ROTINA</t>
  </si>
  <si>
    <t xml:space="preserve">DIÁRIA </t>
  </si>
  <si>
    <t>SEMANAL</t>
  </si>
  <si>
    <t>MENSAL</t>
  </si>
  <si>
    <t>DESCRIÇÃO DA ATIVIDADE</t>
  </si>
  <si>
    <t>TOTAL DAS AVALIAÇÕES &gt;</t>
  </si>
  <si>
    <r>
      <t xml:space="preserve">TEMPO DESTINADO </t>
    </r>
    <r>
      <rPr>
        <b/>
        <sz val="16"/>
        <color rgb="FFFFC000"/>
        <rFont val="Calibri"/>
        <family val="2"/>
        <scheme val="minor"/>
      </rPr>
      <t>(POR MÊS)</t>
    </r>
  </si>
  <si>
    <r>
      <t xml:space="preserve">TEMPO DESTINADO </t>
    </r>
    <r>
      <rPr>
        <b/>
        <sz val="16"/>
        <color rgb="FFFFC000"/>
        <rFont val="Calibri"/>
        <family val="2"/>
        <scheme val="minor"/>
      </rPr>
      <t>(POR SEMANA)</t>
    </r>
  </si>
  <si>
    <r>
      <t>TEMPO DESTINADO</t>
    </r>
    <r>
      <rPr>
        <b/>
        <sz val="16"/>
        <color rgb="FFFFC000"/>
        <rFont val="Calibri"/>
        <family val="2"/>
        <scheme val="minor"/>
      </rPr>
      <t xml:space="preserve"> (POR DIA)</t>
    </r>
  </si>
  <si>
    <t>LIVE SHOP</t>
  </si>
  <si>
    <t>SE VOCÊ NÃO CONFIA NA SUA EQUIPE, ESSE VÍDEO É PRA VOCÊ</t>
  </si>
  <si>
    <t>QUEM FEZ ISSO, CONSEGUIU DELEGAR E PARAR DE CONFERIR TUDO</t>
  </si>
  <si>
    <t>É ISSO QUE FALTA PRA VOCÊ PARAR DE CONFERIR O TRABALHO DOS SEUS FUNCIONÁRIOS</t>
  </si>
  <si>
    <t>QUANTO ANTES VOCE SOUBER DESSES 3 PONTOS, MAIS GENTE BOA VIRÁ PRA SUA EMPRESA</t>
  </si>
  <si>
    <t>É POR ESSE FATOR QUE VOCÊ NÃO CONSEGUE CONTRATAR BONS FUNCIONÁRIOS</t>
  </si>
  <si>
    <t>ESSA É PRA QUEM ACHA QUE NÃO TEM MÃO DE OBRA QUALIFICADA NA SUA CIDADE</t>
  </si>
  <si>
    <t>APRENDA ISSO E TENHA UMA EQUIPE SUPER ENGAJADA</t>
  </si>
  <si>
    <t>EU FIZ ESSAS 4 COISAS PRA CONSEGUIR TOCAR MINHA EMPRESA E TER TEMPO PRA MINHA FAMÍLIA</t>
  </si>
  <si>
    <t>SE VOCE NÃO FIZER ISSO NA SUA EMPRESA, OLHA O QUE ACONTECE NA SUA FAMÍLIA</t>
  </si>
  <si>
    <t>É ISSO QUE TE FALTA PRA TER UMA EMPRESA LUCRATIVA SEM AFETAR SUA FAMILIA</t>
  </si>
  <si>
    <t>VOCÊ PRECISA FAZER ISSO PRA SER UM EMPRESÁRIO DE SUCESSO SEM DESTRUIR SUA SAÚDE</t>
  </si>
  <si>
    <t>SE VOCÊ É EMPRESÁRIO E NÃO TEM TEMPO DE IR PRA ACADEMIA, DEVE ESTAR ERRANDO NISSO</t>
  </si>
  <si>
    <t>ENTRE SUA EMPRESA E SUA SAÚDE, VOCE NÃO PRECISA ESCOLHER 1 COISA SÓ. BASTA DOMINAR ISSO!</t>
  </si>
  <si>
    <t>VOU TE PROVAR QUE UMA EQUIPE PROATIVA NÃO SE CRIA SOMENTE PAGANDO MELHOR</t>
  </si>
  <si>
    <t>ESSE É UM SEGREDO DAS EQUIPES DE ALTA PERFORMANCE QUE VOCÊ JAMAIS PENSOU</t>
  </si>
  <si>
    <t>3 LADRÕES DE LUCRO QUE TODO EMPRESÁRIO DEVE COMBATER</t>
  </si>
  <si>
    <t>A VERDADE OCULTA SOBRE EMPRESAS QUE VIVEM NO VERMELHO</t>
  </si>
  <si>
    <t>NÃO VEJO O LUCRO DO MEU NEGÓCIO. O QUE EU FAÇO?</t>
  </si>
  <si>
    <t>ESSE É O PROBLEMA PRINCIPAL DE EMPRESÁRIOS PRESOS NA OPERAÇÃO</t>
  </si>
  <si>
    <t>EU FIZ ESSAS X COISAS PARA MINHA EMPRESA FUNCIONAR SEM MIM</t>
  </si>
  <si>
    <t>VOCÊ NÃO PRECISA TRABALHAR 16 HORAS PARA SUA EMPRESA FUNCIONAR SE SOUBER DISSO...</t>
  </si>
  <si>
    <t>DEFINITIVAMENTE DESSE JEITO, VOCÊ NÃO SERÁ UM EMPRESÁRIO RICO</t>
  </si>
  <si>
    <t>ESSAS 2 ATITUDES FIZERAM MINHA EMPRESA GERAR RIQUEZA ABUNDANTE</t>
  </si>
  <si>
    <t>A VERDADE OCULTA SOBRE EMPRESAS MULTI MILIONÁRIAS</t>
  </si>
  <si>
    <t>SE VOCÊ TEM EMPRESA E NÃO SABE ONDE BUSCAR AJUDA PRA CRESCER, ASSISTA ISSO</t>
  </si>
  <si>
    <t>ESSA É PRA EMPRESÁRIOS QUE COMEÇARAM NA CARA E NA CORAGEM SEM ESTUDO ALGUM</t>
  </si>
  <si>
    <t>É POR ISSO QUE SUA EMPRESA PAROU DE CRESCER E ESTAGNOU</t>
  </si>
  <si>
    <t>SE VOCÊ SENTE QUE NÃO TEM TEMPO PRA NADA, ESCUTE ESSE VÍDEO ATÉ O FIM</t>
  </si>
  <si>
    <t>A FORMA MAIS EFETIVA PARA EMPRESÁRIOS SEM TEMPO PROSPERAREM É ESSA</t>
  </si>
  <si>
    <t>ESSE VIDEO VAI TE SALVAR DA ARMADILHA QUE É NÃO BUSCAR MENTORES PARA SUA EMPRESA</t>
  </si>
  <si>
    <t>QUEM TENTOU SE ORGANIZAR SOZINHO PRA DEPOIS BUSCAR AJUDA PRA SUA EMPRESA, SOFREU ASSIM...</t>
  </si>
  <si>
    <t>O MELHOR JEITO DE CRESCER SUA EMPRESA NÃO É TENTANDO ORGANIZAR ELA SOZINHO E SIM....</t>
  </si>
  <si>
    <t>VOU TE PROVAR QUE SE VOCÊ TENTAR ORGANIZAR SUA EMPRESA SOZINHO, VOCÊ PERDERÁ TEMPO</t>
  </si>
  <si>
    <t>VOCE QUER TER ANIMO PRA EMPREENDER E JÁ TEM MAIS DE X ANOS? ASSISTA ESSE VIDEO!</t>
  </si>
  <si>
    <t>VEJA O QUE A EMPRESA DE ..... OBTEVE APÓS NOSSA METODOLOGIA SER IMPLEMENTADA</t>
  </si>
  <si>
    <t>ELE É ......E CONSEGUIU CRESCER X% APÓS EXECUTAR ESSA ÚNICA AÇÃO</t>
  </si>
  <si>
    <t>PRA VOCE QUE TAMBEM É ......VEJA ESSE RESULTADO SURPREENDENTE</t>
  </si>
  <si>
    <t>SE O LIMITE DO SEU CARTÃO É BAIXO E VOCE É DONO DE EMPRESA, ESCUTE ATÉ O FINAL</t>
  </si>
  <si>
    <t>Cliente quer falar com marido/esposa/ sócio(a)</t>
  </si>
  <si>
    <t>Se dependesse somente de você, estaríamos fechados?
Se sim, o que acha que essa pessoa pode ter que te impeça de fechar agora?</t>
  </si>
  <si>
    <t>Tudo bem. Quando tiver falado me avise.</t>
  </si>
  <si>
    <t>É ASSIM QUE VOCE DESCOBRE SE SUA EMPRESA JÁ ATINGIU O POTENCIAL MÁXIMO OU NÃO</t>
  </si>
  <si>
    <t>ESSE É O PONTO CHAVE PRA QUEM ESTÁ COM A EMPRESA ESTAGNADA</t>
  </si>
  <si>
    <t>O GRANDE RISCO PARA EMPRESAS QUE PARARAM DE CRESCER É ...</t>
  </si>
  <si>
    <t>DUVIDO QUE DEPOIS DESSE VIDEO VOCE VAI CONTINUAR ACHANDO QUE NÃO CONSEGUE SER NOSSO CLIENTE...</t>
  </si>
  <si>
    <t>APOSTO QUE VOCE PENSA QUE NÃO CONSEGUE COMPRAR ..... MAS EU VOU TE PROVAR QUE...</t>
  </si>
  <si>
    <t>ASSISTA ESSE VIDEO SE VOCE AINDA TEM DUVIDAS SOBRE O PRODUTO XYZ...</t>
  </si>
  <si>
    <t>SOMENTE HOJE, QUEM FECHAR CONOSCO TERÁ ACESSO AO BONUS X</t>
  </si>
  <si>
    <t>QUEM COMPRAR AMANHÃ E NÃO HOJE, PERDERÁ OS BONUS XYZ....</t>
  </si>
  <si>
    <t>NOME DA DESPESA</t>
  </si>
  <si>
    <t>MÉDIA HISTÓRICA MENSAL</t>
  </si>
  <si>
    <t>REPRESENTATIVIDADE DA DESPESA NO VALOR TOTAL</t>
  </si>
  <si>
    <t>SOMATÓRIO TOTAL DAS LINHAS →</t>
  </si>
  <si>
    <t>DESVIO %</t>
  </si>
  <si>
    <t>DESVIO ABS.</t>
  </si>
  <si>
    <t>REAL</t>
  </si>
  <si>
    <t>NOME DO PRODUTO/SERVIÇO</t>
  </si>
  <si>
    <t>ACUMULADO</t>
  </si>
  <si>
    <t>GESTÃO  MATRICIAL DE DESPESAS</t>
  </si>
  <si>
    <t>ALTERE O PRIMEIRO MÊS E TODOS OS MESES ATUALIZAÇÃO AUTOMATICAMENTE →</t>
  </si>
  <si>
    <t>REPRESENTATIVIDADE DA DESPESA ACUMULADA</t>
  </si>
  <si>
    <t>PREÇO DE VENDA</t>
  </si>
  <si>
    <t>FATURAMENTO 
MÉDIO MENSAL</t>
  </si>
  <si>
    <t>MARGEM 
DE LUCRO</t>
  </si>
  <si>
    <t>REMUNERAÇÃO VARIÁVEL</t>
  </si>
  <si>
    <t>Cargos</t>
  </si>
  <si>
    <t>Júnior</t>
  </si>
  <si>
    <t>Pleno</t>
  </si>
  <si>
    <t>Sênior</t>
  </si>
  <si>
    <t>Coordenador/Supervisor</t>
  </si>
  <si>
    <t>Head/Gerente</t>
  </si>
  <si>
    <t>Diretor</t>
  </si>
  <si>
    <t>Total</t>
  </si>
  <si>
    <t>Bônus em Número de Salários / Ano
(Referência de Mercado)</t>
  </si>
  <si>
    <t>Bônus em Número de Salários / Ano
(Ex: Para minha empresa)</t>
  </si>
  <si>
    <t># Colaboradores na minha empresa hoje</t>
  </si>
  <si>
    <t>R$ Salário pago na minha empresa hoje</t>
  </si>
  <si>
    <t>R$ Bônus previsto a ser pago</t>
  </si>
  <si>
    <r>
      <rPr>
        <b/>
        <sz val="22"/>
        <color rgb="FFFFC000"/>
        <rFont val="Calibri"/>
        <family val="2"/>
        <scheme val="minor"/>
      </rPr>
      <t>&gt;&gt;&gt;&gt;&gt;&gt;&gt;</t>
    </r>
    <r>
      <rPr>
        <b/>
        <sz val="22"/>
        <color theme="0"/>
        <rFont val="Calibri"/>
        <family val="2"/>
        <scheme val="minor"/>
      </rPr>
      <t xml:space="preserve">
Tabela para projetar o valor que será pago em bônus para todo o time após 1 ano de trabalho
</t>
    </r>
    <r>
      <rPr>
        <b/>
        <sz val="22"/>
        <color rgb="FFFFC000"/>
        <rFont val="Calibri"/>
        <family val="2"/>
        <scheme val="minor"/>
      </rPr>
      <t>&gt;&gt;&gt;&gt;&gt;&gt;&gt;&gt;</t>
    </r>
  </si>
  <si>
    <t>Detalhamento das 
Entradas e Saídas</t>
  </si>
  <si>
    <t>Jan</t>
  </si>
  <si>
    <t>Fev</t>
  </si>
  <si>
    <t>Mar</t>
  </si>
  <si>
    <t>Abr</t>
  </si>
  <si>
    <t>Mai</t>
  </si>
  <si>
    <t>Jun</t>
  </si>
  <si>
    <t>Jul</t>
  </si>
  <si>
    <t>Ago</t>
  </si>
  <si>
    <t>Set</t>
  </si>
  <si>
    <t>Out</t>
  </si>
  <si>
    <t>Nov</t>
  </si>
  <si>
    <t>Dez</t>
  </si>
  <si>
    <t>Real</t>
  </si>
  <si>
    <t>ENTRADAS / CRÉDITOS</t>
  </si>
  <si>
    <t>Vendas da Loja</t>
  </si>
  <si>
    <t>Vendas Online</t>
  </si>
  <si>
    <t>Empréstimos</t>
  </si>
  <si>
    <t>TOTAL DAS ENTRADAS</t>
  </si>
  <si>
    <t>SAÍDAS / DÉBITOS</t>
  </si>
  <si>
    <t>Folha de pagamento</t>
  </si>
  <si>
    <t>Alimentação</t>
  </si>
  <si>
    <t>Aluguel</t>
  </si>
  <si>
    <t>Combustível</t>
  </si>
  <si>
    <t>Contabilidade</t>
  </si>
  <si>
    <t>Despesas financeiras</t>
  </si>
  <si>
    <t>Energia elétrica</t>
  </si>
  <si>
    <t>Equipamentos e/ou Manutenção</t>
  </si>
  <si>
    <t>Férias</t>
  </si>
  <si>
    <t>13º salário</t>
  </si>
  <si>
    <t>Fornecedores</t>
  </si>
  <si>
    <t>Impostos e Taxas</t>
  </si>
  <si>
    <t>Telefone</t>
  </si>
  <si>
    <t>Despesas diversas</t>
  </si>
  <si>
    <t>Outros pagamentos</t>
  </si>
  <si>
    <t>TOTAL DAS SAÍDAS</t>
  </si>
  <si>
    <t>LUCRO/PREJUÍZO MENSAL</t>
  </si>
  <si>
    <t>Quanto quero distribuir após um ano? &gt;</t>
  </si>
  <si>
    <t>Qual meu lucro anual estimado após um ano? &gt;</t>
  </si>
  <si>
    <t>&lt; Digite aqui o valor que você espera lucrar em 12 meses</t>
  </si>
  <si>
    <t>Qual % que será distribuído se as estimativas acima estiverem certas? &gt;</t>
  </si>
  <si>
    <t>&lt; Célula preenchida automaticamente</t>
  </si>
  <si>
    <t>TICKET MEDIO NÃO BATEU A META</t>
  </si>
  <si>
    <t>ERA PRA ALCANÇAR 50 E FICAMOS EM 45</t>
  </si>
  <si>
    <t>AÇOUGUEIRO NÃO ATENDEU CORRETAMENTO OS CLIENTES</t>
  </si>
  <si>
    <t>NÃO HÁ UM SCRIPT DE ATENDIMENTO E NEM TREINAMENTO DOS AÇOUGUEIROS</t>
  </si>
  <si>
    <t>EM ANDAMENTO</t>
  </si>
  <si>
    <t>CONCLUÍDA</t>
  </si>
  <si>
    <t>TREINAMENTO INTRODUTÓRIO NA CULTURA E REG. INTERNO PARA NOVOS FUNCIONÁRIOS</t>
  </si>
  <si>
    <t>A INICIAR</t>
  </si>
  <si>
    <t>ATRASADA</t>
  </si>
  <si>
    <t>DANIEL REICHE</t>
  </si>
  <si>
    <t>CRIAR SCRIPT E TREINAR OS AÇOUGUEIROS PARA AUMENTAR AS OFERTAS OFERECENDO ITENS CORRELACIONADOS PARA INCREMENTAR O TICKET MÉDIO</t>
  </si>
  <si>
    <t>VENDAS NO AÇOUGUE</t>
  </si>
  <si>
    <t>AULA INAUGURAL</t>
  </si>
  <si>
    <t>TESTE DE NIVELAMENTO + EVOLUÇÃO POR PILAR + PPE</t>
  </si>
  <si>
    <t>CONTROLE DE METAS + FOTOGRAFIA DA EMPRESA</t>
  </si>
  <si>
    <t>DURAÇÃO DAS AULAS</t>
  </si>
  <si>
    <t>MAPA DA METODOLOGIA</t>
  </si>
  <si>
    <t>ESSA SITUAÇÃO FEZ MUITA DIFERENÇA, MESMO SENDO EMPRESÁRIO HÁ MAIS DE X ANOS...
(PROVA SOCIAL)</t>
  </si>
  <si>
    <t>EU NÃO SEI COMO EU CHEGUEI ATÉ AQUI 
SEM CONHECER O...(NOME DA SOLUÇÃO/ MENTOR)
(PROVA SOCIAL)</t>
  </si>
  <si>
    <t>1.1 VOCÊ ESTÁ AONDE O SEU CLIENTE FAZ BUSCAS E ESTÁ PROCURANDO?</t>
  </si>
  <si>
    <t>SCRIPT DE ATENDIMENTO</t>
  </si>
  <si>
    <t>Tudo bem, então voltamos a falar em breve...</t>
  </si>
  <si>
    <t>99% das suas dúvidas, eu acho que posso solucionar. Pergunte!</t>
  </si>
  <si>
    <t>Cliente apresentou dúvidas</t>
  </si>
  <si>
    <t>PROCESSO CRÍTICO: NOME DO PROCESSO</t>
  </si>
  <si>
    <t>NOME:</t>
  </si>
  <si>
    <t xml:space="preserve"> PARA ROTINAS QUE UM FUNCIONÁRIO PODE MELHORAR: CRIAR E VALIDAR AÇÕES CORRETIVAS</t>
  </si>
  <si>
    <r>
      <rPr>
        <b/>
        <sz val="20"/>
        <color theme="7" tint="0.59999389629810485"/>
        <rFont val="Calibri"/>
        <family val="2"/>
        <scheme val="minor"/>
      </rPr>
      <t>HABILIDADES DE GERENCIAMENTO</t>
    </r>
    <r>
      <rPr>
        <b/>
        <sz val="20"/>
        <color theme="0"/>
        <rFont val="Calibri"/>
        <family val="2"/>
        <scheme val="minor"/>
      </rPr>
      <t xml:space="preserve">
</t>
    </r>
    <r>
      <rPr>
        <b/>
        <sz val="20"/>
        <color rgb="FFFFC000"/>
        <rFont val="Calibri"/>
        <family val="2"/>
        <scheme val="minor"/>
      </rPr>
      <t>TEMA: LIDERANÇA EXEMPLAR</t>
    </r>
  </si>
  <si>
    <t>EXPERTS CONVIDADOS</t>
  </si>
  <si>
    <t>REMUNERAÇÃO VARIÁVEL
(TIAGO GUEDES)</t>
  </si>
  <si>
    <t>LIVES SHOP
(JULIANA TURMINA)</t>
  </si>
  <si>
    <t>AUTOMAÇÃO E IA PRA VENDAS
(ERIC LUCIANO)</t>
  </si>
  <si>
    <t>COMO CRIAR UMA EQUIPE EXCEPCIONAL (2 NO VAREJO)</t>
  </si>
  <si>
    <t>TREINAMENTO E AVALIAÇÃO DE LIDERANÇAS</t>
  </si>
  <si>
    <t>MUDAR DE IDEIA OU TOMADA DE AÇÃO QUANDO A SITUAÇÃO EXIGE</t>
  </si>
  <si>
    <t>PERCEBER QUANDO AS PESSOAS FAZEM COISAS BOAS E RECONHECE</t>
  </si>
  <si>
    <t xml:space="preserve"> FEEDBACK NEGATIVO:</t>
  </si>
  <si>
    <t>NOME DO PRODUTO</t>
  </si>
  <si>
    <t>XXXX</t>
  </si>
  <si>
    <t>RRRR</t>
  </si>
  <si>
    <t>TTTT</t>
  </si>
  <si>
    <t>DDD</t>
  </si>
  <si>
    <t>AAAA</t>
  </si>
  <si>
    <t>POSITIVA</t>
  </si>
  <si>
    <t>NEGATIVA</t>
  </si>
  <si>
    <t>NEUTRA</t>
  </si>
  <si>
    <t>DIVULGAR O ANÚNCIO DA VAGA (SITES ESPECIALIZADOS, PORTAIS DE RECRUTAMENTO, ETC)</t>
  </si>
  <si>
    <t>PPE 
(PLANO DE PRIORIDADES DA EMPRESA)</t>
  </si>
  <si>
    <t>ELIABE, MAX E SERGIO</t>
  </si>
  <si>
    <t>ROTINA DE REUNIÃO MENSAL: PARA ANÁLISE DOS RESULTADOS (POR ÁREA E INDICADOR)</t>
  </si>
  <si>
    <t>ROTINA DE TREINAMENTO E FORMAÇÃO DE NOVAS LIDERANÇAS PARA AS POSIÇÕES CRÍTICAS</t>
  </si>
  <si>
    <t>ROTINA DE ANÁLISE DE CONCORRENTES E TENDÊNCIAS DE MERCADO PARA O SETOR (RISCOS E OPORTUNIDADES)</t>
  </si>
  <si>
    <t>&lt;&lt; VOLTAR AO PAINEL DE CONTROLE</t>
  </si>
  <si>
    <t>LISTE AS FUNÇÕES DO CARGO</t>
  </si>
  <si>
    <t>ROTINA DE REUNIÃO SEMANAL: PARA ALINHAMENTO 1 A 1 (COM LÍDERES DE CADA ÁREA)</t>
  </si>
  <si>
    <t>ROTINA DE REUNIÃO DIÁRIA: PARA ALINHAMENTO DO TIME (FOCO NAS ROTINAS E PADRÕES)</t>
  </si>
  <si>
    <t>AÇÕES DE DESENVOLVIMENTO E FORTALECIMANTO DA CULTURA ORGANIZACIONAL</t>
  </si>
  <si>
    <t>ROTINA DE LIVES SHOP PARA DIVULGAÇÃO DE PRODUTOS/OFERTAS ESPECIAIS</t>
  </si>
  <si>
    <t>GESTÃO DE GRUPO VIP NO WHATSAPP/MENSAGENS VIA LISTA DE TRANSMISSÃO</t>
  </si>
  <si>
    <t>ROTINA DE COLETA E DIVULGAÇÃO DE PROVAS SOCIAIS</t>
  </si>
  <si>
    <t>GESTÃO DE FERRAMENTAS DE AUTOMAÇÃO E I.A. (INTELIGÊNCIA ARTIFICIAL)</t>
  </si>
  <si>
    <t>GESTÃO DO FLUXO DE CAIXA (GESTÃO DA PREVISIBILIDADE DA EMPRESA MÊS A MÊS E 
PRÓ LABORE DOS SÓCIOS)</t>
  </si>
  <si>
    <t>NATASHA E BRUNO</t>
  </si>
  <si>
    <t>NA</t>
  </si>
  <si>
    <t>ROTINA/SCRIPT DE ATENDIMENTO AO LEAD/CLIENTE</t>
  </si>
  <si>
    <t>AVALIAÇÃO DE DESEMPENHO DOS FUNCIONÁRIOS</t>
  </si>
  <si>
    <t>GESTÃO DA FOLHA DE PAGAMENTO E DA REMUNERAÇÃO VARIÁVEL (SE HOUVER)</t>
  </si>
  <si>
    <t>SOCIAL MEDIA</t>
  </si>
  <si>
    <t>ROTINA DE REUNIÃO DE BRIEFING E DEFINIÇÃO DAS ESTRATÉGICAS DO CLIENTE</t>
  </si>
  <si>
    <t>ROTINA DE CRIAÇÃO DE PLANEJAMENTO DIÁRIOS, SEMANAIS E MENSAIS DE CONTEÚDO</t>
  </si>
  <si>
    <t>ROTINA DE REVISÃO E APROVAÇÃO DE CONTEÚDOS (TEXTO, ESTÉTICA, COERÊNCIA...)</t>
  </si>
  <si>
    <t>ROTINA DE PROGRAMAÇÃO DE POSTAGENS NAS PLATAFORMAS DO CLIENTE</t>
  </si>
  <si>
    <t>ROTINA DE REUNIÃO DE ALINHAMENTO COM O CLIENTE (APRESENTAÇÃO, FEEDBACKS, COLETA DE INFORMAÇÕES...)</t>
  </si>
  <si>
    <t>TRÁFEGO PAGO</t>
  </si>
  <si>
    <t>ROTINA DE DEFINIÇÃO DE METAS DE CAMPANHA (ALCANCE, CLIQUES, LEADS, CONVERSÃO...)</t>
  </si>
  <si>
    <t>ROTINA DE CRIAÇÃO DA CAMPANHAS, CONJUNTOS DE ANÚNCIOS E CRIATIVOS</t>
  </si>
  <si>
    <t>ROTINA DE PRODUÇÃO DE RELATÓRIOS SEMANAIS E QUINZENAIS COM DADOS DE DESEMPENHO</t>
  </si>
  <si>
    <t>ROTINA DE ROTEIRIZAÇÃO E PRODUÇÃO DE LEGENDAS E COPYS</t>
  </si>
  <si>
    <t>GESTÃO DE ANÁLISE DE RESULTADOS (INDICADORES) DOS POSTS PARA PADRONIZAÇÃO DE BOAS PRÁTICAS E AÇÕES CORRETIVAS</t>
  </si>
  <si>
    <t>SUCESSO DO CLIENTE (CS)</t>
  </si>
  <si>
    <t>ROTINA DE COLETA DE FEEDBACKS DOS CLIENTES E COMUNICAÇÃO COM O TIME INTERNO</t>
  </si>
  <si>
    <t>GESTÃO DE RISCOS DOS CLIENTES (RECLAMAÇÕES E QUEDA DE ENGAJAMENTO)</t>
  </si>
  <si>
    <t xml:space="preserve">ROTINA DE REUNIÕES DE BOAS-VINDAS E ALINHAMENTO COM O CLIENTE </t>
  </si>
  <si>
    <t>ROTINA DE ALINHAMENTO COM TIME INTERNO DA EMPRESA (REUNIÕES, WHATSAPP...)</t>
  </si>
  <si>
    <t>CAPTAÇÃO DE CONTEÚDOS</t>
  </si>
  <si>
    <t>ROTINA DE REUNIÃO DE BRIEFING E DEFINIÇÃO DAS ESTRATÉGICAS COM O TIME DE SOCIAL MEDIA</t>
  </si>
  <si>
    <t>GESTÃO DO CALENDÁRIOS E DE ROTAS DAS VISITAS PARA CAPTAÇÃO DE CONTEÚDO</t>
  </si>
  <si>
    <t>GESTÃO DE CALENDÁRIO/AGENDA/ROTA INTERNA DA EQUIPE E CEOs</t>
  </si>
  <si>
    <t>ROTINA DE CAPTAÇÃO DAS IMAGENS</t>
  </si>
  <si>
    <t>ROTINA DA REALIZAÇÃO DA VISITA NAS EMPRESAS (ATENDIMENTO E EXPLICAÇÃO DO SERVIÇO PARA O CLIENTE)</t>
  </si>
  <si>
    <t>ROTINA DE PRODUÇÃO E EDIÇÃO DE CONTEÚDOS (FOTOS, REELS, STORIES E VÍDEOS)</t>
  </si>
  <si>
    <t>ROTINA DE EDIÇÃO E PRODUÇÃO DOS MATERIAIS COLETADOS</t>
  </si>
  <si>
    <t>CAPTAÇÃO DE CONTEÚDOS/EDIÇÃO DE VÍDEOS</t>
  </si>
  <si>
    <t>ROTINA DE ATUALIZAÇÃO E GESTÃO DO CATÁLOGO DE TRABALHOS REALIZADOS (DRIVE DOS CLIENTES)</t>
  </si>
  <si>
    <t>DESIGN</t>
  </si>
  <si>
    <t>GESTÃO DE PRIORIZAÇÃO DAS PRODUÇÕES DE CONTEÚDO (AGENDA DE POSTAGEM)</t>
  </si>
  <si>
    <t>ROTINA DE REUNIÃO DE BRIEFING E DEFINIÇÃO DAS ESTRATÉGICAS COM O SOCIAL MEDIA, TRÁFEGO E CAPTAÇÃO DE CONTEÚDO</t>
  </si>
  <si>
    <t>ROTINA DE PRODUÇÃO E EDIÇÃO DE CONTEÚDOS (POSTS ESTÁTICOS/ARTES)</t>
  </si>
  <si>
    <t>ROTINA DE REVISÃO DOS MATERIAIS PRODUZIDOS (CHECKLIST ANTES DO ENVIO PARA CS)</t>
  </si>
  <si>
    <t>ROTINA DE ENVIO DE MATERIAIS PARA APROVAÇÃO DO CLIENTE (RECEBIDO PELO TIME INTERNO)</t>
  </si>
  <si>
    <t>ROTINA DE ORGANIZAÇÃO E ATUALIZAÇÃO DE ARQUIVOS E REFERÊNCIAS DAS ARTES (CATÁLOGO)</t>
  </si>
  <si>
    <t xml:space="preserve">TRÁFEGO PAGO </t>
  </si>
  <si>
    <t>SUCESSO DO CLIENTE</t>
  </si>
  <si>
    <t>ROTINA DE VERIFICAÇÃO/CHECKLIST DOS MATERIAIS NECESSÁRIOS PARA A VISITA (MICROFONE, CAMERA, LUZ...)</t>
  </si>
  <si>
    <t>ROTINA DE ENVIO DOS MATERIAIS COLETADOS NA VISITA REALIZADA (DRIVE, TELEGRAM, WHATSAPP, EMAIL...)</t>
  </si>
  <si>
    <t>BRUNO</t>
  </si>
  <si>
    <t>ROTINA DE MONITORAMENTO DE DESEMPENHO DA CAMPANHAS E ANÚNCIOS</t>
  </si>
  <si>
    <t>ROTINA DE ATENDIMENTO AO CLIENTE DIÁRIO E SEMANAL (MODO BABÁ)</t>
  </si>
  <si>
    <t>NATASHA</t>
  </si>
  <si>
    <t>NÃO SABE EXATAMENTE</t>
  </si>
  <si>
    <t>CAPTAÇÃO DE CONTEÚDO</t>
  </si>
  <si>
    <t>DASHBOARD DA MENTORIA</t>
  </si>
  <si>
    <t>1. ASSISTIR A  AULA DE MISSÃO, VISÃO E VALORES PARA DEFINIR ESSES PILARES NA EMPRESA (USAR PLANILHA 1.1)
2. REALIZAR REUNIÃO DE ALINHAMENTO COM O TIME PARA INFORMAR A TODOS ESSES 3 PRINCÍPIOS</t>
  </si>
  <si>
    <t>TRANSFORMAR MARCAS EM EXPERIÊNCIAS VIVAS POR MEIO DA INTEGRAÇÃO ESTRATÉGICA DE PESSOAS, IDEIAS E FERRAMENTAS DIGITAIS, CRIANDO SOLUÇÕES DE MARKETING QUE FUNCIONAM EM HARMONIA COM OS OBJETIVOS DOS CLIENTES</t>
  </si>
  <si>
    <t>1. ASSISTIR A  AULA DE CARGOS E FUNÇÕES PARA DEFINIR AS EXPECTATIVAS E ATIVIDADE DE CADA CARGO (USAR PLANILHA 1.2)
2. REALIZAR REUNIÃO DE ALINHAMENTO COM O TIME PARA TRAZER CLAREZA A RESPEITO DAS FUNÇÕES DE TODOS OS MEMBROS DA EQUIPE</t>
  </si>
  <si>
    <r>
      <rPr>
        <b/>
        <sz val="26"/>
        <color rgb="FFFFC000"/>
        <rFont val="Calibri"/>
        <family val="2"/>
      </rPr>
      <t>SOCIAL SELLER</t>
    </r>
    <r>
      <rPr>
        <b/>
        <sz val="26"/>
        <color theme="0"/>
        <rFont val="Calibri"/>
        <family val="2"/>
      </rPr>
      <t xml:space="preserve">
(NOME DA PESSOA)</t>
    </r>
  </si>
  <si>
    <r>
      <rPr>
        <b/>
        <sz val="26"/>
        <color rgb="FFFFC000"/>
        <rFont val="Calibri"/>
        <family val="2"/>
      </rPr>
      <t>GESTOR DE TRAFEGO</t>
    </r>
    <r>
      <rPr>
        <b/>
        <sz val="26"/>
        <color theme="0"/>
        <rFont val="Calibri"/>
        <family val="2"/>
      </rPr>
      <t xml:space="preserve">
(NOME DA PESSOA)</t>
    </r>
  </si>
  <si>
    <r>
      <rPr>
        <b/>
        <sz val="26"/>
        <color rgb="FFFFC000"/>
        <rFont val="Calibri"/>
        <family val="2"/>
      </rPr>
      <t>SOCIAL MEDIA</t>
    </r>
    <r>
      <rPr>
        <b/>
        <sz val="26"/>
        <color theme="0"/>
        <rFont val="Calibri"/>
        <family val="2"/>
      </rPr>
      <t xml:space="preserve">
(NOME DA PESSOA)</t>
    </r>
  </si>
  <si>
    <r>
      <rPr>
        <b/>
        <sz val="26"/>
        <color rgb="FFFFC000"/>
        <rFont val="Calibri"/>
        <family val="2"/>
      </rPr>
      <t>SÓCIO</t>
    </r>
    <r>
      <rPr>
        <b/>
        <sz val="26"/>
        <color theme="0"/>
        <rFont val="Calibri"/>
        <family val="2"/>
      </rPr>
      <t xml:space="preserve">
BRUNO</t>
    </r>
  </si>
  <si>
    <r>
      <rPr>
        <b/>
        <sz val="26"/>
        <color rgb="FFFFC000"/>
        <rFont val="Calibri"/>
        <family val="2"/>
      </rPr>
      <t>SÓCIA</t>
    </r>
    <r>
      <rPr>
        <b/>
        <sz val="26"/>
        <color theme="0"/>
        <rFont val="Calibri"/>
        <family val="2"/>
      </rPr>
      <t xml:space="preserve">
NATASHA</t>
    </r>
  </si>
  <si>
    <t>1. ASSISTIR A  AULA DE REGULAMENTO INTERNO PARA CONSTRUIR O DOCUMENTO QUE CONTÉM AS REGRAS E PADRÕES DA EMPRESA (USAR PLANILHA 1.3)
2. REALIZAR REUNIÃO DE ALINHAMENTO COM O TIME PARA VALIDAR O DOCUMENTO DE REGULAMENTO INTERNO COM A EQUIPE</t>
  </si>
  <si>
    <t>1. ASSISTIR A  AULA DE CONTROLE DE METAS E FOTOGRAFIA DA EMPRESA PARA OTIMIZAR OS CONTROLES DA LIDERANÇA (USAR PLANILHA 0.4)
2. CRIAR ROTINA DA LIDERANÇA DE ANÁLISE DOS DADOS APÓS O FECHAMENTO DO RESULTADO MENSAL</t>
  </si>
  <si>
    <t>1. ASSISTIR A  AULA DE ANÁLISE DOS RESULTADOS MENSAIS (MÓDULO 1) DA EMPRESA PARA CRIAR ROTINA COM SÓCIOS E LÍDERES
2. CRIAR ROTINA DA LIDERANÇA DE ANÁLISE DOS DADOS APÓS O FECHAMENTO DO RESULTADO MENSAL</t>
  </si>
  <si>
    <t>1. ASSISTIR A  AULA DE REUNIÃO DIÁRIA NOTA 10 PARA OTIMIZAR OS ALINHAMENTO COM A EQUIPE
2. CRIAR ROTINA DE REUNIÕES DIÁRIAS COM O TIME PARA REDUZIR RETRABALHOS E FALHAS DE COMUNICAÇÃO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</si>
</sst>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R$&quot;\ * #,##0.00_-;\-&quot;R$&quot;\ * #,##0.00_-;_-&quot;R$&quot;\ * &quot;-&quot;??_-;_-@_-"/>
    <numFmt numFmtId="43" formatCode="_-* #,##0.00_-;\-* #,##0.00_-;_-* &quot;-&quot;??_-;_-@_-"/>
    <numFmt numFmtId="164" formatCode="0.0"/>
    <numFmt numFmtId="165" formatCode="[$-416]d\-mmm\-yy;@"/>
    <numFmt numFmtId="166" formatCode="_(&quot;$&quot;* #,##0.00_);_(&quot;$&quot;* \(#,##0.00\);_(&quot;$&quot;* &quot;-&quot;??_);_(@_)"/>
    <numFmt numFmtId="167" formatCode="&quot;R$&quot;\ #,##0"/>
    <numFmt numFmtId="168" formatCode="_-* #,##0_-;\-* #,##0_-;_-* &quot;-&quot;??_-;_-@_-"/>
    <numFmt numFmtId="169" formatCode=";;;"/>
    <numFmt numFmtId="170" formatCode="mmmm"/>
    <numFmt numFmtId="171" formatCode="[&gt;999999]\ 0.0,,\ &quot;Mi&quot;;\ 0.0,\ &quot;mil&quot;"/>
    <numFmt numFmtId="172" formatCode="_-&quot;R$&quot;\ * #,##0_-;\-&quot;R$&quot;\ * #,##0_-;_-&quot;R$&quot;\ * &quot;-&quot;??_-;_-@_-"/>
    <numFmt numFmtId="173" formatCode="[$-F400]h:mm:ss\ AM/PM"/>
    <numFmt numFmtId="174" formatCode="0.0%"/>
  </numFmts>
  <fonts count="162" x14ac:knownFonts="1">
    <font>
      <sz val="11"/>
      <color theme="1"/>
      <name val="Calibri"/>
      <family val="2"/>
      <scheme val="minor"/>
    </font>
    <font>
      <sz val="10"/>
      <color rgb="FF000000"/>
      <name val="Arial"/>
      <family val="2"/>
    </font>
    <font>
      <b/>
      <sz val="28"/>
      <color theme="0"/>
      <name val="Calibri"/>
      <family val="2"/>
      <scheme val="minor"/>
    </font>
    <font>
      <sz val="20"/>
      <color theme="1"/>
      <name val="Calibri"/>
      <family val="2"/>
      <scheme val="minor"/>
    </font>
    <font>
      <sz val="20"/>
      <color rgb="FF000000"/>
      <name val="Calibri"/>
      <family val="2"/>
      <scheme val="minor"/>
    </font>
    <font>
      <sz val="10"/>
      <color rgb="FF000000"/>
      <name val="Calibri"/>
      <family val="2"/>
      <scheme val="minor"/>
    </font>
    <font>
      <b/>
      <sz val="18"/>
      <color theme="0"/>
      <name val="Calibri"/>
      <family val="2"/>
      <scheme val="minor"/>
    </font>
    <font>
      <sz val="18"/>
      <color theme="1"/>
      <name val="Calibri"/>
      <family val="2"/>
      <scheme val="minor"/>
    </font>
    <font>
      <sz val="18"/>
      <color rgb="FF000000"/>
      <name val="Calibri"/>
      <family val="2"/>
      <scheme val="minor"/>
    </font>
    <font>
      <b/>
      <sz val="16"/>
      <color theme="0"/>
      <name val="Calibri"/>
      <family val="2"/>
      <scheme val="minor"/>
    </font>
    <font>
      <b/>
      <sz val="10"/>
      <color theme="0"/>
      <name val="Calibri"/>
      <family val="2"/>
      <scheme val="minor"/>
    </font>
    <font>
      <sz val="9"/>
      <color theme="1"/>
      <name val="Calibri"/>
      <family val="2"/>
      <scheme val="minor"/>
    </font>
    <font>
      <sz val="9"/>
      <color rgb="FF000000"/>
      <name val="Calibri"/>
      <family val="2"/>
      <scheme val="minor"/>
    </font>
    <font>
      <sz val="10"/>
      <color theme="1"/>
      <name val="Calibri"/>
      <family val="2"/>
      <scheme val="minor"/>
    </font>
    <font>
      <b/>
      <sz val="12"/>
      <color theme="0"/>
      <name val="Calibri"/>
      <family val="2"/>
      <scheme val="minor"/>
    </font>
    <font>
      <b/>
      <sz val="24"/>
      <name val="Calibri"/>
      <family val="2"/>
      <scheme val="minor"/>
    </font>
    <font>
      <sz val="12"/>
      <color theme="1"/>
      <name val="Calibri"/>
      <family val="2"/>
      <scheme val="minor"/>
    </font>
    <font>
      <sz val="12"/>
      <color rgb="FF000000"/>
      <name val="Calibri"/>
      <family val="2"/>
      <scheme val="minor"/>
    </font>
    <font>
      <b/>
      <sz val="12"/>
      <name val="Calibri"/>
      <family val="2"/>
      <scheme val="minor"/>
    </font>
    <font>
      <b/>
      <sz val="16"/>
      <name val="Calibri"/>
      <family val="2"/>
      <scheme val="minor"/>
    </font>
    <font>
      <b/>
      <sz val="20"/>
      <color theme="0"/>
      <name val="Calibri"/>
      <family val="2"/>
      <scheme val="minor"/>
    </font>
    <font>
      <b/>
      <sz val="36"/>
      <color theme="0"/>
      <name val="Calibri"/>
      <family val="2"/>
      <scheme val="minor"/>
    </font>
    <font>
      <b/>
      <sz val="26"/>
      <color theme="0"/>
      <name val="Calibri"/>
      <family val="2"/>
      <scheme val="minor"/>
    </font>
    <font>
      <b/>
      <sz val="14"/>
      <color indexed="81"/>
      <name val="Segoe UI"/>
      <family val="2"/>
    </font>
    <font>
      <sz val="14"/>
      <color indexed="81"/>
      <name val="Segoe UI"/>
      <family val="2"/>
    </font>
    <font>
      <sz val="9"/>
      <color indexed="81"/>
      <name val="Segoe UI"/>
      <family val="2"/>
    </font>
    <font>
      <b/>
      <sz val="14"/>
      <color theme="1"/>
      <name val="Calibri"/>
      <family val="2"/>
      <scheme val="minor"/>
    </font>
    <font>
      <sz val="9"/>
      <color theme="0"/>
      <name val="Calibri"/>
      <family val="2"/>
      <scheme val="minor"/>
    </font>
    <font>
      <sz val="9"/>
      <name val="Calibri"/>
      <family val="2"/>
      <scheme val="minor"/>
    </font>
    <font>
      <sz val="8"/>
      <name val="Calibri"/>
      <family val="2"/>
      <scheme val="minor"/>
    </font>
    <font>
      <sz val="8"/>
      <color theme="1"/>
      <name val="Calibri"/>
      <family val="2"/>
      <scheme val="minor"/>
    </font>
    <font>
      <b/>
      <sz val="16"/>
      <color theme="1"/>
      <name val="Calibri"/>
      <family val="2"/>
      <scheme val="minor"/>
    </font>
    <font>
      <b/>
      <sz val="14"/>
      <name val="Calibri"/>
      <family val="2"/>
      <scheme val="minor"/>
    </font>
    <font>
      <sz val="11"/>
      <color theme="1"/>
      <name val="Calibri"/>
      <family val="2"/>
      <scheme val="minor"/>
    </font>
    <font>
      <b/>
      <sz val="26"/>
      <color theme="0"/>
      <name val="Calibri"/>
      <family val="2"/>
    </font>
    <font>
      <b/>
      <sz val="26"/>
      <color rgb="FFFFC000"/>
      <name val="Calibri"/>
      <family val="2"/>
    </font>
    <font>
      <sz val="16"/>
      <color theme="0"/>
      <name val="Arial"/>
      <family val="2"/>
    </font>
    <font>
      <b/>
      <sz val="14"/>
      <color rgb="FFFFFFFF"/>
      <name val="Calibri"/>
      <family val="2"/>
    </font>
    <font>
      <b/>
      <sz val="11"/>
      <color rgb="FFFFFFFF"/>
      <name val="Calibri"/>
      <family val="2"/>
    </font>
    <font>
      <b/>
      <sz val="14"/>
      <name val="Calibri"/>
      <family val="2"/>
    </font>
    <font>
      <b/>
      <sz val="16"/>
      <color theme="0"/>
      <name val="Calibri"/>
      <family val="2"/>
    </font>
    <font>
      <b/>
      <sz val="12"/>
      <color rgb="FF000000"/>
      <name val="Calibri"/>
      <family val="2"/>
    </font>
    <font>
      <sz val="9"/>
      <color rgb="FFFF0000"/>
      <name val="Calibri"/>
      <family val="2"/>
    </font>
    <font>
      <b/>
      <sz val="11"/>
      <name val="Arial"/>
      <family val="2"/>
    </font>
    <font>
      <b/>
      <sz val="16"/>
      <name val="Arial"/>
      <family val="2"/>
    </font>
    <font>
      <sz val="11"/>
      <name val="Calibri"/>
      <family val="2"/>
      <scheme val="minor"/>
    </font>
    <font>
      <b/>
      <sz val="9"/>
      <name val="Calibri"/>
      <family val="2"/>
      <scheme val="minor"/>
    </font>
    <font>
      <b/>
      <sz val="11"/>
      <name val="Calibri"/>
      <family val="2"/>
    </font>
    <font>
      <b/>
      <sz val="10"/>
      <name val="Calibri"/>
      <family val="2"/>
      <scheme val="minor"/>
    </font>
    <font>
      <b/>
      <sz val="8"/>
      <name val="Calibri"/>
      <family val="2"/>
      <scheme val="minor"/>
    </font>
    <font>
      <b/>
      <sz val="8"/>
      <name val="Calibri"/>
      <family val="2"/>
    </font>
    <font>
      <b/>
      <sz val="18"/>
      <name val="Calibri"/>
      <family val="2"/>
      <scheme val="minor"/>
    </font>
    <font>
      <sz val="8"/>
      <name val="Calibri"/>
      <family val="2"/>
    </font>
    <font>
      <sz val="10"/>
      <name val="Calibri"/>
      <family val="2"/>
      <scheme val="minor"/>
    </font>
    <font>
      <b/>
      <sz val="9"/>
      <color theme="0"/>
      <name val="Calibri"/>
      <family val="2"/>
      <scheme val="minor"/>
    </font>
    <font>
      <b/>
      <sz val="18"/>
      <color rgb="FFFFC000"/>
      <name val="Calibri"/>
      <family val="2"/>
      <scheme val="minor"/>
    </font>
    <font>
      <b/>
      <sz val="11"/>
      <color rgb="FFFFC000"/>
      <name val="Calibri"/>
      <family val="2"/>
      <scheme val="minor"/>
    </font>
    <font>
      <b/>
      <sz val="14"/>
      <color theme="0"/>
      <name val="Calibri"/>
      <family val="2"/>
      <scheme val="minor"/>
    </font>
    <font>
      <b/>
      <sz val="20"/>
      <color rgb="FFFFC000"/>
      <name val="Calibri"/>
      <family val="2"/>
      <scheme val="minor"/>
    </font>
    <font>
      <b/>
      <sz val="22"/>
      <color indexed="81"/>
      <name val="Segoe UI"/>
      <family val="2"/>
    </font>
    <font>
      <b/>
      <sz val="11"/>
      <color theme="0"/>
      <name val="Calibri"/>
      <family val="2"/>
      <scheme val="minor"/>
    </font>
    <font>
      <b/>
      <sz val="11"/>
      <color theme="1"/>
      <name val="Calibri"/>
      <family val="2"/>
      <scheme val="minor"/>
    </font>
    <font>
      <b/>
      <sz val="24"/>
      <color theme="0"/>
      <name val="Calibri"/>
      <family val="2"/>
      <scheme val="minor"/>
    </font>
    <font>
      <b/>
      <sz val="22"/>
      <color rgb="FF00B050"/>
      <name val="Aptos Narrow"/>
      <family val="2"/>
    </font>
    <font>
      <b/>
      <sz val="20"/>
      <color rgb="FFC00000"/>
      <name val="Aptos Narrow"/>
      <family val="2"/>
    </font>
    <font>
      <b/>
      <sz val="14"/>
      <color rgb="FFC00000"/>
      <name val="Aharoni"/>
      <charset val="177"/>
    </font>
    <font>
      <sz val="14"/>
      <color theme="1"/>
      <name val="Calibri"/>
      <family val="2"/>
      <scheme val="minor"/>
    </font>
    <font>
      <b/>
      <sz val="8"/>
      <name val="Arial"/>
      <family val="2"/>
    </font>
    <font>
      <b/>
      <sz val="8"/>
      <color theme="0"/>
      <name val="Arial"/>
      <family val="2"/>
    </font>
    <font>
      <b/>
      <sz val="10"/>
      <color indexed="81"/>
      <name val="Segoe UI"/>
      <family val="2"/>
    </font>
    <font>
      <sz val="10"/>
      <color indexed="81"/>
      <name val="Segoe UI"/>
      <family val="2"/>
    </font>
    <font>
      <sz val="16"/>
      <name val="Calibri"/>
      <family val="2"/>
      <scheme val="minor"/>
    </font>
    <font>
      <b/>
      <sz val="48"/>
      <color theme="0"/>
      <name val="Calibri"/>
      <family val="2"/>
      <scheme val="minor"/>
    </font>
    <font>
      <b/>
      <sz val="36"/>
      <name val="Calibri"/>
      <family val="2"/>
      <scheme val="minor"/>
    </font>
    <font>
      <b/>
      <sz val="28"/>
      <name val="Calibri"/>
      <family val="2"/>
      <scheme val="minor"/>
    </font>
    <font>
      <sz val="36"/>
      <color theme="1"/>
      <name val="Calibri"/>
      <family val="2"/>
      <scheme val="minor"/>
    </font>
    <font>
      <b/>
      <sz val="28"/>
      <color rgb="FF0070C0"/>
      <name val="Calibri"/>
      <family val="2"/>
      <scheme val="minor"/>
    </font>
    <font>
      <b/>
      <sz val="22"/>
      <color rgb="FF0070C0"/>
      <name val="Calibri"/>
      <family val="2"/>
      <scheme val="minor"/>
    </font>
    <font>
      <sz val="22"/>
      <color theme="0"/>
      <name val="Calibri"/>
      <family val="2"/>
      <scheme val="minor"/>
    </font>
    <font>
      <sz val="24"/>
      <color theme="1"/>
      <name val="Calibri"/>
      <family val="2"/>
      <scheme val="minor"/>
    </font>
    <font>
      <sz val="24"/>
      <color rgb="FF000000"/>
      <name val="Calibri"/>
      <family val="2"/>
      <scheme val="minor"/>
    </font>
    <font>
      <sz val="28"/>
      <color theme="1"/>
      <name val="Calibri"/>
      <family val="2"/>
      <scheme val="minor"/>
    </font>
    <font>
      <sz val="28"/>
      <color rgb="FF000000"/>
      <name val="Calibri"/>
      <family val="2"/>
      <scheme val="minor"/>
    </font>
    <font>
      <sz val="36"/>
      <name val="Calibri"/>
      <family val="2"/>
      <scheme val="minor"/>
    </font>
    <font>
      <b/>
      <sz val="16"/>
      <color rgb="FFFF0000"/>
      <name val="Calibri"/>
      <family val="2"/>
      <scheme val="minor"/>
    </font>
    <font>
      <sz val="14"/>
      <color rgb="FF000000"/>
      <name val="Calibri"/>
      <family val="2"/>
    </font>
    <font>
      <b/>
      <sz val="14"/>
      <color rgb="FF000000"/>
      <name val="Calibri"/>
      <family val="2"/>
    </font>
    <font>
      <sz val="22"/>
      <color rgb="FF000000"/>
      <name val="Calibri"/>
      <family val="2"/>
    </font>
    <font>
      <b/>
      <sz val="36"/>
      <color rgb="FFFFC000"/>
      <name val="Calibri"/>
      <family val="2"/>
      <scheme val="minor"/>
    </font>
    <font>
      <b/>
      <sz val="12"/>
      <color rgb="FFFF0000"/>
      <name val="Calibri"/>
      <family val="2"/>
      <scheme val="minor"/>
    </font>
    <font>
      <b/>
      <sz val="11"/>
      <color theme="0"/>
      <name val="Calibri"/>
      <family val="2"/>
    </font>
    <font>
      <sz val="10"/>
      <name val="Arial"/>
      <family val="2"/>
    </font>
    <font>
      <b/>
      <sz val="10"/>
      <color theme="0"/>
      <name val="Arial"/>
      <family val="2"/>
    </font>
    <font>
      <b/>
      <sz val="14"/>
      <color theme="0"/>
      <name val="Arial"/>
      <family val="2"/>
    </font>
    <font>
      <sz val="16"/>
      <color rgb="FFFF0000"/>
      <name val="Calibri"/>
      <family val="2"/>
      <scheme val="minor"/>
    </font>
    <font>
      <b/>
      <sz val="16"/>
      <color rgb="FF0070C0"/>
      <name val="Calibri"/>
      <family val="2"/>
      <scheme val="minor"/>
    </font>
    <font>
      <sz val="11"/>
      <color rgb="FF000000"/>
      <name val="Calibri"/>
      <family val="2"/>
      <scheme val="minor"/>
    </font>
    <font>
      <b/>
      <sz val="11"/>
      <name val="Calibri"/>
      <family val="2"/>
      <scheme val="minor"/>
    </font>
    <font>
      <b/>
      <sz val="48"/>
      <name val="Calibri"/>
      <family val="2"/>
      <scheme val="minor"/>
    </font>
    <font>
      <b/>
      <sz val="26"/>
      <color rgb="FFFFFFFF"/>
      <name val="Calibri"/>
      <family val="2"/>
    </font>
    <font>
      <b/>
      <sz val="48"/>
      <color rgb="FFFF0000"/>
      <name val="Webdings"/>
      <family val="1"/>
      <charset val="2"/>
    </font>
    <font>
      <sz val="26"/>
      <color theme="1"/>
      <name val="Calibri"/>
      <family val="2"/>
      <scheme val="minor"/>
    </font>
    <font>
      <sz val="26"/>
      <color rgb="FF000000"/>
      <name val="Calibri"/>
      <family val="2"/>
      <scheme val="minor"/>
    </font>
    <font>
      <b/>
      <sz val="36"/>
      <color rgb="FFFF0000"/>
      <name val="Calibri"/>
      <family val="2"/>
      <scheme val="minor"/>
    </font>
    <font>
      <b/>
      <sz val="26"/>
      <name val="Calibri"/>
      <family val="2"/>
      <scheme val="minor"/>
    </font>
    <font>
      <sz val="8"/>
      <color rgb="FF000000"/>
      <name val="Calibri"/>
      <family val="2"/>
    </font>
    <font>
      <b/>
      <sz val="10"/>
      <color rgb="FFFFFFFF"/>
      <name val="Calibri"/>
      <family val="2"/>
    </font>
    <font>
      <b/>
      <sz val="22"/>
      <color theme="0"/>
      <name val="Calibri"/>
      <family val="2"/>
      <scheme val="minor"/>
    </font>
    <font>
      <b/>
      <sz val="20"/>
      <color rgb="FFFFFFFF"/>
      <name val="Calibri"/>
      <family val="2"/>
    </font>
    <font>
      <b/>
      <sz val="14"/>
      <name val="Arial"/>
      <family val="2"/>
    </font>
    <font>
      <b/>
      <sz val="16"/>
      <color rgb="FFFFC000"/>
      <name val="Calibri"/>
      <family val="2"/>
      <scheme val="minor"/>
    </font>
    <font>
      <sz val="22"/>
      <name val="Calibri"/>
      <family val="2"/>
      <scheme val="minor"/>
    </font>
    <font>
      <sz val="22"/>
      <color rgb="FFFF0000"/>
      <name val="Calibri"/>
      <family val="2"/>
      <scheme val="minor"/>
    </font>
    <font>
      <sz val="22"/>
      <color theme="1"/>
      <name val="Calibri"/>
      <family val="2"/>
      <scheme val="minor"/>
    </font>
    <font>
      <b/>
      <sz val="22"/>
      <name val="Calibri"/>
      <family val="2"/>
      <scheme val="minor"/>
    </font>
    <font>
      <b/>
      <sz val="12"/>
      <color theme="1"/>
      <name val="Calibri"/>
      <family val="2"/>
      <scheme val="minor"/>
    </font>
    <font>
      <b/>
      <sz val="14"/>
      <color rgb="FFFF0000"/>
      <name val="Calibri"/>
      <family val="2"/>
      <scheme val="minor"/>
    </font>
    <font>
      <b/>
      <sz val="14"/>
      <color rgb="FF00B050"/>
      <name val="Calibri"/>
      <family val="2"/>
      <scheme val="minor"/>
    </font>
    <font>
      <b/>
      <sz val="14"/>
      <color rgb="FFFFC000"/>
      <name val="Calibri"/>
      <family val="2"/>
      <scheme val="minor"/>
    </font>
    <font>
      <b/>
      <sz val="20"/>
      <color theme="9" tint="0.59999389629810485"/>
      <name val="Calibri"/>
      <family val="2"/>
      <scheme val="minor"/>
    </font>
    <font>
      <b/>
      <sz val="20"/>
      <color theme="4" tint="0.39997558519241921"/>
      <name val="Calibri"/>
      <family val="2"/>
      <scheme val="minor"/>
    </font>
    <font>
      <b/>
      <sz val="20"/>
      <color theme="7" tint="0.59999389629810485"/>
      <name val="Calibri"/>
      <family val="2"/>
      <scheme val="minor"/>
    </font>
    <font>
      <sz val="16"/>
      <color theme="1"/>
      <name val="Calibri"/>
      <family val="2"/>
      <scheme val="minor"/>
    </font>
    <font>
      <sz val="11"/>
      <color theme="0"/>
      <name val="Calibri"/>
      <family val="2"/>
      <scheme val="minor"/>
    </font>
    <font>
      <b/>
      <sz val="20"/>
      <name val="Calibri"/>
      <family val="2"/>
      <scheme val="minor"/>
    </font>
    <font>
      <b/>
      <sz val="18"/>
      <name val="Arial"/>
      <family val="2"/>
    </font>
    <font>
      <b/>
      <sz val="16"/>
      <color rgb="FFFFFFFF"/>
      <name val="Calibri"/>
      <family val="2"/>
    </font>
    <font>
      <sz val="18"/>
      <color theme="0"/>
      <name val="Arial"/>
      <family val="2"/>
    </font>
    <font>
      <b/>
      <sz val="12"/>
      <name val="Arial"/>
      <family val="2"/>
    </font>
    <font>
      <b/>
      <sz val="12"/>
      <color rgb="FFC00000"/>
      <name val="Arial"/>
      <family val="2"/>
    </font>
    <font>
      <b/>
      <sz val="18"/>
      <name val="Calibri"/>
      <family val="2"/>
    </font>
    <font>
      <b/>
      <sz val="12"/>
      <color rgb="FFFFFFFF"/>
      <name val="Calibri"/>
      <family val="2"/>
    </font>
    <font>
      <b/>
      <sz val="14"/>
      <color theme="0"/>
      <name val="Calibri"/>
      <family val="2"/>
    </font>
    <font>
      <b/>
      <sz val="24"/>
      <color rgb="FFFFFFFF"/>
      <name val="Calibri"/>
      <family val="2"/>
    </font>
    <font>
      <b/>
      <sz val="12"/>
      <color theme="0"/>
      <name val="Calibri"/>
      <family val="2"/>
    </font>
    <font>
      <b/>
      <sz val="12"/>
      <color theme="0"/>
      <name val="Arial"/>
      <family val="2"/>
    </font>
    <font>
      <sz val="16"/>
      <color theme="1" tint="0.34998626667073579"/>
      <name val="Calibri"/>
      <family val="2"/>
      <scheme val="minor"/>
    </font>
    <font>
      <sz val="16"/>
      <color theme="0" tint="-0.14999847407452621"/>
      <name val="Calibri"/>
      <family val="2"/>
      <scheme val="minor"/>
    </font>
    <font>
      <sz val="10"/>
      <color theme="1"/>
      <name val="Calibri"/>
      <family val="2"/>
      <scheme val="minor"/>
    </font>
    <font>
      <b/>
      <sz val="20"/>
      <color rgb="FF0070C0"/>
      <name val="Calibri"/>
      <family val="2"/>
      <scheme val="minor"/>
    </font>
    <font>
      <b/>
      <sz val="22"/>
      <color rgb="FFFFC000"/>
      <name val="Calibri"/>
      <family val="2"/>
      <scheme val="minor"/>
    </font>
    <font>
      <b/>
      <sz val="9"/>
      <color theme="1"/>
      <name val="Calibri"/>
      <family val="2"/>
      <scheme val="minor"/>
    </font>
    <font>
      <b/>
      <sz val="9"/>
      <color rgb="FFFF0000"/>
      <name val="Calibri"/>
      <family val="2"/>
      <scheme val="minor"/>
    </font>
    <font>
      <b/>
      <sz val="9"/>
      <color rgb="FF00B050"/>
      <name val="Calibri"/>
      <family val="2"/>
      <scheme val="minor"/>
    </font>
    <font>
      <sz val="14"/>
      <color theme="0"/>
      <name val="Calibri"/>
      <family val="2"/>
      <scheme val="minor"/>
    </font>
    <font>
      <b/>
      <sz val="20"/>
      <color rgb="FFFF0000"/>
      <name val="Calibri"/>
      <family val="2"/>
      <scheme val="minor"/>
    </font>
    <font>
      <b/>
      <sz val="10"/>
      <name val="Arial"/>
      <family val="2"/>
    </font>
    <font>
      <b/>
      <sz val="16"/>
      <color theme="0" tint="-0.14999847407452621"/>
      <name val="Calibri"/>
      <family val="2"/>
      <scheme val="minor"/>
    </font>
    <font>
      <b/>
      <sz val="22"/>
      <name val="Arial"/>
      <family val="2"/>
    </font>
    <font>
      <b/>
      <sz val="28"/>
      <color rgb="FFFFFFFF"/>
      <name val="Calibri"/>
      <family val="2"/>
    </font>
    <font>
      <b/>
      <sz val="9"/>
      <color theme="0" tint="-4.9989318521683403E-2"/>
      <name val="Calibri"/>
      <family val="2"/>
      <scheme val="minor"/>
    </font>
    <font>
      <b/>
      <sz val="14"/>
      <color theme="0" tint="-0.499984740745262"/>
      <name val="Calibri"/>
      <family val="2"/>
      <scheme val="minor"/>
    </font>
    <font>
      <sz val="10"/>
      <color rgb="FF000000"/>
      <name val="Calibri"/>
      <family val="2"/>
    </font>
    <font>
      <sz val="12"/>
      <color rgb="FF000000"/>
      <name val="Calibri"/>
      <family val="2"/>
    </font>
    <font>
      <b/>
      <sz val="36"/>
      <color theme="0"/>
      <name val="Calibri"/>
      <family val="2"/>
    </font>
    <font>
      <sz val="11"/>
      <name val="Calibri"/>
      <family val="2"/>
    </font>
    <font>
      <sz val="28"/>
      <color rgb="FF000000"/>
      <name val="Calibri"/>
      <family val="2"/>
    </font>
    <font>
      <sz val="28"/>
      <color theme="1"/>
      <name val="Calibri"/>
      <family val="2"/>
    </font>
    <font>
      <sz val="16"/>
      <color theme="1"/>
      <name val="Calibri"/>
      <family val="2"/>
    </font>
    <font>
      <b/>
      <sz val="11"/>
      <color theme="0"/>
      <name val="Arial"/>
      <family val="2"/>
    </font>
    <font>
      <sz val="14"/>
      <name val="Calibri"/>
      <family val="2"/>
      <scheme val="minor"/>
    </font>
    <font>
      <b/>
      <u/>
      <sz val="18"/>
      <name val="Calibri"/>
      <family val="2"/>
    </font>
  </fonts>
  <fills count="33">
    <fill>
      <patternFill patternType="none"/>
    </fill>
    <fill>
      <patternFill patternType="gray125"/>
    </fill>
    <fill>
      <patternFill patternType="solid">
        <fgColor theme="1" tint="0.14999847407452621"/>
        <bgColor indexed="64"/>
      </patternFill>
    </fill>
    <fill>
      <patternFill patternType="solid">
        <fgColor rgb="FFC00000"/>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FFC000"/>
        <bgColor indexed="64"/>
      </patternFill>
    </fill>
    <fill>
      <patternFill patternType="solid">
        <fgColor rgb="FF00B050"/>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1"/>
        <bgColor indexed="64"/>
      </patternFill>
    </fill>
    <fill>
      <patternFill patternType="solid">
        <fgColor rgb="FF161B24"/>
        <bgColor indexed="64"/>
      </patternFill>
    </fill>
    <fill>
      <patternFill patternType="solid">
        <fgColor theme="1" tint="4.9989318521683403E-2"/>
        <bgColor indexed="64"/>
      </patternFill>
    </fill>
    <fill>
      <patternFill patternType="solid">
        <fgColor theme="7" tint="0.59999389629810485"/>
        <bgColor indexed="64"/>
      </patternFill>
    </fill>
    <fill>
      <patternFill patternType="solid">
        <fgColor rgb="FFF2F2F2"/>
        <bgColor indexed="64"/>
      </patternFill>
    </fill>
    <fill>
      <patternFill patternType="solid">
        <fgColor rgb="FFDAE3F3"/>
        <bgColor indexed="64"/>
      </patternFill>
    </fill>
    <fill>
      <patternFill patternType="solid">
        <fgColor rgb="FFC00000"/>
        <bgColor rgb="FF595959"/>
      </patternFill>
    </fill>
    <fill>
      <patternFill patternType="solid">
        <fgColor rgb="FF00B050"/>
        <bgColor rgb="FF595959"/>
      </patternFill>
    </fill>
    <fill>
      <patternFill patternType="solid">
        <fgColor rgb="FFFFFF00"/>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rgb="FFEFEFEF"/>
      </patternFill>
    </fill>
    <fill>
      <patternFill patternType="solid">
        <fgColor theme="0" tint="-0.14999847407452621"/>
        <bgColor rgb="FFFFFFFF"/>
      </patternFill>
    </fill>
    <fill>
      <patternFill patternType="solid">
        <fgColor rgb="FF0070C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0000"/>
        <bgColor indexed="64"/>
      </patternFill>
    </fill>
    <fill>
      <patternFill patternType="solid">
        <fgColor rgb="FF262626"/>
        <bgColor rgb="FF262626"/>
      </patternFill>
    </fill>
    <fill>
      <patternFill patternType="solid">
        <fgColor rgb="FFD8D8D8"/>
        <bgColor rgb="FFD8D8D8"/>
      </patternFill>
    </fill>
  </fills>
  <borders count="5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right style="thin">
        <color indexed="64"/>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auto="1"/>
      </left>
      <right style="hair">
        <color auto="1"/>
      </right>
      <top style="hair">
        <color auto="1"/>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indexed="64"/>
      </top>
      <bottom/>
      <diagonal/>
    </border>
    <border>
      <left style="medium">
        <color rgb="FFFFFFFF"/>
      </left>
      <right style="medium">
        <color rgb="FFFFFFFF"/>
      </right>
      <top style="medium">
        <color rgb="FFFFFFFF"/>
      </top>
      <bottom style="thick">
        <color rgb="FFFFFFFF"/>
      </bottom>
      <diagonal/>
    </border>
    <border>
      <left style="hair">
        <color auto="1"/>
      </left>
      <right/>
      <top/>
      <bottom/>
      <diagonal/>
    </border>
    <border>
      <left/>
      <right style="hair">
        <color auto="1"/>
      </right>
      <top/>
      <bottom/>
      <diagonal/>
    </border>
    <border>
      <left style="medium">
        <color rgb="FFFFFFFF"/>
      </left>
      <right/>
      <top/>
      <bottom/>
      <diagonal/>
    </border>
    <border>
      <left/>
      <right style="medium">
        <color rgb="FFFFFFFF"/>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thick">
        <color rgb="FFFFFFFF"/>
      </left>
      <right style="medium">
        <color rgb="FFFFFFFF"/>
      </right>
      <top style="thick">
        <color rgb="FFFFFFFF"/>
      </top>
      <bottom style="medium">
        <color rgb="FFFFFFFF"/>
      </bottom>
      <diagonal/>
    </border>
    <border>
      <left style="thick">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top style="medium">
        <color rgb="FFFFFFFF"/>
      </top>
      <bottom/>
      <diagonal/>
    </border>
    <border>
      <left style="medium">
        <color rgb="FFFFFFFF"/>
      </left>
      <right/>
      <top/>
      <bottom style="thick">
        <color rgb="FFFFFFFF"/>
      </bottom>
      <diagonal/>
    </border>
    <border>
      <left style="medium">
        <color rgb="FFFFFFFF"/>
      </left>
      <right/>
      <top style="thick">
        <color rgb="FFFFFFFF"/>
      </top>
      <bottom/>
      <diagonal/>
    </border>
    <border>
      <left style="thin">
        <color theme="0"/>
      </left>
      <right/>
      <top/>
      <bottom/>
      <diagonal/>
    </border>
    <border>
      <left/>
      <right/>
      <top/>
      <bottom style="thin">
        <color theme="0"/>
      </bottom>
      <diagonal/>
    </border>
    <border>
      <left style="thin">
        <color theme="0"/>
      </left>
      <right/>
      <top/>
      <bottom style="thin">
        <color theme="0"/>
      </bottom>
      <diagonal/>
    </border>
    <border>
      <left style="hair">
        <color auto="1"/>
      </left>
      <right/>
      <top/>
      <bottom style="thin">
        <color theme="0"/>
      </bottom>
      <diagonal/>
    </border>
    <border>
      <left/>
      <right style="thin">
        <color theme="0"/>
      </right>
      <top/>
      <bottom style="thin">
        <color theme="0"/>
      </bottom>
      <diagonal/>
    </border>
    <border>
      <left style="hair">
        <color theme="1"/>
      </left>
      <right style="hair">
        <color theme="1"/>
      </right>
      <top style="hair">
        <color theme="1"/>
      </top>
      <bottom style="hair">
        <color theme="1"/>
      </bottom>
      <diagonal/>
    </border>
    <border>
      <left style="thin">
        <color theme="0"/>
      </left>
      <right/>
      <top style="thin">
        <color theme="0"/>
      </top>
      <bottom style="thin">
        <color theme="0"/>
      </bottom>
      <diagonal/>
    </border>
    <border>
      <left style="medium">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top style="thin">
        <color theme="0"/>
      </top>
      <bottom/>
      <diagonal/>
    </border>
    <border>
      <left style="medium">
        <color theme="0"/>
      </left>
      <right style="thin">
        <color theme="0"/>
      </right>
      <top style="thin">
        <color theme="0"/>
      </top>
      <bottom/>
      <diagonal/>
    </border>
    <border>
      <left style="thin">
        <color theme="0"/>
      </left>
      <right style="medium">
        <color theme="0"/>
      </right>
      <top style="thin">
        <color theme="0"/>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top style="medium">
        <color theme="0"/>
      </top>
      <bottom/>
      <diagonal/>
    </border>
    <border>
      <left style="medium">
        <color theme="0"/>
      </left>
      <right/>
      <top style="medium">
        <color indexed="64"/>
      </top>
      <bottom style="medium">
        <color theme="0"/>
      </bottom>
      <diagonal/>
    </border>
    <border>
      <left/>
      <right style="medium">
        <color theme="0"/>
      </right>
      <top style="medium">
        <color indexed="64"/>
      </top>
      <bottom style="medium">
        <color theme="0"/>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1" fillId="0" borderId="0"/>
    <xf numFmtId="43" fontId="33" fillId="0" borderId="0" applyFont="0" applyFill="0" applyBorder="0" applyAlignment="0" applyProtection="0"/>
    <xf numFmtId="0" fontId="33" fillId="0" borderId="0"/>
    <xf numFmtId="165" fontId="33" fillId="0" borderId="0"/>
    <xf numFmtId="166" fontId="33" fillId="0" borderId="0" applyFont="0" applyFill="0" applyBorder="0" applyAlignment="0" applyProtection="0"/>
    <xf numFmtId="0" fontId="91" fillId="0" borderId="0"/>
    <xf numFmtId="44" fontId="33" fillId="0" borderId="0" applyFont="0" applyFill="0" applyBorder="0" applyAlignment="0" applyProtection="0"/>
    <xf numFmtId="9" fontId="33" fillId="0" borderId="0" applyFont="0" applyFill="0" applyBorder="0" applyAlignment="0" applyProtection="0"/>
  </cellStyleXfs>
  <cellXfs count="517">
    <xf numFmtId="0" fontId="0" fillId="0" borderId="0" xfId="0"/>
    <xf numFmtId="0" fontId="3" fillId="0" borderId="0" xfId="0" applyFont="1"/>
    <xf numFmtId="0" fontId="4" fillId="0" borderId="0" xfId="1" applyFont="1" applyAlignment="1">
      <alignment vertical="center"/>
    </xf>
    <xf numFmtId="0" fontId="5" fillId="0" borderId="0" xfId="1" applyFont="1" applyAlignment="1">
      <alignment vertical="center"/>
    </xf>
    <xf numFmtId="0" fontId="7" fillId="0" borderId="0" xfId="0" applyFont="1"/>
    <xf numFmtId="0" fontId="8" fillId="0" borderId="0" xfId="1" applyFont="1" applyAlignment="1">
      <alignment vertical="center"/>
    </xf>
    <xf numFmtId="0" fontId="9" fillId="4" borderId="2" xfId="1" applyFont="1" applyFill="1" applyBorder="1" applyAlignment="1">
      <alignment horizontal="center" vertical="center" wrapText="1"/>
    </xf>
    <xf numFmtId="0" fontId="10" fillId="4" borderId="2" xfId="1" applyFont="1" applyFill="1" applyBorder="1" applyAlignment="1">
      <alignment horizontal="center" vertical="center" wrapText="1"/>
    </xf>
    <xf numFmtId="0" fontId="11" fillId="0" borderId="0" xfId="0" applyFont="1"/>
    <xf numFmtId="0" fontId="12" fillId="0" borderId="0" xfId="1" applyFont="1" applyAlignment="1">
      <alignment vertical="center"/>
    </xf>
    <xf numFmtId="0" fontId="13" fillId="0" borderId="0" xfId="1" applyFont="1" applyAlignment="1">
      <alignment horizontal="center" vertical="center"/>
    </xf>
    <xf numFmtId="0" fontId="14" fillId="3" borderId="2" xfId="1" applyFont="1" applyFill="1" applyBorder="1" applyAlignment="1">
      <alignment horizontal="center" vertical="center" wrapText="1"/>
    </xf>
    <xf numFmtId="0" fontId="15" fillId="6" borderId="2" xfId="1" applyFont="1" applyFill="1" applyBorder="1" applyAlignment="1">
      <alignment horizontal="center" vertical="center" wrapText="1"/>
    </xf>
    <xf numFmtId="0" fontId="16" fillId="0" borderId="0" xfId="0" applyFont="1"/>
    <xf numFmtId="0" fontId="14" fillId="6" borderId="2" xfId="1" applyFont="1" applyFill="1" applyBorder="1" applyAlignment="1">
      <alignment horizontal="center" vertical="center" wrapText="1"/>
    </xf>
    <xf numFmtId="0" fontId="17" fillId="0" borderId="0" xfId="1" applyFont="1" applyAlignment="1">
      <alignment vertical="center"/>
    </xf>
    <xf numFmtId="0" fontId="18" fillId="7" borderId="2" xfId="1" applyFont="1" applyFill="1" applyBorder="1" applyAlignment="1">
      <alignment horizontal="center" vertical="center" wrapText="1"/>
    </xf>
    <xf numFmtId="0" fontId="14" fillId="8" borderId="2" xfId="1" applyFont="1" applyFill="1" applyBorder="1" applyAlignment="1">
      <alignment horizontal="center" vertical="center" wrapText="1"/>
    </xf>
    <xf numFmtId="0" fontId="0" fillId="0" borderId="0" xfId="0" applyAlignment="1">
      <alignment horizontal="center"/>
    </xf>
    <xf numFmtId="0" fontId="30" fillId="0" borderId="0" xfId="0" applyFont="1"/>
    <xf numFmtId="0" fontId="19" fillId="5" borderId="2" xfId="1" applyFont="1" applyFill="1" applyBorder="1" applyAlignment="1">
      <alignment horizontal="left" vertical="center" wrapText="1"/>
    </xf>
    <xf numFmtId="0" fontId="31" fillId="0" borderId="0" xfId="0" applyFont="1" applyAlignment="1">
      <alignment vertical="center"/>
    </xf>
    <xf numFmtId="164" fontId="26" fillId="11" borderId="2" xfId="0" applyNumberFormat="1" applyFont="1" applyFill="1" applyBorder="1" applyAlignment="1">
      <alignment horizontal="center" vertical="center"/>
    </xf>
    <xf numFmtId="0" fontId="13" fillId="0" borderId="0" xfId="3" applyFont="1" applyAlignment="1">
      <alignment vertical="center"/>
    </xf>
    <xf numFmtId="0" fontId="13" fillId="0" borderId="0" xfId="3" applyFont="1" applyAlignment="1">
      <alignment horizontal="center" vertical="center"/>
    </xf>
    <xf numFmtId="0" fontId="13" fillId="10" borderId="0" xfId="3" applyFont="1" applyFill="1" applyAlignment="1">
      <alignment horizontal="center" vertical="center"/>
    </xf>
    <xf numFmtId="165" fontId="36" fillId="2" borderId="7" xfId="4" applyFont="1" applyFill="1" applyBorder="1" applyAlignment="1">
      <alignment horizontal="center" vertical="center" wrapText="1"/>
    </xf>
    <xf numFmtId="165" fontId="37" fillId="13" borderId="7" xfId="4" applyFont="1" applyFill="1" applyBorder="1" applyAlignment="1">
      <alignment horizontal="center" vertical="center" wrapText="1" readingOrder="1"/>
    </xf>
    <xf numFmtId="17" fontId="39" fillId="7" borderId="7" xfId="4" applyNumberFormat="1" applyFont="1" applyFill="1" applyBorder="1" applyAlignment="1">
      <alignment horizontal="center" vertical="center" wrapText="1" readingOrder="1"/>
    </xf>
    <xf numFmtId="17" fontId="37" fillId="13" borderId="7" xfId="4" applyNumberFormat="1" applyFont="1" applyFill="1" applyBorder="1" applyAlignment="1">
      <alignment horizontal="center" vertical="center" wrapText="1" readingOrder="1"/>
    </xf>
    <xf numFmtId="1" fontId="40" fillId="2" borderId="7" xfId="2" applyNumberFormat="1" applyFont="1" applyFill="1" applyBorder="1" applyAlignment="1">
      <alignment horizontal="center" vertical="center" wrapText="1" readingOrder="1"/>
    </xf>
    <xf numFmtId="165" fontId="41" fillId="10" borderId="7" xfId="4" applyFont="1" applyFill="1" applyBorder="1" applyAlignment="1">
      <alignment horizontal="left" vertical="center" wrapText="1" readingOrder="1"/>
    </xf>
    <xf numFmtId="165" fontId="42" fillId="10" borderId="7" xfId="4" applyFont="1" applyFill="1" applyBorder="1" applyAlignment="1">
      <alignment horizontal="left" vertical="center" wrapText="1" readingOrder="1"/>
    </xf>
    <xf numFmtId="167" fontId="43" fillId="5" borderId="7" xfId="5" applyNumberFormat="1" applyFont="1" applyFill="1" applyBorder="1" applyAlignment="1">
      <alignment horizontal="center" vertical="center" wrapText="1"/>
    </xf>
    <xf numFmtId="168" fontId="44" fillId="5" borderId="7" xfId="2" applyNumberFormat="1" applyFont="1" applyFill="1" applyBorder="1" applyAlignment="1">
      <alignment horizontal="center" vertical="center" wrapText="1"/>
    </xf>
    <xf numFmtId="0" fontId="13" fillId="10" borderId="0" xfId="3" applyFont="1" applyFill="1" applyAlignment="1">
      <alignment vertical="center"/>
    </xf>
    <xf numFmtId="0" fontId="45" fillId="0" borderId="0" xfId="0" applyFont="1"/>
    <xf numFmtId="169" fontId="11" fillId="0" borderId="0" xfId="0" applyNumberFormat="1" applyFont="1"/>
    <xf numFmtId="169" fontId="0" fillId="0" borderId="0" xfId="0" applyNumberFormat="1"/>
    <xf numFmtId="0" fontId="29" fillId="0" borderId="0" xfId="0" applyFont="1" applyAlignment="1">
      <alignment horizontal="center"/>
    </xf>
    <xf numFmtId="0" fontId="48" fillId="0" borderId="0" xfId="0" applyFont="1" applyAlignment="1">
      <alignment horizontal="center" vertical="center"/>
    </xf>
    <xf numFmtId="0" fontId="49" fillId="0" borderId="0" xfId="0" applyFont="1" applyAlignment="1">
      <alignment horizontal="center"/>
    </xf>
    <xf numFmtId="170" fontId="50" fillId="0" borderId="0" xfId="0" applyNumberFormat="1" applyFont="1" applyAlignment="1">
      <alignment horizontal="center" vertical="center" readingOrder="1"/>
    </xf>
    <xf numFmtId="17" fontId="50" fillId="0" borderId="0" xfId="0" applyNumberFormat="1" applyFont="1" applyAlignment="1">
      <alignment horizontal="center" vertical="center" readingOrder="1"/>
    </xf>
    <xf numFmtId="3" fontId="45" fillId="0" borderId="0" xfId="0" applyNumberFormat="1" applyFont="1"/>
    <xf numFmtId="3" fontId="29" fillId="0" borderId="0" xfId="0" applyNumberFormat="1" applyFont="1" applyAlignment="1">
      <alignment horizontal="center"/>
    </xf>
    <xf numFmtId="3" fontId="28" fillId="0" borderId="0" xfId="0" applyNumberFormat="1" applyFont="1" applyAlignment="1">
      <alignment horizontal="center"/>
    </xf>
    <xf numFmtId="3" fontId="51" fillId="0" borderId="0" xfId="0" applyNumberFormat="1" applyFont="1" applyAlignment="1">
      <alignment horizontal="center"/>
    </xf>
    <xf numFmtId="171" fontId="45" fillId="0" borderId="0" xfId="0" applyNumberFormat="1" applyFont="1"/>
    <xf numFmtId="171" fontId="28" fillId="0" borderId="0" xfId="0" applyNumberFormat="1" applyFont="1" applyAlignment="1">
      <alignment horizontal="center"/>
    </xf>
    <xf numFmtId="17" fontId="47" fillId="0" borderId="0" xfId="0" applyNumberFormat="1" applyFont="1" applyAlignment="1">
      <alignment horizontal="center" vertical="center" wrapText="1" readingOrder="1"/>
    </xf>
    <xf numFmtId="17" fontId="52" fillId="0" borderId="0" xfId="0" applyNumberFormat="1" applyFont="1" applyAlignment="1">
      <alignment horizontal="center" vertical="center" readingOrder="1"/>
    </xf>
    <xf numFmtId="171" fontId="53" fillId="0" borderId="0" xfId="0" applyNumberFormat="1" applyFont="1" applyAlignment="1">
      <alignment horizontal="center"/>
    </xf>
    <xf numFmtId="0" fontId="27" fillId="2" borderId="2" xfId="0" applyFont="1" applyFill="1" applyBorder="1" applyAlignment="1">
      <alignment horizontal="center" vertical="center" wrapText="1"/>
    </xf>
    <xf numFmtId="0" fontId="9" fillId="2" borderId="2" xfId="0" applyFont="1" applyFill="1" applyBorder="1" applyAlignment="1">
      <alignment horizontal="center" vertical="center"/>
    </xf>
    <xf numFmtId="0" fontId="48" fillId="5" borderId="2" xfId="0" applyFont="1" applyFill="1" applyBorder="1" applyAlignment="1">
      <alignment horizontal="left" vertical="center"/>
    </xf>
    <xf numFmtId="16" fontId="56" fillId="2" borderId="2" xfId="0" applyNumberFormat="1" applyFont="1" applyFill="1" applyBorder="1" applyAlignment="1">
      <alignment horizontal="center"/>
    </xf>
    <xf numFmtId="164" fontId="10" fillId="3" borderId="2" xfId="0" applyNumberFormat="1" applyFont="1" applyFill="1" applyBorder="1" applyAlignment="1">
      <alignment horizontal="center" vertical="center"/>
    </xf>
    <xf numFmtId="164" fontId="48" fillId="7" borderId="2" xfId="0" applyNumberFormat="1" applyFont="1" applyFill="1" applyBorder="1" applyAlignment="1">
      <alignment horizontal="center" vertical="center"/>
    </xf>
    <xf numFmtId="164" fontId="10" fillId="8" borderId="2" xfId="0" applyNumberFormat="1" applyFont="1" applyFill="1" applyBorder="1" applyAlignment="1">
      <alignment horizontal="center" vertical="center"/>
    </xf>
    <xf numFmtId="0" fontId="28" fillId="0" borderId="0" xfId="0" applyFont="1"/>
    <xf numFmtId="169" fontId="28" fillId="0" borderId="0" xfId="0" applyNumberFormat="1" applyFont="1"/>
    <xf numFmtId="169" fontId="45" fillId="0" borderId="0" xfId="0" applyNumberFormat="1" applyFont="1"/>
    <xf numFmtId="0" fontId="10" fillId="12" borderId="9" xfId="0" applyFont="1" applyFill="1" applyBorder="1" applyAlignment="1">
      <alignment horizontal="center" vertical="center"/>
    </xf>
    <xf numFmtId="17" fontId="38" fillId="13" borderId="9" xfId="0" applyNumberFormat="1" applyFont="1" applyFill="1" applyBorder="1" applyAlignment="1">
      <alignment horizontal="center" vertical="center" wrapText="1" readingOrder="1"/>
    </xf>
    <xf numFmtId="0" fontId="54" fillId="2" borderId="9" xfId="0" applyFont="1" applyFill="1" applyBorder="1" applyAlignment="1">
      <alignment horizontal="center"/>
    </xf>
    <xf numFmtId="3" fontId="11" fillId="10" borderId="9" xfId="0" applyNumberFormat="1" applyFont="1" applyFill="1" applyBorder="1" applyAlignment="1">
      <alignment horizontal="center"/>
    </xf>
    <xf numFmtId="0" fontId="10" fillId="2" borderId="9" xfId="0" applyFont="1" applyFill="1" applyBorder="1" applyAlignment="1">
      <alignment horizontal="center"/>
    </xf>
    <xf numFmtId="0" fontId="9" fillId="3" borderId="9" xfId="0" applyFont="1" applyFill="1" applyBorder="1" applyAlignment="1">
      <alignment horizontal="center" vertical="center"/>
    </xf>
    <xf numFmtId="0" fontId="46" fillId="10" borderId="9" xfId="0" applyFont="1" applyFill="1" applyBorder="1" applyAlignment="1">
      <alignment horizontal="center" vertical="center"/>
    </xf>
    <xf numFmtId="0" fontId="57" fillId="8" borderId="9" xfId="0" applyFont="1" applyFill="1" applyBorder="1" applyAlignment="1">
      <alignment horizontal="center" vertical="center"/>
    </xf>
    <xf numFmtId="0" fontId="18" fillId="10" borderId="9" xfId="0" applyFont="1" applyFill="1" applyBorder="1" applyAlignment="1">
      <alignment horizontal="center" vertical="center"/>
    </xf>
    <xf numFmtId="14" fontId="18" fillId="10" borderId="9" xfId="0" applyNumberFormat="1" applyFont="1" applyFill="1" applyBorder="1" applyAlignment="1">
      <alignment horizontal="center" vertical="center"/>
    </xf>
    <xf numFmtId="0" fontId="0" fillId="14" borderId="0" xfId="0" applyFill="1"/>
    <xf numFmtId="3" fontId="46" fillId="10" borderId="9" xfId="0" applyNumberFormat="1" applyFont="1" applyFill="1" applyBorder="1" applyAlignment="1">
      <alignment horizontal="center"/>
    </xf>
    <xf numFmtId="3" fontId="48" fillId="10" borderId="9" xfId="0" applyNumberFormat="1" applyFont="1" applyFill="1" applyBorder="1" applyAlignment="1">
      <alignment horizontal="center"/>
    </xf>
    <xf numFmtId="3" fontId="28" fillId="10" borderId="9" xfId="0" applyNumberFormat="1" applyFont="1" applyFill="1" applyBorder="1" applyAlignment="1">
      <alignment horizontal="center"/>
    </xf>
    <xf numFmtId="17" fontId="47" fillId="7" borderId="9" xfId="0" applyNumberFormat="1" applyFont="1" applyFill="1" applyBorder="1" applyAlignment="1">
      <alignment horizontal="center" vertical="center" wrapText="1" readingOrder="1"/>
    </xf>
    <xf numFmtId="3" fontId="27" fillId="2" borderId="9" xfId="0" applyNumberFormat="1" applyFont="1" applyFill="1" applyBorder="1" applyAlignment="1">
      <alignment horizontal="center"/>
    </xf>
    <xf numFmtId="0" fontId="0" fillId="2" borderId="0" xfId="0" applyFill="1"/>
    <xf numFmtId="0" fontId="14" fillId="4" borderId="2" xfId="1" applyFont="1" applyFill="1" applyBorder="1" applyAlignment="1">
      <alignment horizontal="left" vertical="center" wrapText="1"/>
    </xf>
    <xf numFmtId="0" fontId="53" fillId="5" borderId="2" xfId="1" applyFont="1" applyFill="1" applyBorder="1" applyAlignment="1">
      <alignment horizontal="center" vertical="center" wrapText="1"/>
    </xf>
    <xf numFmtId="0" fontId="57" fillId="2" borderId="0" xfId="1" applyFont="1" applyFill="1" applyAlignment="1">
      <alignment horizontal="center" vertical="center" wrapText="1"/>
    </xf>
    <xf numFmtId="0" fontId="57" fillId="2" borderId="2" xfId="1" applyFont="1" applyFill="1" applyBorder="1" applyAlignment="1">
      <alignment horizontal="center" vertical="center" wrapText="1"/>
    </xf>
    <xf numFmtId="0" fontId="57" fillId="2" borderId="8" xfId="1" applyFont="1" applyFill="1" applyBorder="1" applyAlignment="1">
      <alignment horizontal="center" vertical="center" wrapText="1"/>
    </xf>
    <xf numFmtId="0" fontId="10" fillId="2" borderId="2" xfId="1" applyFont="1" applyFill="1" applyBorder="1" applyAlignment="1">
      <alignment horizontal="center" vertical="center" wrapText="1"/>
    </xf>
    <xf numFmtId="0" fontId="13" fillId="0" borderId="0" xfId="0" applyFont="1"/>
    <xf numFmtId="0" fontId="9" fillId="2" borderId="0" xfId="0" applyFont="1" applyFill="1" applyAlignment="1">
      <alignment horizontal="center" vertical="center"/>
    </xf>
    <xf numFmtId="0" fontId="54" fillId="2" borderId="0" xfId="0" applyFont="1" applyFill="1" applyAlignment="1">
      <alignment horizontal="center" vertical="center"/>
    </xf>
    <xf numFmtId="0" fontId="63" fillId="5" borderId="0" xfId="0" applyFont="1" applyFill="1" applyAlignment="1">
      <alignment horizontal="center" vertical="center"/>
    </xf>
    <xf numFmtId="0" fontId="64" fillId="5" borderId="0" xfId="0" applyFont="1" applyFill="1" applyAlignment="1">
      <alignment horizontal="center" vertical="center"/>
    </xf>
    <xf numFmtId="0" fontId="66" fillId="0" borderId="0" xfId="0" applyFont="1"/>
    <xf numFmtId="0" fontId="67" fillId="5" borderId="10" xfId="0" applyFont="1" applyFill="1" applyBorder="1" applyAlignment="1">
      <alignment horizontal="left" vertical="center"/>
    </xf>
    <xf numFmtId="0" fontId="68" fillId="0" borderId="0" xfId="0" applyFont="1"/>
    <xf numFmtId="0" fontId="71" fillId="5" borderId="2" xfId="1" applyFont="1" applyFill="1" applyBorder="1" applyAlignment="1">
      <alignment horizontal="left" vertical="center" wrapText="1"/>
    </xf>
    <xf numFmtId="0" fontId="48" fillId="5" borderId="2" xfId="0" applyFont="1" applyFill="1" applyBorder="1" applyAlignment="1">
      <alignment horizontal="center" vertical="center" wrapText="1"/>
    </xf>
    <xf numFmtId="0" fontId="4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32" fillId="5" borderId="2" xfId="0" applyFont="1" applyFill="1" applyBorder="1" applyAlignment="1">
      <alignment horizontal="center" vertical="center" wrapText="1"/>
    </xf>
    <xf numFmtId="0" fontId="51" fillId="5" borderId="2" xfId="0" applyFont="1" applyFill="1" applyBorder="1" applyAlignment="1">
      <alignment horizontal="center" vertical="center" wrapText="1"/>
    </xf>
    <xf numFmtId="0" fontId="2" fillId="2" borderId="2" xfId="1" applyFont="1" applyFill="1" applyBorder="1" applyAlignment="1">
      <alignment horizontal="center" vertical="center" wrapText="1"/>
    </xf>
    <xf numFmtId="0" fontId="75" fillId="0" borderId="0" xfId="0" applyFont="1"/>
    <xf numFmtId="0" fontId="73" fillId="5" borderId="2" xfId="1" applyFont="1" applyFill="1" applyBorder="1" applyAlignment="1">
      <alignment horizontal="center" vertical="center" wrapText="1"/>
    </xf>
    <xf numFmtId="0" fontId="77" fillId="5" borderId="2" xfId="1" applyFont="1" applyFill="1" applyBorder="1" applyAlignment="1">
      <alignment horizontal="left" vertical="center" wrapText="1"/>
    </xf>
    <xf numFmtId="0" fontId="78" fillId="4" borderId="2" xfId="1" applyFont="1" applyFill="1" applyBorder="1" applyAlignment="1">
      <alignment horizontal="center" vertical="center" wrapText="1"/>
    </xf>
    <xf numFmtId="0" fontId="5" fillId="0" borderId="0" xfId="1" applyFont="1" applyAlignment="1">
      <alignment horizontal="center" vertical="center"/>
    </xf>
    <xf numFmtId="0" fontId="20" fillId="2" borderId="2" xfId="1" applyFont="1" applyFill="1" applyBorder="1" applyAlignment="1">
      <alignment horizontal="center" vertical="center" wrapText="1"/>
    </xf>
    <xf numFmtId="0" fontId="62" fillId="2" borderId="2" xfId="1" applyFont="1" applyFill="1" applyBorder="1" applyAlignment="1">
      <alignment horizontal="center" vertical="center" wrapText="1"/>
    </xf>
    <xf numFmtId="0" fontId="79" fillId="0" borderId="0" xfId="0" applyFont="1"/>
    <xf numFmtId="0" fontId="80" fillId="0" borderId="0" xfId="1" applyFont="1" applyAlignment="1">
      <alignment vertical="center"/>
    </xf>
    <xf numFmtId="0" fontId="2" fillId="2" borderId="1" xfId="0" applyFont="1" applyFill="1" applyBorder="1" applyAlignment="1">
      <alignment horizontal="center" vertical="center"/>
    </xf>
    <xf numFmtId="0" fontId="81" fillId="0" borderId="0" xfId="0" applyFont="1"/>
    <xf numFmtId="0" fontId="82" fillId="0" borderId="0" xfId="1" applyFont="1" applyAlignment="1">
      <alignment vertical="center"/>
    </xf>
    <xf numFmtId="0" fontId="14" fillId="2" borderId="2" xfId="1" applyFont="1" applyFill="1" applyBorder="1" applyAlignment="1">
      <alignment horizontal="center" vertical="center" wrapText="1"/>
    </xf>
    <xf numFmtId="0" fontId="57" fillId="9" borderId="2" xfId="0" applyFont="1" applyFill="1" applyBorder="1" applyAlignment="1">
      <alignment horizontal="center" vertical="center"/>
    </xf>
    <xf numFmtId="0" fontId="9" fillId="9" borderId="2" xfId="0" applyFont="1" applyFill="1" applyBorder="1" applyAlignment="1">
      <alignment horizontal="center" vertical="center"/>
    </xf>
    <xf numFmtId="0" fontId="0" fillId="5" borderId="2" xfId="0" applyFill="1" applyBorder="1" applyAlignment="1">
      <alignment horizontal="center"/>
    </xf>
    <xf numFmtId="0" fontId="0" fillId="0" borderId="2" xfId="0" applyBorder="1"/>
    <xf numFmtId="0" fontId="61" fillId="5" borderId="2" xfId="0" applyFont="1" applyFill="1" applyBorder="1"/>
    <xf numFmtId="0" fontId="0" fillId="0" borderId="2" xfId="0" applyBorder="1" applyAlignment="1">
      <alignment horizontal="left" indent="3"/>
    </xf>
    <xf numFmtId="0" fontId="0" fillId="15" borderId="2" xfId="0" applyFill="1" applyBorder="1" applyAlignment="1">
      <alignment horizontal="left" indent="2"/>
    </xf>
    <xf numFmtId="0" fontId="0" fillId="15" borderId="2" xfId="0" applyFill="1" applyBorder="1" applyAlignment="1">
      <alignment horizontal="left" indent="3"/>
    </xf>
    <xf numFmtId="0" fontId="83" fillId="0" borderId="0" xfId="0" applyFont="1" applyAlignment="1">
      <alignment horizontal="center"/>
    </xf>
    <xf numFmtId="0" fontId="45" fillId="0" borderId="0" xfId="0" applyFont="1" applyAlignment="1">
      <alignment horizontal="center"/>
    </xf>
    <xf numFmtId="0" fontId="0" fillId="0" borderId="0" xfId="0" applyAlignment="1">
      <alignment vertical="center"/>
    </xf>
    <xf numFmtId="0" fontId="20" fillId="2" borderId="11" xfId="1" applyFont="1" applyFill="1" applyBorder="1" applyAlignment="1">
      <alignment horizontal="center" vertical="center" wrapText="1"/>
    </xf>
    <xf numFmtId="0" fontId="85" fillId="17" borderId="15" xfId="0" applyFont="1" applyFill="1" applyBorder="1" applyAlignment="1">
      <alignment horizontal="left" vertical="center" wrapText="1" readingOrder="1"/>
    </xf>
    <xf numFmtId="0" fontId="85" fillId="16" borderId="15" xfId="0" applyFont="1" applyFill="1" applyBorder="1" applyAlignment="1">
      <alignment horizontal="left" vertical="center" wrapText="1" readingOrder="1"/>
    </xf>
    <xf numFmtId="0" fontId="85" fillId="16" borderId="16" xfId="0" applyFont="1" applyFill="1" applyBorder="1" applyAlignment="1">
      <alignment horizontal="left" vertical="center" wrapText="1" readingOrder="1"/>
    </xf>
    <xf numFmtId="0" fontId="85" fillId="17" borderId="16" xfId="0" applyFont="1" applyFill="1" applyBorder="1" applyAlignment="1">
      <alignment horizontal="left" vertical="center" wrapText="1" readingOrder="1"/>
    </xf>
    <xf numFmtId="0" fontId="18" fillId="5" borderId="2" xfId="1" applyFont="1" applyFill="1" applyBorder="1" applyAlignment="1">
      <alignment horizontal="center" vertical="center" wrapText="1"/>
    </xf>
    <xf numFmtId="0" fontId="87" fillId="16" borderId="16" xfId="0" applyFont="1" applyFill="1" applyBorder="1" applyAlignment="1">
      <alignment horizontal="center" vertical="center" wrapText="1" readingOrder="1"/>
    </xf>
    <xf numFmtId="0" fontId="86" fillId="17" borderId="15" xfId="0" applyFont="1" applyFill="1" applyBorder="1" applyAlignment="1">
      <alignment horizontal="center" vertical="center" wrapText="1" readingOrder="1"/>
    </xf>
    <xf numFmtId="0" fontId="86" fillId="16" borderId="16" xfId="0" applyFont="1" applyFill="1" applyBorder="1" applyAlignment="1">
      <alignment horizontal="center" vertical="center" wrapText="1" readingOrder="1"/>
    </xf>
    <xf numFmtId="164" fontId="9" fillId="11" borderId="2" xfId="0" applyNumberFormat="1" applyFont="1" applyFill="1" applyBorder="1" applyAlignment="1">
      <alignment horizontal="center" vertical="center"/>
    </xf>
    <xf numFmtId="0" fontId="60" fillId="4" borderId="2" xfId="0" applyFont="1" applyFill="1" applyBorder="1" applyAlignment="1">
      <alignment horizontal="center" vertical="center"/>
    </xf>
    <xf numFmtId="0" fontId="60" fillId="14" borderId="2" xfId="0" applyFont="1" applyFill="1" applyBorder="1" applyAlignment="1">
      <alignment vertical="center"/>
    </xf>
    <xf numFmtId="0" fontId="45" fillId="10" borderId="2" xfId="0" applyFont="1" applyFill="1" applyBorder="1" applyAlignment="1">
      <alignment vertical="center" wrapText="1"/>
    </xf>
    <xf numFmtId="0" fontId="45" fillId="10" borderId="2" xfId="0" applyFont="1" applyFill="1" applyBorder="1" applyAlignment="1">
      <alignment vertical="center"/>
    </xf>
    <xf numFmtId="0" fontId="45" fillId="10" borderId="2" xfId="0" applyFont="1" applyFill="1" applyBorder="1" applyAlignment="1">
      <alignment horizontal="left" vertical="center" indent="4"/>
    </xf>
    <xf numFmtId="0" fontId="90" fillId="18" borderId="2" xfId="0" applyFont="1" applyFill="1" applyBorder="1" applyAlignment="1">
      <alignment vertical="center" wrapText="1"/>
    </xf>
    <xf numFmtId="0" fontId="90" fillId="19" borderId="2" xfId="0" applyFont="1" applyFill="1" applyBorder="1" applyAlignment="1">
      <alignment vertical="center" wrapText="1"/>
    </xf>
    <xf numFmtId="0" fontId="46" fillId="0" borderId="2" xfId="0" applyFont="1" applyBorder="1" applyAlignment="1">
      <alignment vertical="center" wrapText="1"/>
    </xf>
    <xf numFmtId="0" fontId="61" fillId="0" borderId="0" xfId="0" applyFont="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xf>
    <xf numFmtId="0" fontId="60" fillId="2" borderId="2" xfId="0" applyFont="1" applyFill="1" applyBorder="1" applyAlignment="1">
      <alignment vertical="center"/>
    </xf>
    <xf numFmtId="0" fontId="91" fillId="0" borderId="0" xfId="6" applyAlignment="1">
      <alignment horizontal="center" vertical="center"/>
    </xf>
    <xf numFmtId="0" fontId="91" fillId="0" borderId="0" xfId="6" applyAlignment="1">
      <alignment horizontal="center" vertical="center" wrapText="1"/>
    </xf>
    <xf numFmtId="0" fontId="91" fillId="0" borderId="2" xfId="6" applyBorder="1"/>
    <xf numFmtId="0" fontId="91" fillId="0" borderId="0" xfId="6"/>
    <xf numFmtId="0" fontId="91" fillId="0" borderId="0" xfId="6" applyAlignment="1">
      <alignment horizontal="center"/>
    </xf>
    <xf numFmtId="0" fontId="92" fillId="2" borderId="2" xfId="6" applyFont="1" applyFill="1" applyBorder="1" applyAlignment="1">
      <alignment horizontal="center" vertical="center" wrapText="1"/>
    </xf>
    <xf numFmtId="0" fontId="92" fillId="2" borderId="0" xfId="6" applyFont="1" applyFill="1" applyAlignment="1">
      <alignment horizontal="center" vertical="center"/>
    </xf>
    <xf numFmtId="0" fontId="84" fillId="5" borderId="10" xfId="1" applyFont="1" applyFill="1" applyBorder="1" applyAlignment="1">
      <alignment horizontal="center" vertical="center" wrapText="1"/>
    </xf>
    <xf numFmtId="0" fontId="94" fillId="0" borderId="0" xfId="0" applyFont="1" applyAlignment="1">
      <alignment horizontal="center"/>
    </xf>
    <xf numFmtId="0" fontId="95" fillId="5" borderId="10" xfId="1" applyFont="1" applyFill="1" applyBorder="1" applyAlignment="1">
      <alignment horizontal="center" vertical="center" wrapText="1"/>
    </xf>
    <xf numFmtId="0" fontId="9" fillId="3" borderId="10" xfId="1" applyFont="1" applyFill="1" applyBorder="1" applyAlignment="1">
      <alignment horizontal="center" vertical="center" wrapText="1"/>
    </xf>
    <xf numFmtId="0" fontId="21" fillId="2" borderId="0" xfId="0" applyFont="1" applyFill="1" applyAlignment="1">
      <alignment vertical="center"/>
    </xf>
    <xf numFmtId="0" fontId="96" fillId="0" borderId="0" xfId="1" applyFont="1" applyAlignment="1">
      <alignment vertical="center"/>
    </xf>
    <xf numFmtId="0" fontId="97" fillId="5" borderId="10" xfId="1" applyFont="1" applyFill="1" applyBorder="1" applyAlignment="1">
      <alignment horizontal="left" vertical="center" wrapText="1"/>
    </xf>
    <xf numFmtId="0" fontId="9" fillId="4" borderId="10" xfId="1" applyFont="1" applyFill="1" applyBorder="1" applyAlignment="1">
      <alignment horizontal="center" vertical="center" wrapText="1"/>
    </xf>
    <xf numFmtId="0" fontId="65" fillId="7" borderId="0" xfId="0" applyFont="1" applyFill="1" applyAlignment="1">
      <alignment horizontal="center" vertical="center"/>
    </xf>
    <xf numFmtId="0" fontId="21" fillId="2" borderId="2" xfId="1" applyFont="1" applyFill="1" applyBorder="1" applyAlignment="1">
      <alignment horizontal="center" vertical="center" wrapText="1"/>
    </xf>
    <xf numFmtId="0" fontId="19" fillId="5" borderId="2" xfId="0" applyFont="1" applyFill="1" applyBorder="1" applyAlignment="1">
      <alignment horizontal="center" vertical="center" wrapText="1"/>
    </xf>
    <xf numFmtId="164" fontId="98" fillId="7" borderId="0" xfId="0" applyNumberFormat="1" applyFont="1" applyFill="1" applyAlignment="1">
      <alignment horizontal="center" vertical="center"/>
    </xf>
    <xf numFmtId="0" fontId="98" fillId="5" borderId="10" xfId="1" applyFont="1" applyFill="1" applyBorder="1" applyAlignment="1">
      <alignment horizontal="center" vertical="center" wrapText="1"/>
    </xf>
    <xf numFmtId="0" fontId="2" fillId="12" borderId="10" xfId="1" applyFont="1" applyFill="1" applyBorder="1" applyAlignment="1">
      <alignment horizontal="center" vertical="center" wrapText="1"/>
    </xf>
    <xf numFmtId="0" fontId="22" fillId="2" borderId="2" xfId="1" applyFont="1" applyFill="1" applyBorder="1" applyAlignment="1">
      <alignment horizontal="center" vertical="center" wrapText="1"/>
    </xf>
    <xf numFmtId="0" fontId="100" fillId="5" borderId="10" xfId="1" applyFont="1" applyFill="1" applyBorder="1" applyAlignment="1">
      <alignment horizontal="center" vertical="center" wrapText="1"/>
    </xf>
    <xf numFmtId="0" fontId="101" fillId="0" borderId="0" xfId="0" applyFont="1"/>
    <xf numFmtId="0" fontId="102" fillId="0" borderId="0" xfId="1" applyFont="1" applyAlignment="1">
      <alignment vertical="center"/>
    </xf>
    <xf numFmtId="172" fontId="73" fillId="5" borderId="10" xfId="7" applyNumberFormat="1" applyFont="1" applyFill="1" applyBorder="1" applyAlignment="1">
      <alignment horizontal="center" vertical="center" wrapText="1"/>
    </xf>
    <xf numFmtId="172" fontId="103" fillId="5" borderId="10" xfId="7" applyNumberFormat="1" applyFont="1" applyFill="1" applyBorder="1" applyAlignment="1">
      <alignment horizontal="center" vertical="center" wrapText="1"/>
    </xf>
    <xf numFmtId="0" fontId="99" fillId="2" borderId="18" xfId="0" applyFont="1" applyFill="1" applyBorder="1" applyAlignment="1">
      <alignment horizontal="center" vertical="center" wrapText="1" readingOrder="1"/>
    </xf>
    <xf numFmtId="0" fontId="104" fillId="5" borderId="10" xfId="1" applyFont="1" applyFill="1" applyBorder="1" applyAlignment="1">
      <alignment horizontal="center" vertical="center" wrapText="1"/>
    </xf>
    <xf numFmtId="0" fontId="102" fillId="2" borderId="0" xfId="1" applyFont="1" applyFill="1" applyAlignment="1">
      <alignment vertical="center"/>
    </xf>
    <xf numFmtId="0" fontId="17" fillId="2" borderId="0" xfId="1" applyFont="1" applyFill="1" applyAlignment="1">
      <alignment vertical="center"/>
    </xf>
    <xf numFmtId="0" fontId="105" fillId="16" borderId="18" xfId="0" applyFont="1" applyFill="1" applyBorder="1" applyAlignment="1">
      <alignment horizontal="left" vertical="center" wrapText="1" readingOrder="1"/>
    </xf>
    <xf numFmtId="0" fontId="105" fillId="16" borderId="28" xfId="0" applyFont="1" applyFill="1" applyBorder="1" applyAlignment="1">
      <alignment horizontal="left" vertical="center" wrapText="1" readingOrder="1"/>
    </xf>
    <xf numFmtId="0" fontId="105" fillId="16" borderId="29" xfId="0" applyFont="1" applyFill="1" applyBorder="1" applyAlignment="1">
      <alignment horizontal="left" vertical="center" wrapText="1" readingOrder="1"/>
    </xf>
    <xf numFmtId="0" fontId="105" fillId="17" borderId="16" xfId="0" applyFont="1" applyFill="1" applyBorder="1" applyAlignment="1">
      <alignment horizontal="left" vertical="center" wrapText="1" readingOrder="1"/>
    </xf>
    <xf numFmtId="0" fontId="105" fillId="16" borderId="16" xfId="0" applyFont="1" applyFill="1" applyBorder="1" applyAlignment="1">
      <alignment horizontal="left" vertical="center" wrapText="1" readingOrder="1"/>
    </xf>
    <xf numFmtId="0" fontId="106" fillId="2" borderId="18" xfId="0" applyFont="1" applyFill="1" applyBorder="1" applyAlignment="1">
      <alignment horizontal="center" vertical="center" wrapText="1" readingOrder="1"/>
    </xf>
    <xf numFmtId="0" fontId="108" fillId="2" borderId="18" xfId="0" applyFont="1" applyFill="1" applyBorder="1" applyAlignment="1">
      <alignment horizontal="center" vertical="center" wrapText="1" readingOrder="1"/>
    </xf>
    <xf numFmtId="0" fontId="109" fillId="16" borderId="18" xfId="0" applyFont="1" applyFill="1" applyBorder="1" applyAlignment="1">
      <alignment horizontal="center" vertical="center" wrapText="1"/>
    </xf>
    <xf numFmtId="0" fontId="109" fillId="16" borderId="15" xfId="0" applyFont="1" applyFill="1" applyBorder="1" applyAlignment="1">
      <alignment horizontal="center" vertical="center" wrapText="1"/>
    </xf>
    <xf numFmtId="0" fontId="109" fillId="16" borderId="16" xfId="0" applyFont="1" applyFill="1" applyBorder="1" applyAlignment="1">
      <alignment horizontal="center" vertical="center" wrapText="1"/>
    </xf>
    <xf numFmtId="0" fontId="109" fillId="17" borderId="16" xfId="0" applyFont="1" applyFill="1" applyBorder="1" applyAlignment="1">
      <alignment horizontal="center" vertical="center" wrapText="1"/>
    </xf>
    <xf numFmtId="0" fontId="111" fillId="0" borderId="0" xfId="0" applyFont="1" applyAlignment="1">
      <alignment horizontal="center"/>
    </xf>
    <xf numFmtId="0" fontId="112" fillId="0" borderId="0" xfId="0" applyFont="1" applyAlignment="1">
      <alignment horizontal="center"/>
    </xf>
    <xf numFmtId="0" fontId="113" fillId="0" borderId="0" xfId="0" applyFont="1"/>
    <xf numFmtId="0" fontId="114" fillId="10" borderId="10" xfId="1" applyFont="1" applyFill="1" applyBorder="1" applyAlignment="1">
      <alignment horizontal="left" vertical="center" wrapText="1"/>
    </xf>
    <xf numFmtId="0" fontId="57" fillId="4" borderId="10" xfId="1" applyFont="1" applyFill="1" applyBorder="1" applyAlignment="1">
      <alignment horizontal="left" vertical="center" wrapText="1"/>
    </xf>
    <xf numFmtId="0" fontId="6" fillId="4" borderId="10" xfId="1" applyFont="1" applyFill="1" applyBorder="1" applyAlignment="1">
      <alignment horizontal="left" vertical="center" wrapText="1"/>
    </xf>
    <xf numFmtId="0" fontId="18" fillId="10" borderId="2" xfId="0" applyFont="1" applyFill="1" applyBorder="1" applyAlignment="1">
      <alignment vertical="center" wrapText="1"/>
    </xf>
    <xf numFmtId="0" fontId="9" fillId="4" borderId="2" xfId="0" applyFont="1" applyFill="1" applyBorder="1" applyAlignment="1">
      <alignment horizontal="center" vertical="center"/>
    </xf>
    <xf numFmtId="0" fontId="6" fillId="2" borderId="2" xfId="1" applyFont="1" applyFill="1" applyBorder="1" applyAlignment="1">
      <alignment horizontal="center" vertical="center" wrapText="1"/>
    </xf>
    <xf numFmtId="0" fontId="57" fillId="8" borderId="10" xfId="1" applyFont="1" applyFill="1" applyBorder="1" applyAlignment="1">
      <alignment horizontal="left" vertical="center" wrapText="1"/>
    </xf>
    <xf numFmtId="0" fontId="57" fillId="3" borderId="10" xfId="1" applyFont="1" applyFill="1" applyBorder="1" applyAlignment="1">
      <alignment horizontal="left" vertical="center" wrapText="1"/>
    </xf>
    <xf numFmtId="0" fontId="117" fillId="10" borderId="10" xfId="1" applyFont="1" applyFill="1" applyBorder="1" applyAlignment="1">
      <alignment horizontal="left" vertical="center" wrapText="1"/>
    </xf>
    <xf numFmtId="0" fontId="116" fillId="10" borderId="10" xfId="1" applyFont="1" applyFill="1" applyBorder="1" applyAlignment="1">
      <alignment horizontal="left" vertical="center" wrapText="1"/>
    </xf>
    <xf numFmtId="0" fontId="32" fillId="10" borderId="10" xfId="1" applyFont="1" applyFill="1" applyBorder="1" applyAlignment="1">
      <alignment horizontal="left" vertical="center" wrapText="1"/>
    </xf>
    <xf numFmtId="0" fontId="57" fillId="2" borderId="10" xfId="1" applyFont="1" applyFill="1" applyBorder="1" applyAlignment="1">
      <alignment horizontal="left" vertical="center" wrapText="1"/>
    </xf>
    <xf numFmtId="0" fontId="20" fillId="12" borderId="10" xfId="1" applyFont="1" applyFill="1" applyBorder="1" applyAlignment="1">
      <alignment horizontal="center" vertical="center" wrapText="1"/>
    </xf>
    <xf numFmtId="0" fontId="21" fillId="21" borderId="2" xfId="1" applyFont="1" applyFill="1" applyBorder="1" applyAlignment="1">
      <alignment horizontal="center" vertical="center" wrapText="1"/>
    </xf>
    <xf numFmtId="0" fontId="62" fillId="21" borderId="2" xfId="1" applyFont="1" applyFill="1" applyBorder="1" applyAlignment="1">
      <alignment horizontal="center" vertical="center" wrapText="1"/>
    </xf>
    <xf numFmtId="0" fontId="20" fillId="21" borderId="10" xfId="1" applyFont="1" applyFill="1" applyBorder="1" applyAlignment="1">
      <alignment horizontal="center" vertical="center" wrapText="1"/>
    </xf>
    <xf numFmtId="0" fontId="20" fillId="21" borderId="2" xfId="1" applyFont="1" applyFill="1" applyBorder="1" applyAlignment="1">
      <alignment horizontal="center" vertical="center" wrapText="1"/>
    </xf>
    <xf numFmtId="0" fontId="9" fillId="21" borderId="2" xfId="1" applyFont="1" applyFill="1" applyBorder="1" applyAlignment="1">
      <alignment horizontal="center" vertical="center" wrapText="1"/>
    </xf>
    <xf numFmtId="0" fontId="97" fillId="5" borderId="2" xfId="0" applyFont="1" applyFill="1" applyBorder="1" applyAlignment="1">
      <alignment horizontal="center" vertical="center" wrapText="1"/>
    </xf>
    <xf numFmtId="0" fontId="20" fillId="2" borderId="2" xfId="1" applyFont="1" applyFill="1" applyBorder="1" applyAlignment="1">
      <alignment horizontal="left" vertical="center" wrapText="1"/>
    </xf>
    <xf numFmtId="0" fontId="32" fillId="22" borderId="10" xfId="1" applyFont="1" applyFill="1" applyBorder="1" applyAlignment="1">
      <alignment horizontal="left" vertical="center" wrapText="1"/>
    </xf>
    <xf numFmtId="0" fontId="74" fillId="22" borderId="10" xfId="1" applyFont="1" applyFill="1" applyBorder="1" applyAlignment="1">
      <alignment horizontal="center" vertical="center" wrapText="1"/>
    </xf>
    <xf numFmtId="0" fontId="73" fillId="22" borderId="10" xfId="1" applyFont="1" applyFill="1" applyBorder="1" applyAlignment="1">
      <alignment horizontal="center" vertical="center" wrapText="1"/>
    </xf>
    <xf numFmtId="0" fontId="32" fillId="23" borderId="10" xfId="1" applyFont="1" applyFill="1" applyBorder="1" applyAlignment="1">
      <alignment horizontal="left" vertical="center" wrapText="1"/>
    </xf>
    <xf numFmtId="0" fontId="32" fillId="24" borderId="10" xfId="1" applyFont="1" applyFill="1" applyBorder="1" applyAlignment="1">
      <alignment horizontal="left" vertical="center" wrapText="1"/>
    </xf>
    <xf numFmtId="0" fontId="82" fillId="2" borderId="0" xfId="1" applyFont="1" applyFill="1" applyAlignment="1">
      <alignment vertical="center"/>
    </xf>
    <xf numFmtId="0" fontId="73" fillId="10" borderId="10" xfId="1" applyFont="1" applyFill="1" applyBorder="1" applyAlignment="1">
      <alignment horizontal="center" vertical="center" wrapText="1"/>
    </xf>
    <xf numFmtId="0" fontId="9" fillId="2" borderId="0" xfId="1" applyFont="1" applyFill="1" applyAlignment="1">
      <alignment horizontal="center" vertical="center" wrapText="1"/>
    </xf>
    <xf numFmtId="0" fontId="122" fillId="0" borderId="0" xfId="0" applyFont="1"/>
    <xf numFmtId="0" fontId="115" fillId="0" borderId="2" xfId="0" applyFont="1" applyBorder="1" applyAlignment="1">
      <alignment horizontal="center" vertical="center"/>
    </xf>
    <xf numFmtId="0" fontId="61" fillId="5" borderId="2" xfId="0" applyFont="1" applyFill="1" applyBorder="1" applyAlignment="1">
      <alignment horizontal="left" vertical="justify"/>
    </xf>
    <xf numFmtId="0" fontId="123" fillId="8" borderId="2" xfId="0" applyFont="1" applyFill="1" applyBorder="1" applyAlignment="1">
      <alignment horizontal="left" vertical="justify"/>
    </xf>
    <xf numFmtId="0" fontId="123" fillId="3" borderId="2" xfId="0" applyFont="1" applyFill="1" applyBorder="1" applyAlignment="1">
      <alignment horizontal="left" vertical="justify" wrapText="1"/>
    </xf>
    <xf numFmtId="0" fontId="123" fillId="3" borderId="2" xfId="0" applyFont="1" applyFill="1" applyBorder="1" applyAlignment="1">
      <alignment horizontal="left" vertical="justify"/>
    </xf>
    <xf numFmtId="0" fontId="0" fillId="10" borderId="2" xfId="0" applyFill="1" applyBorder="1" applyAlignment="1">
      <alignment horizontal="left" vertical="justify" wrapText="1"/>
    </xf>
    <xf numFmtId="0" fontId="124" fillId="5" borderId="2" xfId="0" applyFont="1" applyFill="1" applyBorder="1" applyAlignment="1">
      <alignment horizontal="center" vertical="center" wrapText="1"/>
    </xf>
    <xf numFmtId="0" fontId="124" fillId="5" borderId="2" xfId="1" applyFont="1" applyFill="1" applyBorder="1" applyAlignment="1">
      <alignment horizontal="left" vertical="center" wrapText="1"/>
    </xf>
    <xf numFmtId="0" fontId="21" fillId="2" borderId="2" xfId="1" applyFont="1" applyFill="1" applyBorder="1" applyAlignment="1">
      <alignment horizontal="left" vertical="center" wrapText="1"/>
    </xf>
    <xf numFmtId="0" fontId="98" fillId="5" borderId="2" xfId="1" applyFont="1" applyFill="1" applyBorder="1" applyAlignment="1">
      <alignment horizontal="center" vertical="center" wrapText="1"/>
    </xf>
    <xf numFmtId="0" fontId="74" fillId="5" borderId="2" xfId="1" applyFont="1" applyFill="1" applyBorder="1" applyAlignment="1">
      <alignment horizontal="center" vertical="center" wrapText="1"/>
    </xf>
    <xf numFmtId="0" fontId="124" fillId="5" borderId="2" xfId="1" applyFont="1" applyFill="1" applyBorder="1" applyAlignment="1">
      <alignment horizontal="center" vertical="center" wrapText="1"/>
    </xf>
    <xf numFmtId="0" fontId="20" fillId="3" borderId="2" xfId="1" applyFont="1" applyFill="1" applyBorder="1" applyAlignment="1">
      <alignment horizontal="center" vertical="center" wrapText="1"/>
    </xf>
    <xf numFmtId="0" fontId="124" fillId="7" borderId="2" xfId="1" applyFont="1" applyFill="1" applyBorder="1" applyAlignment="1">
      <alignment horizontal="center" vertical="center" wrapText="1"/>
    </xf>
    <xf numFmtId="0" fontId="20" fillId="8" borderId="2" xfId="1" applyFont="1" applyFill="1" applyBorder="1" applyAlignment="1">
      <alignment horizontal="center" vertical="center" wrapText="1"/>
    </xf>
    <xf numFmtId="173" fontId="74" fillId="5" borderId="2" xfId="1" applyNumberFormat="1" applyFont="1" applyFill="1" applyBorder="1" applyAlignment="1">
      <alignment horizontal="center" vertical="center" wrapText="1"/>
    </xf>
    <xf numFmtId="0" fontId="62" fillId="2" borderId="2" xfId="0" applyFont="1" applyFill="1" applyBorder="1" applyAlignment="1">
      <alignment horizontal="center" vertical="center"/>
    </xf>
    <xf numFmtId="0" fontId="38" fillId="13" borderId="7" xfId="0" applyFont="1" applyFill="1" applyBorder="1" applyAlignment="1">
      <alignment horizontal="center" vertical="center" wrapText="1" readingOrder="1"/>
    </xf>
    <xf numFmtId="0" fontId="85" fillId="5" borderId="7" xfId="0" applyFont="1" applyFill="1" applyBorder="1" applyAlignment="1">
      <alignment horizontal="left" vertical="center" wrapText="1" readingOrder="1"/>
    </xf>
    <xf numFmtId="167" fontId="109" fillId="10" borderId="7" xfId="5" applyNumberFormat="1" applyFont="1" applyFill="1" applyBorder="1" applyAlignment="1">
      <alignment horizontal="center" vertical="center" wrapText="1"/>
    </xf>
    <xf numFmtId="174" fontId="44" fillId="5" borderId="7" xfId="8" applyNumberFormat="1" applyFont="1" applyFill="1" applyBorder="1" applyAlignment="1">
      <alignment horizontal="center" vertical="center" wrapText="1"/>
    </xf>
    <xf numFmtId="167" fontId="44" fillId="5" borderId="7" xfId="5" applyNumberFormat="1" applyFont="1" applyFill="1" applyBorder="1" applyAlignment="1">
      <alignment horizontal="center" vertical="center" wrapText="1"/>
    </xf>
    <xf numFmtId="0" fontId="127" fillId="13" borderId="7" xfId="0" applyFont="1" applyFill="1" applyBorder="1" applyAlignment="1">
      <alignment horizontal="center" vertical="center" wrapText="1"/>
    </xf>
    <xf numFmtId="167" fontId="128" fillId="10" borderId="7" xfId="5" applyNumberFormat="1" applyFont="1" applyFill="1" applyBorder="1" applyAlignment="1">
      <alignment horizontal="center" vertical="center" wrapText="1"/>
    </xf>
    <xf numFmtId="174" fontId="128" fillId="10" borderId="7" xfId="8" applyNumberFormat="1" applyFont="1" applyFill="1" applyBorder="1" applyAlignment="1">
      <alignment horizontal="center" vertical="center" wrapText="1"/>
    </xf>
    <xf numFmtId="167" fontId="129" fillId="10" borderId="7" xfId="5" applyNumberFormat="1" applyFont="1" applyFill="1" applyBorder="1" applyAlignment="1">
      <alignment horizontal="center" vertical="center" wrapText="1"/>
    </xf>
    <xf numFmtId="0" fontId="18" fillId="5" borderId="10" xfId="0" applyFont="1" applyFill="1" applyBorder="1" applyAlignment="1">
      <alignment horizontal="center" vertical="center" wrapText="1"/>
    </xf>
    <xf numFmtId="167" fontId="125" fillId="5" borderId="10" xfId="5" applyNumberFormat="1" applyFont="1" applyFill="1" applyBorder="1" applyAlignment="1">
      <alignment horizontal="center" vertical="center" wrapText="1"/>
    </xf>
    <xf numFmtId="0" fontId="126" fillId="13" borderId="7" xfId="0" applyFont="1" applyFill="1" applyBorder="1" applyAlignment="1">
      <alignment horizontal="center" vertical="center" wrapText="1" readingOrder="1"/>
    </xf>
    <xf numFmtId="167" fontId="109" fillId="5" borderId="7" xfId="5" applyNumberFormat="1" applyFont="1" applyFill="1" applyBorder="1" applyAlignment="1">
      <alignment horizontal="center" vertical="center" wrapText="1"/>
    </xf>
    <xf numFmtId="0" fontId="85" fillId="10" borderId="7" xfId="0" applyFont="1" applyFill="1" applyBorder="1" applyAlignment="1">
      <alignment horizontal="left" vertical="center" wrapText="1" readingOrder="1"/>
    </xf>
    <xf numFmtId="0" fontId="131" fillId="13" borderId="7" xfId="0" applyFont="1" applyFill="1" applyBorder="1" applyAlignment="1">
      <alignment horizontal="center" vertical="center" wrapText="1" readingOrder="1"/>
    </xf>
    <xf numFmtId="0" fontId="134" fillId="13" borderId="7" xfId="0" applyFont="1" applyFill="1" applyBorder="1" applyAlignment="1">
      <alignment horizontal="center" vertical="center" wrapText="1" readingOrder="1"/>
    </xf>
    <xf numFmtId="167" fontId="135" fillId="12" borderId="7" xfId="5" applyNumberFormat="1" applyFont="1" applyFill="1" applyBorder="1" applyAlignment="1">
      <alignment horizontal="center" vertical="center" wrapText="1"/>
    </xf>
    <xf numFmtId="167" fontId="135" fillId="14" borderId="7" xfId="5" applyNumberFormat="1" applyFont="1" applyFill="1" applyBorder="1" applyAlignment="1">
      <alignment horizontal="center" vertical="center" wrapText="1"/>
    </xf>
    <xf numFmtId="174" fontId="135" fillId="12" borderId="7" xfId="8" applyNumberFormat="1" applyFont="1" applyFill="1" applyBorder="1" applyAlignment="1">
      <alignment horizontal="center" vertical="center" wrapText="1"/>
    </xf>
    <xf numFmtId="0" fontId="36" fillId="13" borderId="40" xfId="0" applyFont="1" applyFill="1" applyBorder="1" applyAlignment="1">
      <alignment horizontal="center" vertical="center" wrapText="1"/>
    </xf>
    <xf numFmtId="0" fontId="38" fillId="13" borderId="40" xfId="0" applyFont="1" applyFill="1" applyBorder="1" applyAlignment="1">
      <alignment horizontal="center" vertical="center" wrapText="1" readingOrder="1"/>
    </xf>
    <xf numFmtId="1" fontId="39" fillId="5" borderId="40" xfId="2" applyNumberFormat="1" applyFont="1" applyFill="1" applyBorder="1" applyAlignment="1">
      <alignment horizontal="center" vertical="center" wrapText="1" readingOrder="1"/>
    </xf>
    <xf numFmtId="0" fontId="85" fillId="5" borderId="40" xfId="0" applyFont="1" applyFill="1" applyBorder="1" applyAlignment="1">
      <alignment horizontal="left" vertical="center" wrapText="1" readingOrder="1"/>
    </xf>
    <xf numFmtId="167" fontId="109" fillId="10" borderId="40" xfId="5" applyNumberFormat="1" applyFont="1" applyFill="1" applyBorder="1" applyAlignment="1">
      <alignment horizontal="center" vertical="center" wrapText="1"/>
    </xf>
    <xf numFmtId="9" fontId="86" fillId="10" borderId="40" xfId="8" applyFont="1" applyFill="1" applyBorder="1" applyAlignment="1">
      <alignment horizontal="center" vertical="center" wrapText="1" readingOrder="1"/>
    </xf>
    <xf numFmtId="9" fontId="109" fillId="10" borderId="40" xfId="8" applyFont="1" applyFill="1" applyBorder="1" applyAlignment="1">
      <alignment horizontal="center" vertical="center" wrapText="1"/>
    </xf>
    <xf numFmtId="9" fontId="109" fillId="10" borderId="7" xfId="8" applyFont="1" applyFill="1" applyBorder="1" applyAlignment="1">
      <alignment horizontal="center" vertical="center" wrapText="1"/>
    </xf>
    <xf numFmtId="9" fontId="39" fillId="5" borderId="7" xfId="8" applyFont="1" applyFill="1" applyBorder="1" applyAlignment="1">
      <alignment horizontal="center" vertical="center" wrapText="1" readingOrder="1"/>
    </xf>
    <xf numFmtId="0" fontId="136" fillId="0" borderId="0" xfId="0" applyFont="1" applyAlignment="1">
      <alignment horizontal="center"/>
    </xf>
    <xf numFmtId="0" fontId="137" fillId="0" borderId="0" xfId="0" applyFont="1" applyAlignment="1">
      <alignment horizontal="center"/>
    </xf>
    <xf numFmtId="4" fontId="138" fillId="0" borderId="0" xfId="0" applyNumberFormat="1" applyFont="1" applyAlignment="1">
      <alignment horizontal="left" vertical="center"/>
    </xf>
    <xf numFmtId="4" fontId="138" fillId="0" borderId="0" xfId="0" applyNumberFormat="1" applyFont="1" applyAlignment="1">
      <alignment horizontal="center" vertical="center"/>
    </xf>
    <xf numFmtId="0" fontId="124" fillId="5" borderId="10" xfId="0" applyFont="1" applyFill="1" applyBorder="1"/>
    <xf numFmtId="172" fontId="124" fillId="25" borderId="10" xfId="7" applyNumberFormat="1" applyFont="1" applyFill="1" applyBorder="1" applyAlignment="1">
      <alignment horizontal="center" vertical="center"/>
    </xf>
    <xf numFmtId="172" fontId="124" fillId="26" borderId="10" xfId="7" applyNumberFormat="1" applyFont="1" applyFill="1" applyBorder="1" applyAlignment="1">
      <alignment horizontal="center" vertical="center"/>
    </xf>
    <xf numFmtId="0" fontId="139" fillId="0" borderId="0" xfId="1" applyFont="1" applyAlignment="1">
      <alignment vertical="center"/>
    </xf>
    <xf numFmtId="172" fontId="22" fillId="2" borderId="10" xfId="7" applyNumberFormat="1" applyFont="1" applyFill="1" applyBorder="1" applyAlignment="1">
      <alignment horizontal="center" vertical="center"/>
    </xf>
    <xf numFmtId="9" fontId="22" fillId="2" borderId="10" xfId="8" applyFont="1" applyFill="1" applyBorder="1" applyAlignment="1">
      <alignment horizontal="center" vertical="center"/>
    </xf>
    <xf numFmtId="0" fontId="11" fillId="11" borderId="0" xfId="3" applyFont="1" applyFill="1"/>
    <xf numFmtId="0" fontId="3" fillId="11" borderId="0" xfId="3" applyFont="1" applyFill="1"/>
    <xf numFmtId="0" fontId="11" fillId="0" borderId="0" xfId="3" applyFont="1"/>
    <xf numFmtId="0" fontId="11" fillId="11" borderId="0" xfId="3" applyFont="1" applyFill="1" applyAlignment="1">
      <alignment horizontal="center" vertical="center"/>
    </xf>
    <xf numFmtId="0" fontId="11" fillId="11" borderId="0" xfId="3" applyFont="1" applyFill="1" applyAlignment="1">
      <alignment horizontal="center"/>
    </xf>
    <xf numFmtId="0" fontId="11" fillId="11" borderId="0" xfId="3" applyFont="1" applyFill="1" applyProtection="1">
      <protection locked="0"/>
    </xf>
    <xf numFmtId="0" fontId="144" fillId="2" borderId="41" xfId="3" applyFont="1" applyFill="1" applyBorder="1" applyAlignment="1">
      <alignment vertical="center" wrapText="1"/>
    </xf>
    <xf numFmtId="0" fontId="6" fillId="2" borderId="42" xfId="3" applyFont="1" applyFill="1" applyBorder="1" applyAlignment="1">
      <alignment horizontal="centerContinuous" vertical="center"/>
    </xf>
    <xf numFmtId="0" fontId="6" fillId="2" borderId="43" xfId="3" applyFont="1" applyFill="1" applyBorder="1" applyAlignment="1">
      <alignment horizontal="centerContinuous" vertical="center"/>
    </xf>
    <xf numFmtId="0" fontId="54" fillId="8" borderId="0" xfId="3" applyFont="1" applyFill="1"/>
    <xf numFmtId="0" fontId="27" fillId="8" borderId="0" xfId="3" applyFont="1" applyFill="1" applyAlignment="1">
      <alignment horizontal="center" vertical="center"/>
    </xf>
    <xf numFmtId="0" fontId="54" fillId="3" borderId="0" xfId="3" applyFont="1" applyFill="1" applyAlignment="1">
      <alignment vertical="center"/>
    </xf>
    <xf numFmtId="4" fontId="27" fillId="3" borderId="0" xfId="2" applyNumberFormat="1" applyFont="1" applyFill="1" applyBorder="1" applyAlignment="1" applyProtection="1">
      <alignment horizontal="center" vertical="center"/>
    </xf>
    <xf numFmtId="0" fontId="57" fillId="2" borderId="42" xfId="3" applyFont="1" applyFill="1" applyBorder="1" applyAlignment="1">
      <alignment horizontal="centerContinuous"/>
    </xf>
    <xf numFmtId="0" fontId="57" fillId="2" borderId="43" xfId="3" applyFont="1" applyFill="1" applyBorder="1" applyAlignment="1">
      <alignment horizontal="centerContinuous"/>
    </xf>
    <xf numFmtId="0" fontId="27" fillId="2" borderId="45" xfId="3" applyFont="1" applyFill="1" applyBorder="1" applyAlignment="1">
      <alignment horizontal="center"/>
    </xf>
    <xf numFmtId="0" fontId="27" fillId="2" borderId="46" xfId="3" applyFont="1" applyFill="1" applyBorder="1" applyAlignment="1">
      <alignment horizontal="center"/>
    </xf>
    <xf numFmtId="0" fontId="28" fillId="2" borderId="44" xfId="3" applyFont="1" applyFill="1" applyBorder="1" applyAlignment="1">
      <alignment vertical="center" wrapText="1"/>
    </xf>
    <xf numFmtId="0" fontId="19" fillId="5" borderId="10" xfId="0" applyFont="1" applyFill="1" applyBorder="1" applyAlignment="1">
      <alignment horizontal="center" vertical="center" wrapText="1"/>
    </xf>
    <xf numFmtId="167" fontId="128" fillId="5" borderId="7" xfId="5" applyNumberFormat="1" applyFont="1" applyFill="1" applyBorder="1" applyAlignment="1">
      <alignment horizontal="center" vertical="center" wrapText="1"/>
    </xf>
    <xf numFmtId="174" fontId="128" fillId="5" borderId="7" xfId="8" applyNumberFormat="1" applyFont="1" applyFill="1" applyBorder="1" applyAlignment="1">
      <alignment horizontal="center" vertical="center" wrapText="1"/>
    </xf>
    <xf numFmtId="49" fontId="143" fillId="10" borderId="40" xfId="3" applyNumberFormat="1" applyFont="1" applyFill="1" applyBorder="1" applyAlignment="1" applyProtection="1">
      <alignment horizontal="left" vertical="center"/>
      <protection locked="0"/>
    </xf>
    <xf numFmtId="3" fontId="141" fillId="10" borderId="40" xfId="2" applyNumberFormat="1" applyFont="1" applyFill="1" applyBorder="1" applyAlignment="1" applyProtection="1">
      <alignment horizontal="center" vertical="center"/>
      <protection locked="0"/>
    </xf>
    <xf numFmtId="4" fontId="11" fillId="10" borderId="40" xfId="2" applyNumberFormat="1" applyFont="1" applyFill="1" applyBorder="1" applyAlignment="1" applyProtection="1">
      <alignment horizontal="center" vertical="center"/>
      <protection locked="0"/>
    </xf>
    <xf numFmtId="49" fontId="142" fillId="10" borderId="40" xfId="3" applyNumberFormat="1" applyFont="1" applyFill="1" applyBorder="1" applyAlignment="1" applyProtection="1">
      <alignment horizontal="left" vertical="center"/>
      <protection locked="0"/>
    </xf>
    <xf numFmtId="4" fontId="141" fillId="10" borderId="40" xfId="2" applyNumberFormat="1" applyFont="1" applyFill="1" applyBorder="1" applyAlignment="1" applyProtection="1">
      <alignment horizontal="center" vertical="center"/>
      <protection locked="0"/>
    </xf>
    <xf numFmtId="0" fontId="54" fillId="3" borderId="37" xfId="3" applyFont="1" applyFill="1" applyBorder="1" applyAlignment="1">
      <alignment vertical="center"/>
    </xf>
    <xf numFmtId="172" fontId="54" fillId="3" borderId="47" xfId="7" applyNumberFormat="1" applyFont="1" applyFill="1" applyBorder="1" applyAlignment="1">
      <alignment horizontal="center" vertical="center"/>
    </xf>
    <xf numFmtId="172" fontId="54" fillId="3" borderId="48" xfId="7" applyNumberFormat="1" applyFont="1" applyFill="1" applyBorder="1" applyAlignment="1">
      <alignment horizontal="center" vertical="center"/>
    </xf>
    <xf numFmtId="0" fontId="54" fillId="8" borderId="40" xfId="3" applyFont="1" applyFill="1" applyBorder="1" applyAlignment="1">
      <alignment vertical="center"/>
    </xf>
    <xf numFmtId="4" fontId="54" fillId="8" borderId="40" xfId="2" applyNumberFormat="1" applyFont="1" applyFill="1" applyBorder="1" applyAlignment="1">
      <alignment horizontal="center" vertical="center"/>
    </xf>
    <xf numFmtId="0" fontId="145" fillId="0" borderId="0" xfId="1" applyFont="1" applyAlignment="1">
      <alignment vertical="center"/>
    </xf>
    <xf numFmtId="0" fontId="22" fillId="2" borderId="10" xfId="0" applyFont="1" applyFill="1" applyBorder="1" applyAlignment="1">
      <alignment horizontal="center" vertical="center"/>
    </xf>
    <xf numFmtId="3" fontId="22" fillId="2" borderId="10" xfId="0" applyNumberFormat="1" applyFont="1" applyFill="1" applyBorder="1" applyAlignment="1">
      <alignment horizontal="center" vertical="center"/>
    </xf>
    <xf numFmtId="4" fontId="22" fillId="2" borderId="10" xfId="0" applyNumberFormat="1" applyFont="1" applyFill="1" applyBorder="1" applyAlignment="1">
      <alignment horizontal="center" vertical="center"/>
    </xf>
    <xf numFmtId="3" fontId="124" fillId="25" borderId="10" xfId="0" applyNumberFormat="1" applyFont="1" applyFill="1" applyBorder="1" applyAlignment="1">
      <alignment horizontal="center" vertical="center"/>
    </xf>
    <xf numFmtId="0" fontId="22" fillId="2" borderId="10" xfId="1" applyFont="1" applyFill="1" applyBorder="1" applyAlignment="1">
      <alignment horizontal="center" vertical="center" wrapText="1"/>
    </xf>
    <xf numFmtId="0" fontId="124" fillId="7" borderId="10" xfId="1" applyFont="1" applyFill="1" applyBorder="1" applyAlignment="1">
      <alignment horizontal="center" vertical="center" wrapText="1"/>
    </xf>
    <xf numFmtId="0" fontId="20" fillId="27" borderId="10" xfId="1" applyFont="1" applyFill="1" applyBorder="1" applyAlignment="1">
      <alignment horizontal="center" vertical="center" wrapText="1"/>
    </xf>
    <xf numFmtId="16" fontId="98" fillId="5" borderId="10" xfId="1" applyNumberFormat="1" applyFont="1" applyFill="1" applyBorder="1" applyAlignment="1">
      <alignment horizontal="center" vertical="center" wrapText="1"/>
    </xf>
    <xf numFmtId="0" fontId="15" fillId="5" borderId="2" xfId="1" applyFont="1" applyFill="1" applyBorder="1" applyAlignment="1">
      <alignment horizontal="center" vertical="center" wrapText="1"/>
    </xf>
    <xf numFmtId="0" fontId="115" fillId="7" borderId="2" xfId="1" applyFont="1" applyFill="1" applyBorder="1" applyAlignment="1">
      <alignment horizontal="center" vertical="center" wrapText="1"/>
    </xf>
    <xf numFmtId="164" fontId="21" fillId="9" borderId="2" xfId="1" applyNumberFormat="1" applyFont="1" applyFill="1" applyBorder="1" applyAlignment="1">
      <alignment horizontal="center" vertical="center" wrapText="1"/>
    </xf>
    <xf numFmtId="0" fontId="67" fillId="5" borderId="10" xfId="0" applyFont="1" applyFill="1" applyBorder="1" applyAlignment="1">
      <alignment horizontal="left" vertical="center" wrapText="1"/>
    </xf>
    <xf numFmtId="173" fontId="57" fillId="2" borderId="0" xfId="0" applyNumberFormat="1" applyFont="1" applyFill="1" applyAlignment="1">
      <alignment horizontal="center" vertical="center"/>
    </xf>
    <xf numFmtId="0" fontId="0" fillId="0" borderId="0" xfId="0" applyAlignment="1">
      <alignment wrapText="1"/>
    </xf>
    <xf numFmtId="0" fontId="9" fillId="2" borderId="0" xfId="0" applyFont="1" applyFill="1" applyAlignment="1">
      <alignment horizontal="center" vertical="center" wrapText="1"/>
    </xf>
    <xf numFmtId="0" fontId="68" fillId="0" borderId="0" xfId="0" applyFont="1" applyAlignment="1">
      <alignment wrapText="1"/>
    </xf>
    <xf numFmtId="0" fontId="68" fillId="8" borderId="10" xfId="0" applyFont="1" applyFill="1" applyBorder="1" applyAlignment="1">
      <alignment horizontal="left" vertical="center" wrapText="1"/>
    </xf>
    <xf numFmtId="173" fontId="146" fillId="5" borderId="10" xfId="0" applyNumberFormat="1" applyFont="1" applyFill="1" applyBorder="1" applyAlignment="1">
      <alignment horizontal="center" vertical="center"/>
    </xf>
    <xf numFmtId="0" fontId="147" fillId="4" borderId="10" xfId="1" applyFont="1" applyFill="1" applyBorder="1" applyAlignment="1">
      <alignment horizontal="center" vertical="center" wrapText="1"/>
    </xf>
    <xf numFmtId="0" fontId="31" fillId="10" borderId="10" xfId="1" applyFont="1" applyFill="1" applyBorder="1" applyAlignment="1">
      <alignment horizontal="center" vertical="center" wrapText="1"/>
    </xf>
    <xf numFmtId="0" fontId="122" fillId="0" borderId="0" xfId="0" applyFont="1" applyAlignment="1">
      <alignment horizontal="center"/>
    </xf>
    <xf numFmtId="0" fontId="105" fillId="29" borderId="16" xfId="0" applyFont="1" applyFill="1" applyBorder="1" applyAlignment="1">
      <alignment horizontal="left" vertical="center" wrapText="1" readingOrder="1"/>
    </xf>
    <xf numFmtId="0" fontId="109" fillId="29" borderId="16" xfId="0" applyFont="1" applyFill="1" applyBorder="1" applyAlignment="1">
      <alignment horizontal="center" vertical="center" wrapText="1"/>
    </xf>
    <xf numFmtId="14" fontId="91" fillId="0" borderId="2" xfId="6" applyNumberFormat="1" applyBorder="1" applyAlignment="1">
      <alignment horizontal="center"/>
    </xf>
    <xf numFmtId="0" fontId="107" fillId="3" borderId="10" xfId="1" applyFont="1" applyFill="1" applyBorder="1" applyAlignment="1">
      <alignment horizontal="left" vertical="center" wrapText="1"/>
    </xf>
    <xf numFmtId="0" fontId="107" fillId="8" borderId="10" xfId="1" applyFont="1" applyFill="1" applyBorder="1" applyAlignment="1">
      <alignment horizontal="left" vertical="center" wrapText="1"/>
    </xf>
    <xf numFmtId="0" fontId="111" fillId="9" borderId="2" xfId="1" applyFont="1" applyFill="1" applyBorder="1" applyAlignment="1">
      <alignment horizontal="center" vertical="center" wrapText="1"/>
    </xf>
    <xf numFmtId="21" fontId="74" fillId="5" borderId="2" xfId="1" applyNumberFormat="1" applyFont="1" applyFill="1" applyBorder="1" applyAlignment="1">
      <alignment horizontal="center" vertical="center" wrapText="1"/>
    </xf>
    <xf numFmtId="0" fontId="17" fillId="0" borderId="0" xfId="1" applyFont="1" applyAlignment="1">
      <alignment horizontal="center" vertical="center"/>
    </xf>
    <xf numFmtId="0" fontId="32" fillId="22" borderId="10" xfId="1" applyFont="1" applyFill="1" applyBorder="1" applyAlignment="1">
      <alignment horizontal="center" vertical="center" wrapText="1"/>
    </xf>
    <xf numFmtId="0" fontId="73" fillId="23" borderId="10" xfId="1" applyFont="1" applyFill="1" applyBorder="1" applyAlignment="1">
      <alignment horizontal="center" vertical="center" wrapText="1"/>
    </xf>
    <xf numFmtId="0" fontId="73" fillId="24" borderId="10" xfId="1" applyFont="1" applyFill="1" applyBorder="1" applyAlignment="1">
      <alignment horizontal="center" vertical="center" wrapText="1"/>
    </xf>
    <xf numFmtId="0" fontId="115" fillId="15" borderId="2" xfId="0" applyFont="1" applyFill="1" applyBorder="1" applyAlignment="1">
      <alignment vertical="center" wrapText="1"/>
    </xf>
    <xf numFmtId="9" fontId="39" fillId="20" borderId="7" xfId="8" applyFont="1" applyFill="1" applyBorder="1" applyAlignment="1">
      <alignment horizontal="center" vertical="center" wrapText="1" readingOrder="1"/>
    </xf>
    <xf numFmtId="4" fontId="150" fillId="10" borderId="40" xfId="2" applyNumberFormat="1" applyFont="1" applyFill="1" applyBorder="1" applyAlignment="1" applyProtection="1">
      <alignment horizontal="center" vertical="center"/>
      <protection locked="0"/>
    </xf>
    <xf numFmtId="3" fontId="150" fillId="10" borderId="40" xfId="2" applyNumberFormat="1" applyFont="1" applyFill="1" applyBorder="1" applyAlignment="1" applyProtection="1">
      <alignment horizontal="center" vertical="center"/>
      <protection locked="0"/>
    </xf>
    <xf numFmtId="3" fontId="46" fillId="10" borderId="40" xfId="2" applyNumberFormat="1" applyFont="1" applyFill="1" applyBorder="1" applyAlignment="1" applyProtection="1">
      <alignment horizontal="center" vertical="center"/>
      <protection locked="0"/>
    </xf>
    <xf numFmtId="3" fontId="54" fillId="8" borderId="40" xfId="2" applyNumberFormat="1" applyFont="1" applyFill="1" applyBorder="1" applyAlignment="1" applyProtection="1">
      <alignment horizontal="center" vertical="center"/>
      <protection locked="0"/>
    </xf>
    <xf numFmtId="0" fontId="57" fillId="8" borderId="10" xfId="1" applyFont="1" applyFill="1" applyBorder="1" applyAlignment="1">
      <alignment horizontal="center" vertical="center" wrapText="1"/>
    </xf>
    <xf numFmtId="0" fontId="57" fillId="3" borderId="10" xfId="1" applyFont="1" applyFill="1" applyBorder="1" applyAlignment="1">
      <alignment horizontal="center" vertical="center" wrapText="1"/>
    </xf>
    <xf numFmtId="0" fontId="26" fillId="28" borderId="10" xfId="1" applyFont="1" applyFill="1" applyBorder="1" applyAlignment="1">
      <alignment horizontal="center" vertical="center" wrapText="1"/>
    </xf>
    <xf numFmtId="0" fontId="51" fillId="10" borderId="10" xfId="1" applyFont="1" applyFill="1" applyBorder="1" applyAlignment="1">
      <alignment horizontal="center" vertical="center" wrapText="1"/>
    </xf>
    <xf numFmtId="0" fontId="6" fillId="2" borderId="10" xfId="1" applyFont="1" applyFill="1" applyBorder="1" applyAlignment="1">
      <alignment horizontal="center" vertical="center" wrapText="1"/>
    </xf>
    <xf numFmtId="0" fontId="18" fillId="10" borderId="10" xfId="1" applyFont="1" applyFill="1" applyBorder="1" applyAlignment="1">
      <alignment horizontal="left" vertical="center" wrapText="1"/>
    </xf>
    <xf numFmtId="0" fontId="89" fillId="10" borderId="10" xfId="1" applyFont="1" applyFill="1" applyBorder="1" applyAlignment="1">
      <alignment horizontal="left" vertical="center" wrapText="1"/>
    </xf>
    <xf numFmtId="0" fontId="14" fillId="2" borderId="10" xfId="1" applyFont="1" applyFill="1" applyBorder="1" applyAlignment="1">
      <alignment horizontal="left" vertical="center" wrapText="1"/>
    </xf>
    <xf numFmtId="0" fontId="14" fillId="3" borderId="10" xfId="1" applyFont="1" applyFill="1" applyBorder="1" applyAlignment="1">
      <alignment horizontal="left" vertical="center" wrapText="1"/>
    </xf>
    <xf numFmtId="0" fontId="14" fillId="8" borderId="10" xfId="1" applyFont="1" applyFill="1" applyBorder="1" applyAlignment="1">
      <alignment horizontal="left" vertical="center" wrapText="1"/>
    </xf>
    <xf numFmtId="0" fontId="22" fillId="30" borderId="10" xfId="1" applyFont="1" applyFill="1" applyBorder="1" applyAlignment="1">
      <alignment horizontal="center" vertical="center" wrapText="1"/>
    </xf>
    <xf numFmtId="0" fontId="57" fillId="2" borderId="0" xfId="0" applyFont="1" applyFill="1" applyAlignment="1">
      <alignment horizontal="center" vertical="center" wrapText="1"/>
    </xf>
    <xf numFmtId="165" fontId="106" fillId="13" borderId="7" xfId="4" applyFont="1" applyFill="1" applyBorder="1" applyAlignment="1">
      <alignment horizontal="center" vertical="center" wrapText="1" readingOrder="1"/>
    </xf>
    <xf numFmtId="4" fontId="11" fillId="20" borderId="40" xfId="2" applyNumberFormat="1" applyFont="1" applyFill="1" applyBorder="1" applyAlignment="1" applyProtection="1">
      <alignment horizontal="center" vertical="center"/>
      <protection locked="0"/>
    </xf>
    <xf numFmtId="0" fontId="31" fillId="20" borderId="10" xfId="1" applyFont="1" applyFill="1" applyBorder="1" applyAlignment="1">
      <alignment horizontal="center" vertical="center" wrapText="1"/>
    </xf>
    <xf numFmtId="164" fontId="0" fillId="0" borderId="0" xfId="0" applyNumberFormat="1" applyAlignment="1">
      <alignment horizontal="center"/>
    </xf>
    <xf numFmtId="164" fontId="19" fillId="7" borderId="2" xfId="0" applyNumberFormat="1" applyFont="1" applyFill="1" applyBorder="1" applyAlignment="1">
      <alignment horizontal="center" vertical="center"/>
    </xf>
    <xf numFmtId="0" fontId="152" fillId="0" borderId="0" xfId="0" applyFont="1" applyAlignment="1">
      <alignment vertical="center"/>
    </xf>
    <xf numFmtId="0" fontId="153" fillId="0" borderId="0" xfId="0" applyFont="1" applyAlignment="1">
      <alignment vertical="center"/>
    </xf>
    <xf numFmtId="0" fontId="134" fillId="31" borderId="53" xfId="0" applyFont="1" applyFill="1" applyBorder="1" applyAlignment="1">
      <alignment horizontal="center" vertical="center" wrapText="1"/>
    </xf>
    <xf numFmtId="0" fontId="156" fillId="0" borderId="0" xfId="0" applyFont="1" applyAlignment="1">
      <alignment vertical="center"/>
    </xf>
    <xf numFmtId="0" fontId="157" fillId="0" borderId="0" xfId="0" applyFont="1"/>
    <xf numFmtId="0" fontId="158" fillId="32" borderId="53" xfId="0" applyFont="1" applyFill="1" applyBorder="1" applyAlignment="1">
      <alignment horizontal="left" vertical="center" wrapText="1"/>
    </xf>
    <xf numFmtId="0" fontId="152" fillId="0" borderId="0" xfId="0" applyFont="1" applyAlignment="1">
      <alignment horizontal="center" vertical="center"/>
    </xf>
    <xf numFmtId="0" fontId="6" fillId="2" borderId="1" xfId="1" applyFont="1" applyFill="1" applyBorder="1" applyAlignment="1">
      <alignment horizontal="center" vertical="center" wrapText="1"/>
    </xf>
    <xf numFmtId="0" fontId="6" fillId="2" borderId="0" xfId="1" applyFont="1" applyFill="1" applyAlignment="1">
      <alignment horizontal="center" vertical="center" wrapText="1"/>
    </xf>
    <xf numFmtId="0" fontId="62" fillId="4" borderId="2" xfId="1" applyFont="1" applyFill="1" applyBorder="1" applyAlignment="1">
      <alignment horizontal="center" vertical="center" wrapText="1"/>
    </xf>
    <xf numFmtId="164" fontId="57" fillId="3" borderId="2" xfId="0" applyNumberFormat="1" applyFont="1" applyFill="1" applyBorder="1" applyAlignment="1">
      <alignment horizontal="center" vertical="center"/>
    </xf>
    <xf numFmtId="167" fontId="159" fillId="30" borderId="7" xfId="5" applyNumberFormat="1" applyFont="1" applyFill="1" applyBorder="1" applyAlignment="1">
      <alignment horizontal="center" vertical="center" wrapText="1"/>
    </xf>
    <xf numFmtId="0" fontId="62" fillId="2" borderId="0" xfId="0" applyFont="1" applyFill="1" applyAlignment="1">
      <alignment horizontal="center" vertical="center"/>
    </xf>
    <xf numFmtId="173" fontId="114" fillId="5" borderId="23" xfId="0" applyNumberFormat="1" applyFont="1" applyFill="1" applyBorder="1" applyAlignment="1">
      <alignment horizontal="center" vertical="center"/>
    </xf>
    <xf numFmtId="0" fontId="114" fillId="5" borderId="24" xfId="0" applyFont="1" applyFill="1" applyBorder="1" applyAlignment="1">
      <alignment horizontal="center" vertical="center"/>
    </xf>
    <xf numFmtId="0" fontId="114" fillId="5" borderId="25" xfId="0" applyFont="1" applyFill="1" applyBorder="1" applyAlignment="1">
      <alignment horizontal="center" vertical="center"/>
    </xf>
    <xf numFmtId="173" fontId="107" fillId="2" borderId="23" xfId="0" applyNumberFormat="1" applyFont="1" applyFill="1" applyBorder="1" applyAlignment="1">
      <alignment horizontal="center" vertical="center"/>
    </xf>
    <xf numFmtId="0" fontId="107" fillId="2" borderId="24" xfId="0" applyFont="1" applyFill="1" applyBorder="1" applyAlignment="1">
      <alignment horizontal="center" vertical="center"/>
    </xf>
    <xf numFmtId="0" fontId="107" fillId="2" borderId="25"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4" xfId="0" applyFont="1" applyFill="1" applyBorder="1" applyAlignment="1">
      <alignment horizontal="center" vertical="center"/>
    </xf>
    <xf numFmtId="0" fontId="14" fillId="2" borderId="25" xfId="0" applyFont="1" applyFill="1" applyBorder="1" applyAlignment="1">
      <alignment horizontal="center" vertical="center"/>
    </xf>
    <xf numFmtId="0" fontId="6" fillId="2" borderId="1" xfId="1" applyFont="1" applyFill="1" applyBorder="1" applyAlignment="1">
      <alignment horizontal="center" vertical="center" wrapText="1"/>
    </xf>
    <xf numFmtId="0" fontId="6" fillId="2" borderId="0" xfId="1" applyFont="1" applyFill="1" applyAlignment="1">
      <alignment horizontal="center" vertical="center" wrapText="1"/>
    </xf>
    <xf numFmtId="0" fontId="2" fillId="2" borderId="1" xfId="1" applyFont="1" applyFill="1" applyBorder="1" applyAlignment="1">
      <alignment horizontal="center" vertical="center" wrapText="1"/>
    </xf>
    <xf numFmtId="0" fontId="2" fillId="2" borderId="0" xfId="1" applyFont="1" applyFill="1" applyAlignment="1">
      <alignment horizontal="center" vertical="center" wrapText="1"/>
    </xf>
    <xf numFmtId="0" fontId="20" fillId="9" borderId="3" xfId="1" applyFont="1" applyFill="1" applyBorder="1" applyAlignment="1">
      <alignment horizontal="center" vertical="center" wrapText="1"/>
    </xf>
    <xf numFmtId="0" fontId="20" fillId="9" borderId="4" xfId="1" applyFont="1" applyFill="1" applyBorder="1" applyAlignment="1">
      <alignment horizontal="center" vertical="center" wrapText="1"/>
    </xf>
    <xf numFmtId="0" fontId="21" fillId="2" borderId="1" xfId="0" applyFont="1" applyFill="1" applyBorder="1" applyAlignment="1">
      <alignment horizontal="left" vertical="center"/>
    </xf>
    <xf numFmtId="0" fontId="21" fillId="2" borderId="0" xfId="0" applyFont="1" applyFill="1" applyAlignment="1">
      <alignment horizontal="left" vertical="center"/>
    </xf>
    <xf numFmtId="0" fontId="27" fillId="2" borderId="5"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9" fillId="2" borderId="1" xfId="0" applyFont="1" applyFill="1" applyBorder="1" applyAlignment="1">
      <alignment horizontal="left" vertical="center"/>
    </xf>
    <xf numFmtId="0" fontId="9" fillId="2" borderId="0" xfId="0" applyFont="1" applyFill="1" applyAlignment="1">
      <alignment horizontal="left" vertical="center"/>
    </xf>
    <xf numFmtId="0" fontId="9" fillId="2" borderId="8" xfId="0" applyFont="1" applyFill="1" applyBorder="1" applyAlignment="1">
      <alignment horizontal="left" vertical="center"/>
    </xf>
    <xf numFmtId="0" fontId="6" fillId="2" borderId="0" xfId="0" applyFont="1" applyFill="1" applyAlignment="1">
      <alignment horizontal="center" vertical="center"/>
    </xf>
    <xf numFmtId="0" fontId="62"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2" borderId="0" xfId="0" applyFont="1" applyFill="1" applyAlignment="1">
      <alignment horizontal="center" vertical="center"/>
    </xf>
    <xf numFmtId="0" fontId="34" fillId="12" borderId="11" xfId="3" applyFont="1" applyFill="1" applyBorder="1" applyAlignment="1">
      <alignment horizontal="center" vertical="center" readingOrder="1"/>
    </xf>
    <xf numFmtId="0" fontId="34" fillId="12" borderId="12" xfId="3" applyFont="1" applyFill="1" applyBorder="1" applyAlignment="1">
      <alignment horizontal="center" vertical="center" readingOrder="1"/>
    </xf>
    <xf numFmtId="0" fontId="34" fillId="12" borderId="13" xfId="3" applyFont="1" applyFill="1" applyBorder="1" applyAlignment="1">
      <alignment horizontal="center" vertical="center" readingOrder="1"/>
    </xf>
    <xf numFmtId="0" fontId="73" fillId="5" borderId="5" xfId="1" applyFont="1" applyFill="1" applyBorder="1" applyAlignment="1">
      <alignment horizontal="center" vertical="center" wrapText="1"/>
    </xf>
    <xf numFmtId="0" fontId="73" fillId="5" borderId="6" xfId="1" applyFont="1" applyFill="1" applyBorder="1" applyAlignment="1">
      <alignment horizontal="center" vertical="center" wrapText="1"/>
    </xf>
    <xf numFmtId="0" fontId="73" fillId="5" borderId="14" xfId="1" applyFont="1" applyFill="1" applyBorder="1" applyAlignment="1">
      <alignment horizontal="center" vertical="center" wrapText="1"/>
    </xf>
    <xf numFmtId="0" fontId="21" fillId="2" borderId="1" xfId="0" applyFont="1" applyFill="1" applyBorder="1" applyAlignment="1">
      <alignment horizontal="center" vertical="center"/>
    </xf>
    <xf numFmtId="0" fontId="21" fillId="2" borderId="0" xfId="0" applyFont="1" applyFill="1" applyAlignment="1">
      <alignment horizontal="center" vertical="center"/>
    </xf>
    <xf numFmtId="0" fontId="154" fillId="31" borderId="54" xfId="0" applyFont="1" applyFill="1" applyBorder="1" applyAlignment="1">
      <alignment horizontal="center" vertical="center"/>
    </xf>
    <xf numFmtId="0" fontId="155" fillId="0" borderId="0" xfId="0" applyFont="1"/>
    <xf numFmtId="0" fontId="72" fillId="2" borderId="1" xfId="0" applyFont="1" applyFill="1" applyBorder="1" applyAlignment="1">
      <alignment horizontal="center" vertical="center"/>
    </xf>
    <xf numFmtId="0" fontId="72" fillId="2" borderId="0" xfId="0" applyFont="1" applyFill="1" applyAlignment="1">
      <alignment horizontal="center" vertical="center"/>
    </xf>
    <xf numFmtId="0" fontId="72" fillId="2" borderId="8" xfId="0" applyFont="1" applyFill="1" applyBorder="1" applyAlignment="1">
      <alignment horizontal="center" vertical="center"/>
    </xf>
    <xf numFmtId="0" fontId="104" fillId="20" borderId="23" xfId="1" applyFont="1" applyFill="1" applyBorder="1" applyAlignment="1">
      <alignment horizontal="left" vertical="center" wrapText="1"/>
    </xf>
    <xf numFmtId="0" fontId="104" fillId="20" borderId="24" xfId="1" applyFont="1" applyFill="1" applyBorder="1" applyAlignment="1">
      <alignment horizontal="left" vertical="center" wrapText="1"/>
    </xf>
    <xf numFmtId="0" fontId="104" fillId="20" borderId="25" xfId="1" applyFont="1" applyFill="1" applyBorder="1" applyAlignment="1">
      <alignment horizontal="left" vertical="center" wrapText="1"/>
    </xf>
    <xf numFmtId="0" fontId="22" fillId="2" borderId="1" xfId="1" applyFont="1" applyFill="1" applyBorder="1" applyAlignment="1">
      <alignment horizontal="center" vertical="center" wrapText="1"/>
    </xf>
    <xf numFmtId="0" fontId="22" fillId="2" borderId="8" xfId="1" applyFont="1" applyFill="1" applyBorder="1" applyAlignment="1">
      <alignment horizontal="center" vertical="center" wrapText="1"/>
    </xf>
    <xf numFmtId="0" fontId="73" fillId="5" borderId="19" xfId="1" applyFont="1" applyFill="1" applyBorder="1" applyAlignment="1">
      <alignment horizontal="center" vertical="center" wrapText="1"/>
    </xf>
    <xf numFmtId="0" fontId="73" fillId="5" borderId="20" xfId="1" applyFont="1" applyFill="1" applyBorder="1" applyAlignment="1">
      <alignment horizontal="center" vertical="center" wrapText="1"/>
    </xf>
    <xf numFmtId="0" fontId="99" fillId="2" borderId="21" xfId="0" applyFont="1" applyFill="1" applyBorder="1" applyAlignment="1">
      <alignment horizontal="center" vertical="center" wrapText="1" readingOrder="1"/>
    </xf>
    <xf numFmtId="0" fontId="99" fillId="2" borderId="0" xfId="0" applyFont="1" applyFill="1" applyAlignment="1">
      <alignment horizontal="center" vertical="center" wrapText="1" readingOrder="1"/>
    </xf>
    <xf numFmtId="0" fontId="99" fillId="2" borderId="22" xfId="0" applyFont="1" applyFill="1" applyBorder="1" applyAlignment="1">
      <alignment horizontal="center" vertical="center" wrapText="1" readingOrder="1"/>
    </xf>
    <xf numFmtId="0" fontId="74" fillId="5" borderId="1" xfId="1" applyFont="1" applyFill="1" applyBorder="1" applyAlignment="1">
      <alignment horizontal="center" vertical="center" wrapText="1"/>
    </xf>
    <xf numFmtId="0" fontId="74" fillId="5" borderId="0" xfId="1" applyFont="1" applyFill="1" applyAlignment="1">
      <alignment horizontal="center" vertical="center" wrapText="1"/>
    </xf>
    <xf numFmtId="0" fontId="21" fillId="2" borderId="8" xfId="0" applyFont="1" applyFill="1" applyBorder="1" applyAlignment="1">
      <alignment horizontal="center" vertical="center"/>
    </xf>
    <xf numFmtId="0" fontId="107" fillId="2" borderId="17" xfId="1" applyFont="1" applyFill="1" applyBorder="1" applyAlignment="1">
      <alignment horizontal="center" vertical="center" wrapText="1"/>
    </xf>
    <xf numFmtId="0" fontId="107" fillId="2" borderId="0" xfId="1" applyFont="1" applyFill="1" applyAlignment="1">
      <alignment horizontal="center" vertical="center" wrapText="1"/>
    </xf>
    <xf numFmtId="0" fontId="22" fillId="2" borderId="1" xfId="1" applyFont="1" applyFill="1" applyBorder="1" applyAlignment="1">
      <alignment horizontal="right" vertical="center" wrapText="1" indent="1"/>
    </xf>
    <xf numFmtId="0" fontId="22" fillId="2" borderId="0" xfId="1" applyFont="1" applyFill="1" applyAlignment="1">
      <alignment horizontal="right" vertical="center" wrapText="1" indent="1"/>
    </xf>
    <xf numFmtId="0" fontId="17" fillId="2" borderId="0" xfId="1" applyFont="1" applyFill="1" applyAlignment="1">
      <alignment horizontal="center" vertical="center"/>
    </xf>
    <xf numFmtId="0" fontId="60" fillId="14" borderId="11" xfId="0" applyFont="1" applyFill="1" applyBorder="1" applyAlignment="1">
      <alignment horizontal="center" vertical="center"/>
    </xf>
    <xf numFmtId="0" fontId="60" fillId="14" borderId="12" xfId="0" applyFont="1" applyFill="1" applyBorder="1" applyAlignment="1">
      <alignment horizontal="center" vertical="center"/>
    </xf>
    <xf numFmtId="0" fontId="86" fillId="17" borderId="26" xfId="0" applyFont="1" applyFill="1" applyBorder="1" applyAlignment="1">
      <alignment horizontal="center" vertical="center" textRotation="90" wrapText="1" readingOrder="1"/>
    </xf>
    <xf numFmtId="0" fontId="86" fillId="17" borderId="27" xfId="0" applyFont="1" applyFill="1" applyBorder="1" applyAlignment="1">
      <alignment horizontal="center" vertical="center" textRotation="90" wrapText="1" readingOrder="1"/>
    </xf>
    <xf numFmtId="0" fontId="86" fillId="17" borderId="31" xfId="0" applyFont="1" applyFill="1" applyBorder="1" applyAlignment="1">
      <alignment horizontal="center" vertical="center" textRotation="90" wrapText="1" readingOrder="1"/>
    </xf>
    <xf numFmtId="164" fontId="148" fillId="29" borderId="30" xfId="0" applyNumberFormat="1" applyFont="1" applyFill="1" applyBorder="1" applyAlignment="1">
      <alignment horizontal="center" vertical="center" wrapText="1"/>
    </xf>
    <xf numFmtId="164" fontId="148" fillId="29" borderId="27" xfId="0" applyNumberFormat="1" applyFont="1" applyFill="1" applyBorder="1" applyAlignment="1">
      <alignment horizontal="center" vertical="center" wrapText="1"/>
    </xf>
    <xf numFmtId="164" fontId="148" fillId="29" borderId="31" xfId="0" applyNumberFormat="1" applyFont="1" applyFill="1" applyBorder="1" applyAlignment="1">
      <alignment horizontal="center" vertical="center" wrapText="1"/>
    </xf>
    <xf numFmtId="0" fontId="39" fillId="29" borderId="26" xfId="0" applyFont="1" applyFill="1" applyBorder="1" applyAlignment="1">
      <alignment horizontal="center" vertical="center" textRotation="90" wrapText="1" readingOrder="1"/>
    </xf>
    <xf numFmtId="0" fontId="39" fillId="29" borderId="27" xfId="0" applyFont="1" applyFill="1" applyBorder="1" applyAlignment="1">
      <alignment horizontal="center" vertical="center" textRotation="90" wrapText="1" readingOrder="1"/>
    </xf>
    <xf numFmtId="0" fontId="39" fillId="29" borderId="31" xfId="0" applyFont="1" applyFill="1" applyBorder="1" applyAlignment="1">
      <alignment horizontal="center" vertical="center" textRotation="90" wrapText="1" readingOrder="1"/>
    </xf>
    <xf numFmtId="164" fontId="149" fillId="2" borderId="21" xfId="0" applyNumberFormat="1" applyFont="1" applyFill="1" applyBorder="1" applyAlignment="1">
      <alignment horizontal="center" vertical="center" wrapText="1" readingOrder="1"/>
    </xf>
    <xf numFmtId="164" fontId="149" fillId="2" borderId="22" xfId="0" applyNumberFormat="1" applyFont="1" applyFill="1" applyBorder="1" applyAlignment="1">
      <alignment horizontal="center" vertical="center" wrapText="1" readingOrder="1"/>
    </xf>
    <xf numFmtId="0" fontId="86" fillId="17" borderId="30" xfId="0" applyFont="1" applyFill="1" applyBorder="1" applyAlignment="1">
      <alignment horizontal="center" vertical="center" textRotation="90" wrapText="1" readingOrder="1"/>
    </xf>
    <xf numFmtId="0" fontId="39" fillId="29" borderId="30" xfId="0" applyFont="1" applyFill="1" applyBorder="1" applyAlignment="1">
      <alignment horizontal="center" vertical="center" textRotation="90" wrapText="1" readingOrder="1"/>
    </xf>
    <xf numFmtId="0" fontId="86" fillId="16" borderId="26" xfId="0" applyFont="1" applyFill="1" applyBorder="1" applyAlignment="1">
      <alignment horizontal="center" vertical="center" textRotation="90" wrapText="1" readingOrder="1"/>
    </xf>
    <xf numFmtId="0" fontId="86" fillId="16" borderId="27" xfId="0" applyFont="1" applyFill="1" applyBorder="1" applyAlignment="1">
      <alignment horizontal="center" vertical="center" textRotation="90" wrapText="1" readingOrder="1"/>
    </xf>
    <xf numFmtId="0" fontId="86" fillId="16" borderId="31" xfId="0" applyFont="1" applyFill="1" applyBorder="1" applyAlignment="1">
      <alignment horizontal="center" vertical="center" textRotation="90" wrapText="1" readingOrder="1"/>
    </xf>
    <xf numFmtId="164" fontId="148" fillId="16" borderId="30" xfId="0" applyNumberFormat="1" applyFont="1" applyFill="1" applyBorder="1" applyAlignment="1">
      <alignment horizontal="center" vertical="center" wrapText="1"/>
    </xf>
    <xf numFmtId="164" fontId="148" fillId="16" borderId="27" xfId="0" applyNumberFormat="1" applyFont="1" applyFill="1" applyBorder="1" applyAlignment="1">
      <alignment horizontal="center" vertical="center" wrapText="1"/>
    </xf>
    <xf numFmtId="164" fontId="148" fillId="16" borderId="31" xfId="0" applyNumberFormat="1" applyFont="1" applyFill="1" applyBorder="1" applyAlignment="1">
      <alignment horizontal="center" vertical="center" wrapText="1"/>
    </xf>
    <xf numFmtId="0" fontId="39" fillId="16" borderId="26" xfId="0" applyFont="1" applyFill="1" applyBorder="1" applyAlignment="1">
      <alignment horizontal="center" vertical="center" textRotation="90" wrapText="1" readingOrder="1"/>
    </xf>
    <xf numFmtId="0" fontId="39" fillId="16" borderId="27" xfId="0" applyFont="1" applyFill="1" applyBorder="1" applyAlignment="1">
      <alignment horizontal="center" vertical="center" textRotation="90" wrapText="1" readingOrder="1"/>
    </xf>
    <xf numFmtId="0" fontId="39" fillId="16" borderId="31" xfId="0" applyFont="1" applyFill="1" applyBorder="1" applyAlignment="1">
      <alignment horizontal="center" vertical="center" textRotation="90" wrapText="1" readingOrder="1"/>
    </xf>
    <xf numFmtId="164" fontId="73" fillId="7" borderId="3" xfId="0" applyNumberFormat="1" applyFont="1" applyFill="1" applyBorder="1" applyAlignment="1">
      <alignment horizontal="center" vertical="center" wrapText="1"/>
    </xf>
    <xf numFmtId="164" fontId="73" fillId="7" borderId="52" xfId="0" applyNumberFormat="1" applyFont="1" applyFill="1" applyBorder="1" applyAlignment="1">
      <alignment horizontal="center" vertical="center" wrapText="1"/>
    </xf>
    <xf numFmtId="0" fontId="39" fillId="16" borderId="32" xfId="0" applyFont="1" applyFill="1" applyBorder="1" applyAlignment="1">
      <alignment horizontal="center" vertical="center" textRotation="90" wrapText="1" readingOrder="1"/>
    </xf>
    <xf numFmtId="0" fontId="39" fillId="16" borderId="21" xfId="0" applyFont="1" applyFill="1" applyBorder="1" applyAlignment="1">
      <alignment horizontal="center" vertical="center" textRotation="90" wrapText="1" readingOrder="1"/>
    </xf>
    <xf numFmtId="0" fontId="39" fillId="16" borderId="33" xfId="0" applyFont="1" applyFill="1" applyBorder="1" applyAlignment="1">
      <alignment horizontal="center" vertical="center" textRotation="90" wrapText="1" readingOrder="1"/>
    </xf>
    <xf numFmtId="0" fontId="39" fillId="16" borderId="34" xfId="0" applyFont="1" applyFill="1" applyBorder="1" applyAlignment="1">
      <alignment horizontal="center" vertical="center" textRotation="90" wrapText="1" readingOrder="1"/>
    </xf>
    <xf numFmtId="14" fontId="93" fillId="2" borderId="17" xfId="6" applyNumberFormat="1" applyFont="1" applyFill="1" applyBorder="1" applyAlignment="1">
      <alignment horizontal="center" vertical="center"/>
    </xf>
    <xf numFmtId="14" fontId="93" fillId="2" borderId="0" xfId="6" applyNumberFormat="1" applyFont="1" applyFill="1" applyAlignment="1">
      <alignment horizontal="center" vertical="center"/>
    </xf>
    <xf numFmtId="0" fontId="57" fillId="9" borderId="2" xfId="0" applyFont="1" applyFill="1" applyBorder="1" applyAlignment="1">
      <alignment horizontal="left" vertical="center"/>
    </xf>
    <xf numFmtId="0" fontId="9" fillId="9" borderId="2" xfId="0" applyFont="1" applyFill="1" applyBorder="1" applyAlignment="1">
      <alignment horizontal="center"/>
    </xf>
    <xf numFmtId="0" fontId="20" fillId="12" borderId="19" xfId="1" applyFont="1" applyFill="1" applyBorder="1" applyAlignment="1">
      <alignment horizontal="center" vertical="center" wrapText="1"/>
    </xf>
    <xf numFmtId="0" fontId="20" fillId="12" borderId="0" xfId="1" applyFont="1" applyFill="1" applyAlignment="1">
      <alignment horizontal="center" vertical="center" wrapText="1"/>
    </xf>
    <xf numFmtId="0" fontId="20" fillId="12" borderId="20" xfId="1" applyFont="1" applyFill="1" applyBorder="1" applyAlignment="1">
      <alignment horizontal="center" vertical="center" wrapText="1"/>
    </xf>
    <xf numFmtId="0" fontId="2" fillId="2" borderId="11" xfId="1" applyFont="1" applyFill="1" applyBorder="1" applyAlignment="1">
      <alignment horizontal="center" vertical="center" wrapText="1"/>
    </xf>
    <xf numFmtId="0" fontId="2" fillId="2" borderId="12" xfId="1" applyFont="1" applyFill="1" applyBorder="1" applyAlignment="1">
      <alignment horizontal="center" vertical="center" wrapText="1"/>
    </xf>
    <xf numFmtId="0" fontId="21" fillId="2" borderId="1" xfId="1" applyFont="1" applyFill="1" applyBorder="1" applyAlignment="1">
      <alignment horizontal="center" vertical="center" wrapText="1"/>
    </xf>
    <xf numFmtId="0" fontId="21" fillId="2" borderId="0" xfId="1" applyFont="1" applyFill="1" applyAlignment="1">
      <alignment horizontal="center" vertical="center" wrapText="1"/>
    </xf>
    <xf numFmtId="0" fontId="107" fillId="2" borderId="1" xfId="1" applyFont="1" applyFill="1" applyBorder="1" applyAlignment="1">
      <alignment horizontal="center" vertical="center" wrapText="1"/>
    </xf>
    <xf numFmtId="0" fontId="107" fillId="2" borderId="8" xfId="1" applyFont="1" applyFill="1" applyBorder="1" applyAlignment="1">
      <alignment horizontal="center" vertical="center" wrapText="1"/>
    </xf>
    <xf numFmtId="0" fontId="9" fillId="4" borderId="5" xfId="0" applyFont="1" applyFill="1" applyBorder="1" applyAlignment="1">
      <alignment horizontal="center" vertical="center" textRotation="90"/>
    </xf>
    <xf numFmtId="0" fontId="9" fillId="4" borderId="6" xfId="0" applyFont="1" applyFill="1" applyBorder="1" applyAlignment="1">
      <alignment horizontal="center" vertical="center" textRotation="90"/>
    </xf>
    <xf numFmtId="0" fontId="9" fillId="4" borderId="14" xfId="0" applyFont="1" applyFill="1" applyBorder="1" applyAlignment="1">
      <alignment horizontal="center" vertical="center" textRotation="90"/>
    </xf>
    <xf numFmtId="0" fontId="9" fillId="9" borderId="11" xfId="0" applyFont="1" applyFill="1" applyBorder="1" applyAlignment="1">
      <alignment horizontal="center" vertical="center"/>
    </xf>
    <xf numFmtId="0" fontId="9" fillId="9" borderId="13" xfId="0" applyFont="1" applyFill="1" applyBorder="1" applyAlignment="1">
      <alignment horizontal="center" vertical="center"/>
    </xf>
    <xf numFmtId="17" fontId="133" fillId="12" borderId="35" xfId="0" applyNumberFormat="1" applyFont="1" applyFill="1" applyBorder="1" applyAlignment="1">
      <alignment horizontal="center" vertical="center" wrapText="1" readingOrder="1"/>
    </xf>
    <xf numFmtId="17" fontId="133" fillId="12" borderId="0" xfId="0" applyNumberFormat="1" applyFont="1" applyFill="1" applyAlignment="1">
      <alignment horizontal="center" vertical="center" wrapText="1" readingOrder="1"/>
    </xf>
    <xf numFmtId="0" fontId="132" fillId="2" borderId="38" xfId="0" applyFont="1" applyFill="1" applyBorder="1" applyAlignment="1">
      <alignment horizontal="center" vertical="center" wrapText="1" readingOrder="1"/>
    </xf>
    <xf numFmtId="0" fontId="132" fillId="2" borderId="36" xfId="0" applyFont="1" applyFill="1" applyBorder="1" applyAlignment="1">
      <alignment horizontal="center" vertical="center" wrapText="1" readingOrder="1"/>
    </xf>
    <xf numFmtId="0" fontId="132" fillId="2" borderId="39" xfId="0" applyFont="1" applyFill="1" applyBorder="1" applyAlignment="1">
      <alignment horizontal="center" vertical="center" wrapText="1" readingOrder="1"/>
    </xf>
    <xf numFmtId="0" fontId="2" fillId="2" borderId="19" xfId="0" applyFont="1" applyFill="1" applyBorder="1" applyAlignment="1">
      <alignment horizontal="center" vertical="center"/>
    </xf>
    <xf numFmtId="0" fontId="2" fillId="2" borderId="0" xfId="0" applyFont="1" applyFill="1" applyAlignment="1">
      <alignment horizontal="center" vertical="center"/>
    </xf>
    <xf numFmtId="9" fontId="125" fillId="5" borderId="19" xfId="8" applyFont="1" applyFill="1" applyBorder="1" applyAlignment="1">
      <alignment horizontal="center" vertical="center" wrapText="1"/>
    </xf>
    <xf numFmtId="9" fontId="125" fillId="5" borderId="0" xfId="8" applyFont="1" applyFill="1" applyBorder="1" applyAlignment="1">
      <alignment horizontal="center" vertical="center" wrapText="1"/>
    </xf>
    <xf numFmtId="0" fontId="130" fillId="5" borderId="10" xfId="0" applyFont="1" applyFill="1" applyBorder="1" applyAlignment="1">
      <alignment horizontal="right" vertical="center" wrapText="1" readingOrder="1"/>
    </xf>
    <xf numFmtId="17" fontId="133" fillId="12" borderId="37" xfId="0" applyNumberFormat="1" applyFont="1" applyFill="1" applyBorder="1" applyAlignment="1">
      <alignment horizontal="center" vertical="center" wrapText="1" readingOrder="1"/>
    </xf>
    <xf numFmtId="17" fontId="133" fillId="12" borderId="36" xfId="0" applyNumberFormat="1" applyFont="1" applyFill="1" applyBorder="1" applyAlignment="1">
      <alignment horizontal="center" vertical="center" wrapText="1" readingOrder="1"/>
    </xf>
    <xf numFmtId="0" fontId="130" fillId="5" borderId="23" xfId="0" applyFont="1" applyFill="1" applyBorder="1" applyAlignment="1">
      <alignment horizontal="center" vertical="center" wrapText="1" readingOrder="1"/>
    </xf>
    <xf numFmtId="0" fontId="130" fillId="5" borderId="24" xfId="0" applyFont="1" applyFill="1" applyBorder="1" applyAlignment="1">
      <alignment horizontal="center" vertical="center" wrapText="1" readingOrder="1"/>
    </xf>
    <xf numFmtId="0" fontId="130" fillId="5" borderId="25" xfId="0" applyFont="1" applyFill="1" applyBorder="1" applyAlignment="1">
      <alignment horizontal="center" vertical="center" wrapText="1" readingOrder="1"/>
    </xf>
    <xf numFmtId="0" fontId="9" fillId="2" borderId="49" xfId="3" applyFont="1" applyFill="1" applyBorder="1" applyAlignment="1">
      <alignment horizontal="center" vertical="center" wrapText="1"/>
    </xf>
    <xf numFmtId="0" fontId="9" fillId="2" borderId="47" xfId="3" applyFont="1" applyFill="1" applyBorder="1" applyAlignment="1">
      <alignment horizontal="center" vertical="center" wrapText="1"/>
    </xf>
    <xf numFmtId="4" fontId="151" fillId="28" borderId="50" xfId="2" applyNumberFormat="1" applyFont="1" applyFill="1" applyBorder="1" applyAlignment="1">
      <alignment horizontal="center" vertical="center"/>
    </xf>
    <xf numFmtId="4" fontId="151" fillId="28" borderId="51" xfId="2" applyNumberFormat="1" applyFont="1" applyFill="1" applyBorder="1" applyAlignment="1">
      <alignment horizontal="center" vertical="center"/>
    </xf>
    <xf numFmtId="4" fontId="141" fillId="28" borderId="50" xfId="2" applyNumberFormat="1" applyFont="1" applyFill="1" applyBorder="1" applyAlignment="1">
      <alignment horizontal="center" vertical="center"/>
    </xf>
    <xf numFmtId="4" fontId="141" fillId="28" borderId="51" xfId="2" applyNumberFormat="1" applyFont="1" applyFill="1" applyBorder="1" applyAlignment="1">
      <alignment horizontal="center" vertical="center"/>
    </xf>
    <xf numFmtId="0" fontId="2" fillId="12" borderId="11" xfId="3" applyFont="1" applyFill="1" applyBorder="1" applyAlignment="1">
      <alignment horizontal="center" vertical="center" wrapText="1" readingOrder="1"/>
    </xf>
    <xf numFmtId="0" fontId="2" fillId="12" borderId="12" xfId="3" applyFont="1" applyFill="1" applyBorder="1" applyAlignment="1">
      <alignment horizontal="center" vertical="center" wrapText="1" readingOrder="1"/>
    </xf>
    <xf numFmtId="0" fontId="2" fillId="12" borderId="13" xfId="3" applyFont="1" applyFill="1" applyBorder="1" applyAlignment="1">
      <alignment horizontal="center" vertical="center" wrapText="1" readingOrder="1"/>
    </xf>
    <xf numFmtId="0" fontId="160" fillId="5" borderId="2" xfId="1" applyFont="1" applyFill="1" applyBorder="1" applyAlignment="1">
      <alignment horizontal="left" vertical="center" wrapText="1"/>
    </xf>
    <xf numFmtId="0" fontId="67" fillId="7" borderId="10" xfId="0" applyFont="1" applyFill="1" applyBorder="1" applyAlignment="1">
      <alignment horizontal="left" vertical="center"/>
    </xf>
    <xf numFmtId="173" fontId="146" fillId="7" borderId="10" xfId="0" applyNumberFormat="1" applyFont="1" applyFill="1" applyBorder="1" applyAlignment="1">
      <alignment horizontal="center" vertical="center"/>
    </xf>
    <xf numFmtId="0" fontId="15" fillId="5" borderId="5" xfId="1" applyFont="1" applyFill="1" applyBorder="1" applyAlignment="1">
      <alignment horizontal="center" vertical="center" wrapText="1"/>
    </xf>
    <xf numFmtId="0" fontId="15" fillId="5" borderId="6" xfId="1" applyFont="1" applyFill="1" applyBorder="1" applyAlignment="1">
      <alignment horizontal="center" vertical="center" wrapText="1"/>
    </xf>
    <xf numFmtId="0" fontId="15" fillId="5" borderId="14" xfId="1" applyFont="1" applyFill="1" applyBorder="1" applyAlignment="1">
      <alignment horizontal="center" vertical="center" wrapText="1"/>
    </xf>
    <xf numFmtId="0" fontId="19" fillId="5" borderId="2" xfId="1" applyFont="1" applyFill="1" applyBorder="1" applyAlignment="1">
      <alignment horizontal="center" vertical="center" wrapText="1"/>
    </xf>
    <xf numFmtId="14" fontId="51" fillId="5" borderId="2" xfId="1" applyNumberFormat="1" applyFont="1" applyFill="1" applyBorder="1" applyAlignment="1">
      <alignment horizontal="center" vertical="center" wrapText="1"/>
    </xf>
    <xf numFmtId="0" fontId="34" fillId="31" borderId="53" xfId="0" applyFont="1" applyFill="1" applyBorder="1" applyAlignment="1">
      <alignment horizontal="center" vertical="center" wrapText="1"/>
    </xf>
    <xf numFmtId="0" fontId="161" fillId="32" borderId="53" xfId="0" applyFont="1" applyFill="1" applyBorder="1" applyAlignment="1">
      <alignment horizontal="center" vertical="center" wrapText="1"/>
    </xf>
    <xf numFmtId="0" fontId="67" fillId="7" borderId="10" xfId="0" applyFont="1" applyFill="1" applyBorder="1" applyAlignment="1">
      <alignment horizontal="left" vertical="center" wrapText="1"/>
    </xf>
    <xf numFmtId="0" fontId="51" fillId="7" borderId="2" xfId="1" applyFont="1" applyFill="1" applyBorder="1" applyAlignment="1">
      <alignment horizontal="left" vertical="center" wrapText="1"/>
    </xf>
  </cellXfs>
  <cellStyles count="9">
    <cellStyle name="Moeda" xfId="7" builtinId="4"/>
    <cellStyle name="Moeda 2" xfId="5" xr:uid="{FE1C8244-AEAE-4C29-8E01-0EFBFBDB03F9}"/>
    <cellStyle name="Normal" xfId="0" builtinId="0"/>
    <cellStyle name="Normal 10 2" xfId="1" xr:uid="{FAE30A38-2CCD-4E02-AD39-CA41533C694E}"/>
    <cellStyle name="Normal 2" xfId="4" xr:uid="{12A55FBA-452C-4FD6-8359-3AAFDDAB04FB}"/>
    <cellStyle name="Normal 3" xfId="6" xr:uid="{8C4A7C31-74AD-4E94-A009-9A6346288C1A}"/>
    <cellStyle name="Normal 9" xfId="3" xr:uid="{6CAFD405-A1C1-44BF-B82D-82C65988529A}"/>
    <cellStyle name="Porcentagem" xfId="8" builtinId="5"/>
    <cellStyle name="Vírgula" xfId="2" builtinId="3"/>
  </cellStyles>
  <dxfs count="151">
    <dxf>
      <font>
        <color rgb="FF00B050"/>
      </font>
    </dxf>
    <dxf>
      <font>
        <color rgb="FF00B050"/>
      </font>
    </dxf>
    <dxf>
      <font>
        <color rgb="FFC00000"/>
      </font>
    </dxf>
    <dxf>
      <font>
        <color rgb="FFC00000"/>
      </font>
    </dxf>
    <dxf>
      <font>
        <color rgb="FF006C31"/>
      </font>
    </dxf>
    <dxf>
      <font>
        <color rgb="FF006C31"/>
      </font>
    </dxf>
    <dxf>
      <font>
        <color rgb="FFC00000"/>
      </font>
    </dxf>
    <dxf>
      <font>
        <color rgb="FFC00000"/>
      </font>
    </dxf>
    <dxf>
      <font>
        <color rgb="FF006C31"/>
      </font>
    </dxf>
    <dxf>
      <font>
        <color rgb="FF006C31"/>
      </font>
    </dxf>
    <dxf>
      <font>
        <color rgb="FFC00000"/>
      </font>
    </dxf>
    <dxf>
      <font>
        <color rgb="FFC00000"/>
      </font>
    </dxf>
    <dxf>
      <font>
        <color rgb="FF006C31"/>
      </font>
    </dxf>
    <dxf>
      <font>
        <color rgb="FFC00000"/>
      </font>
    </dxf>
    <dxf>
      <font>
        <color rgb="FF006C31"/>
      </font>
    </dxf>
    <dxf>
      <font>
        <color rgb="FF006C31"/>
      </font>
    </dxf>
    <dxf>
      <font>
        <color rgb="FFC00000"/>
      </font>
    </dxf>
    <dxf>
      <font>
        <color rgb="FFC00000"/>
      </font>
    </dxf>
    <dxf>
      <font>
        <color rgb="FF006C31"/>
      </font>
    </dxf>
    <dxf>
      <font>
        <color rgb="FFC00000"/>
      </font>
    </dxf>
    <dxf>
      <font>
        <color rgb="FF006C31"/>
      </font>
    </dxf>
    <dxf>
      <font>
        <color rgb="FF006C31"/>
      </font>
    </dxf>
    <dxf>
      <font>
        <color rgb="FFC00000"/>
      </font>
    </dxf>
    <dxf>
      <font>
        <color rgb="FFC00000"/>
      </font>
    </dxf>
    <dxf>
      <font>
        <color rgb="FF006C31"/>
      </font>
    </dxf>
    <dxf>
      <font>
        <color rgb="FFC00000"/>
      </font>
    </dxf>
    <dxf>
      <font>
        <color rgb="FF006C31"/>
      </font>
    </dxf>
    <dxf>
      <font>
        <color rgb="FFC00000"/>
      </font>
    </dxf>
    <dxf>
      <font>
        <color rgb="FF006C31"/>
      </font>
    </dxf>
    <dxf>
      <font>
        <color rgb="FF006C31"/>
      </font>
    </dxf>
    <dxf>
      <font>
        <color rgb="FFC00000"/>
      </font>
    </dxf>
    <dxf>
      <font>
        <color rgb="FFC00000"/>
      </font>
    </dxf>
    <dxf>
      <font>
        <color rgb="FF006C31"/>
      </font>
    </dxf>
    <dxf>
      <font>
        <color rgb="FF006C31"/>
      </font>
    </dxf>
    <dxf>
      <font>
        <color rgb="FFC00000"/>
      </font>
    </dxf>
    <dxf>
      <font>
        <color rgb="FF006C31"/>
      </font>
    </dxf>
    <dxf>
      <font>
        <color rgb="FFC00000"/>
      </font>
    </dxf>
    <dxf>
      <font>
        <color rgb="FF006C31"/>
      </font>
    </dxf>
    <dxf>
      <font>
        <color rgb="FFC00000"/>
      </font>
    </dxf>
    <dxf>
      <font>
        <color rgb="FF006C31"/>
      </font>
    </dxf>
    <dxf>
      <font>
        <color rgb="FFC00000"/>
      </font>
    </dxf>
    <dxf>
      <font>
        <color rgb="FFC00000"/>
      </font>
    </dxf>
    <dxf>
      <font>
        <color rgb="FF006C31"/>
      </font>
    </dxf>
    <dxf>
      <font>
        <color rgb="FF006C31"/>
      </font>
    </dxf>
    <dxf>
      <font>
        <color rgb="FFC00000"/>
      </font>
    </dxf>
    <dxf>
      <font>
        <color rgb="FF006C31"/>
      </font>
    </dxf>
    <dxf>
      <font>
        <color rgb="FFC00000"/>
      </font>
    </dxf>
    <dxf>
      <font>
        <color rgb="FFC00000"/>
      </font>
    </dxf>
    <dxf>
      <font>
        <color rgb="FF006C31"/>
      </font>
    </dxf>
    <dxf>
      <font>
        <color rgb="FFC00000"/>
      </font>
    </dxf>
    <dxf>
      <font>
        <color rgb="FF006C31"/>
      </font>
    </dxf>
    <dxf>
      <font>
        <color rgb="FF006C31"/>
      </font>
    </dxf>
    <dxf>
      <font>
        <color rgb="FFC00000"/>
      </font>
    </dxf>
    <dxf>
      <font>
        <color rgb="FF006C31"/>
      </font>
    </dxf>
    <dxf>
      <font>
        <color rgb="FFC00000"/>
      </font>
    </dxf>
    <dxf>
      <font>
        <color rgb="FF006C31"/>
      </font>
    </dxf>
    <dxf>
      <font>
        <color rgb="FFC00000"/>
      </font>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rgb="FFC00000"/>
      </font>
    </dxf>
    <dxf>
      <font>
        <color rgb="FF00B050"/>
      </font>
    </dxf>
    <dxf>
      <font>
        <color rgb="FF00B050"/>
      </font>
    </dxf>
    <dxf>
      <font>
        <color rgb="FFC00000"/>
      </font>
    </dxf>
    <dxf>
      <font>
        <color rgb="FF00B050"/>
      </font>
    </dxf>
    <dxf>
      <font>
        <color rgb="FFC00000"/>
      </font>
    </dxf>
    <dxf>
      <font>
        <b/>
        <i val="0"/>
        <color theme="0"/>
      </font>
      <fill>
        <patternFill>
          <bgColor rgb="FFC00000"/>
        </patternFill>
      </fill>
    </dxf>
    <dxf>
      <font>
        <b/>
        <i val="0"/>
        <color theme="1"/>
      </font>
      <fill>
        <patternFill>
          <bgColor rgb="FFFFC000"/>
        </patternFill>
      </fill>
    </dxf>
    <dxf>
      <font>
        <b/>
        <i val="0"/>
        <color theme="0"/>
      </font>
      <fill>
        <patternFill>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pt-BR" sz="1400" b="1">
                <a:solidFill>
                  <a:sysClr val="windowText" lastClr="000000"/>
                </a:solidFill>
              </a:rPr>
              <a:t>Avaliação</a:t>
            </a:r>
            <a:r>
              <a:rPr lang="pt-BR" sz="1400" b="1" baseline="0">
                <a:solidFill>
                  <a:sysClr val="windowText" lastClr="000000"/>
                </a:solidFill>
              </a:rPr>
              <a:t> por Pilar</a:t>
            </a:r>
            <a:endParaRPr lang="pt-BR" sz="1400" b="1">
              <a:solidFill>
                <a:sysClr val="windowText" lastClr="000000"/>
              </a:solidFill>
            </a:endParaRPr>
          </a:p>
        </c:rich>
      </c:tx>
      <c:layout>
        <c:manualLayout>
          <c:xMode val="edge"/>
          <c:yMode val="edge"/>
          <c:x val="0.3299183197199533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pt-BR"/>
        </a:p>
      </c:txPr>
    </c:title>
    <c:autoTitleDeleted val="0"/>
    <c:plotArea>
      <c:layout>
        <c:manualLayout>
          <c:layoutTarget val="inner"/>
          <c:xMode val="edge"/>
          <c:yMode val="edge"/>
          <c:x val="2.7465667915106119E-2"/>
          <c:y val="0.11985661054682614"/>
          <c:w val="0.94506866416978774"/>
          <c:h val="0.51987982550444489"/>
        </c:manualLayout>
      </c:layout>
      <c:barChart>
        <c:barDir val="col"/>
        <c:grouping val="clustered"/>
        <c:varyColors val="0"/>
        <c:ser>
          <c:idx val="0"/>
          <c:order val="0"/>
          <c:tx>
            <c:strRef>
              <c:f>'0.2'!$D$4</c:f>
              <c:strCache>
                <c:ptCount val="1"/>
                <c:pt idx="0">
                  <c:v>Preencher a data do onboarding e colcar valores nas datas</c:v>
                </c:pt>
              </c:strCache>
            </c:strRef>
          </c:tx>
          <c:spPr>
            <a:solidFill>
              <a:srgbClr val="FFC000"/>
            </a:solidFill>
            <a:ln>
              <a:solidFill>
                <a:schemeClr val="bg2">
                  <a:lumMod val="75000"/>
                </a:schemeClr>
              </a:solidFill>
            </a:ln>
            <a:effectLst/>
          </c:spPr>
          <c:invertIfNegative val="0"/>
          <c:dPt>
            <c:idx val="0"/>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E-76EB-4175-819F-3649A86EBBFD}"/>
              </c:ext>
            </c:extLst>
          </c:dPt>
          <c:dPt>
            <c:idx val="1"/>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7-B6E2-4576-8DE5-3B152248E8DA}"/>
              </c:ext>
            </c:extLst>
          </c:dPt>
          <c:dPt>
            <c:idx val="2"/>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8-DD43-47BE-8E16-696C0FEFE429}"/>
              </c:ext>
            </c:extLst>
          </c:dPt>
          <c:dPt>
            <c:idx val="3"/>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1-FC74-44DD-A55F-9896A407B033}"/>
              </c:ext>
            </c:extLst>
          </c:dPt>
          <c:dPt>
            <c:idx val="4"/>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8-B6E2-4576-8DE5-3B152248E8DA}"/>
              </c:ext>
            </c:extLst>
          </c:dPt>
          <c:dPt>
            <c:idx val="7"/>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B-B4B2-40C9-B9CA-3DBD89240D07}"/>
              </c:ext>
            </c:extLst>
          </c:dPt>
          <c:dPt>
            <c:idx val="8"/>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A-B4B2-40C9-B9CA-3DBD89240D07}"/>
              </c:ext>
            </c:extLst>
          </c:dPt>
          <c:dPt>
            <c:idx val="9"/>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F-9873-4B87-8365-3A1942D1328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'0.2'!$B$6:$B$15</c:f>
              <c:strCache>
                <c:ptCount val="10"/>
                <c:pt idx="0">
                  <c:v>ESTRATÉGICO</c:v>
                </c:pt>
                <c:pt idx="1">
                  <c:v>MARKETING</c:v>
                </c:pt>
                <c:pt idx="2">
                  <c:v>VENDAS</c:v>
                </c:pt>
                <c:pt idx="3">
                  <c:v>PESSOAS</c:v>
                </c:pt>
                <c:pt idx="4">
                  <c:v>FINANCEIRO</c:v>
                </c:pt>
                <c:pt idx="5">
                  <c:v>SOCIAL MEDIA</c:v>
                </c:pt>
                <c:pt idx="6">
                  <c:v>CAPTAÇÃO DE CONTEÚDOS</c:v>
                </c:pt>
                <c:pt idx="7">
                  <c:v>TRÁFEGO PAGO </c:v>
                </c:pt>
                <c:pt idx="8">
                  <c:v>SUCESSO DO CLIENTE</c:v>
                </c:pt>
                <c:pt idx="9">
                  <c:v>DESIGN</c:v>
                </c:pt>
              </c:strCache>
            </c:strRef>
          </c:cat>
          <c:val>
            <c:numRef>
              <c:f>'0.2'!$D$6:$D$15</c:f>
              <c:numCache>
                <c:formatCode>0.0</c:formatCode>
                <c:ptCount val="10"/>
                <c:pt idx="0">
                  <c:v>0.9</c:v>
                </c:pt>
                <c:pt idx="1">
                  <c:v>1.25</c:v>
                </c:pt>
                <c:pt idx="2">
                  <c:v>2.6</c:v>
                </c:pt>
                <c:pt idx="3">
                  <c:v>2.5</c:v>
                </c:pt>
                <c:pt idx="4">
                  <c:v>4.5</c:v>
                </c:pt>
                <c:pt idx="5">
                  <c:v>6.3</c:v>
                </c:pt>
                <c:pt idx="6">
                  <c:v>7.9</c:v>
                </c:pt>
                <c:pt idx="7">
                  <c:v>5.0999999999999996</c:v>
                </c:pt>
                <c:pt idx="8">
                  <c:v>3.4</c:v>
                </c:pt>
                <c:pt idx="9">
                  <c:v>2.4</c:v>
                </c:pt>
              </c:numCache>
            </c:numRef>
          </c:val>
          <c:extLst>
            <c:ext xmlns:c16="http://schemas.microsoft.com/office/drawing/2014/chart" uri="{C3380CC4-5D6E-409C-BE32-E72D297353CC}">
              <c16:uniqueId val="{00000002-FC74-44DD-A55F-9896A407B033}"/>
            </c:ext>
          </c:extLst>
        </c:ser>
        <c:ser>
          <c:idx val="1"/>
          <c:order val="1"/>
          <c:tx>
            <c:strRef>
              <c:f>'0.2'!$E$4</c:f>
              <c:strCache>
                <c:ptCount val="1"/>
                <c:pt idx="0">
                  <c:v>AVALIAÇÃO 1
(90 dias após o onboarding)</c:v>
                </c:pt>
              </c:strCache>
            </c:strRef>
          </c:tx>
          <c:spPr>
            <a:solidFill>
              <a:schemeClr val="tx2">
                <a:lumMod val="60000"/>
                <a:lumOff val="40000"/>
              </a:schemeClr>
            </a:solidFill>
            <a:ln>
              <a:solidFill>
                <a:schemeClr val="bg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'0.2'!$B$6:$B$15</c:f>
              <c:strCache>
                <c:ptCount val="10"/>
                <c:pt idx="0">
                  <c:v>ESTRATÉGICO</c:v>
                </c:pt>
                <c:pt idx="1">
                  <c:v>MARKETING</c:v>
                </c:pt>
                <c:pt idx="2">
                  <c:v>VENDAS</c:v>
                </c:pt>
                <c:pt idx="3">
                  <c:v>PESSOAS</c:v>
                </c:pt>
                <c:pt idx="4">
                  <c:v>FINANCEIRO</c:v>
                </c:pt>
                <c:pt idx="5">
                  <c:v>SOCIAL MEDIA</c:v>
                </c:pt>
                <c:pt idx="6">
                  <c:v>CAPTAÇÃO DE CONTEÚDOS</c:v>
                </c:pt>
                <c:pt idx="7">
                  <c:v>TRÁFEGO PAGO </c:v>
                </c:pt>
                <c:pt idx="8">
                  <c:v>SUCESSO DO CLIENTE</c:v>
                </c:pt>
                <c:pt idx="9">
                  <c:v>DESIGN</c:v>
                </c:pt>
              </c:strCache>
            </c:strRef>
          </c:cat>
          <c:val>
            <c:numRef>
              <c:f>'0.2'!$E$6:$E$15</c:f>
              <c:numCache>
                <c:formatCode>0.0</c:formatCode>
                <c:ptCount val="10"/>
              </c:numCache>
            </c:numRef>
          </c:val>
          <c:extLst>
            <c:ext xmlns:c16="http://schemas.microsoft.com/office/drawing/2014/chart" uri="{C3380CC4-5D6E-409C-BE32-E72D297353CC}">
              <c16:uniqueId val="{00000003-FC74-44DD-A55F-9896A407B033}"/>
            </c:ext>
          </c:extLst>
        </c:ser>
        <c:ser>
          <c:idx val="2"/>
          <c:order val="2"/>
          <c:tx>
            <c:strRef>
              <c:f>'0.2'!$F$4</c:f>
              <c:strCache>
                <c:ptCount val="1"/>
                <c:pt idx="0">
                  <c:v>AVALIAÇÃO 2
(180 dias após a Avaliação 1)</c:v>
                </c:pt>
              </c:strCache>
            </c:strRef>
          </c:tx>
          <c:spPr>
            <a:solidFill>
              <a:srgbClr val="FFC000"/>
            </a:solidFill>
            <a:ln>
              <a:solidFill>
                <a:schemeClr val="bg2">
                  <a:lumMod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'0.2'!$B$6:$B$15</c:f>
              <c:strCache>
                <c:ptCount val="10"/>
                <c:pt idx="0">
                  <c:v>ESTRATÉGICO</c:v>
                </c:pt>
                <c:pt idx="1">
                  <c:v>MARKETING</c:v>
                </c:pt>
                <c:pt idx="2">
                  <c:v>VENDAS</c:v>
                </c:pt>
                <c:pt idx="3">
                  <c:v>PESSOAS</c:v>
                </c:pt>
                <c:pt idx="4">
                  <c:v>FINANCEIRO</c:v>
                </c:pt>
                <c:pt idx="5">
                  <c:v>SOCIAL MEDIA</c:v>
                </c:pt>
                <c:pt idx="6">
                  <c:v>CAPTAÇÃO DE CONTEÚDOS</c:v>
                </c:pt>
                <c:pt idx="7">
                  <c:v>TRÁFEGO PAGO </c:v>
                </c:pt>
                <c:pt idx="8">
                  <c:v>SUCESSO DO CLIENTE</c:v>
                </c:pt>
                <c:pt idx="9">
                  <c:v>DESIGN</c:v>
                </c:pt>
              </c:strCache>
            </c:strRef>
          </c:cat>
          <c:val>
            <c:numRef>
              <c:f>'0.2'!$F$6:$F$15</c:f>
              <c:numCache>
                <c:formatCode>0.0</c:formatCode>
                <c:ptCount val="10"/>
              </c:numCache>
            </c:numRef>
          </c:val>
          <c:extLst>
            <c:ext xmlns:c16="http://schemas.microsoft.com/office/drawing/2014/chart" uri="{C3380CC4-5D6E-409C-BE32-E72D297353CC}">
              <c16:uniqueId val="{00000004-FC74-44DD-A55F-9896A407B033}"/>
            </c:ext>
          </c:extLst>
        </c:ser>
        <c:ser>
          <c:idx val="3"/>
          <c:order val="3"/>
          <c:tx>
            <c:strRef>
              <c:f>'0.2'!$G$4</c:f>
              <c:strCache>
                <c:ptCount val="1"/>
                <c:pt idx="0">
                  <c:v>AVALIAÇÃO 3
(270 dias após a Avaliação 2)</c:v>
                </c:pt>
              </c:strCache>
            </c:strRef>
          </c:tx>
          <c:spPr>
            <a:solidFill>
              <a:schemeClr val="tx2">
                <a:lumMod val="50000"/>
              </a:schemeClr>
            </a:solidFill>
            <a:ln>
              <a:solidFill>
                <a:schemeClr val="bg2">
                  <a:lumMod val="1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'0.2'!$B$6:$B$15</c:f>
              <c:strCache>
                <c:ptCount val="10"/>
                <c:pt idx="0">
                  <c:v>ESTRATÉGICO</c:v>
                </c:pt>
                <c:pt idx="1">
                  <c:v>MARKETING</c:v>
                </c:pt>
                <c:pt idx="2">
                  <c:v>VENDAS</c:v>
                </c:pt>
                <c:pt idx="3">
                  <c:v>PESSOAS</c:v>
                </c:pt>
                <c:pt idx="4">
                  <c:v>FINANCEIRO</c:v>
                </c:pt>
                <c:pt idx="5">
                  <c:v>SOCIAL MEDIA</c:v>
                </c:pt>
                <c:pt idx="6">
                  <c:v>CAPTAÇÃO DE CONTEÚDOS</c:v>
                </c:pt>
                <c:pt idx="7">
                  <c:v>TRÁFEGO PAGO </c:v>
                </c:pt>
                <c:pt idx="8">
                  <c:v>SUCESSO DO CLIENTE</c:v>
                </c:pt>
                <c:pt idx="9">
                  <c:v>DESIGN</c:v>
                </c:pt>
              </c:strCache>
            </c:strRef>
          </c:cat>
          <c:val>
            <c:numRef>
              <c:f>'0.2'!$G$6:$G$15</c:f>
              <c:numCache>
                <c:formatCode>0.0</c:formatCode>
                <c:ptCount val="10"/>
              </c:numCache>
            </c:numRef>
          </c:val>
          <c:extLst>
            <c:ext xmlns:c16="http://schemas.microsoft.com/office/drawing/2014/chart" uri="{C3380CC4-5D6E-409C-BE32-E72D297353CC}">
              <c16:uniqueId val="{00000005-FC74-44DD-A55F-9896A407B033}"/>
            </c:ext>
          </c:extLst>
        </c:ser>
        <c:dLbls>
          <c:showLegendKey val="0"/>
          <c:showVal val="0"/>
          <c:showCatName val="0"/>
          <c:showSerName val="0"/>
          <c:showPercent val="0"/>
          <c:showBubbleSize val="0"/>
        </c:dLbls>
        <c:gapWidth val="132"/>
        <c:overlap val="-21"/>
        <c:axId val="1596814015"/>
        <c:axId val="1596814495"/>
      </c:barChart>
      <c:catAx>
        <c:axId val="15968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pt-BR"/>
          </a:p>
        </c:txPr>
        <c:crossAx val="1596814495"/>
        <c:crosses val="autoZero"/>
        <c:auto val="1"/>
        <c:lblAlgn val="ctr"/>
        <c:lblOffset val="100"/>
        <c:noMultiLvlLbl val="0"/>
      </c:catAx>
      <c:valAx>
        <c:axId val="1596814495"/>
        <c:scaling>
          <c:orientation val="minMax"/>
        </c:scaling>
        <c:delete val="1"/>
        <c:axPos val="l"/>
        <c:numFmt formatCode="0.0" sourceLinked="1"/>
        <c:majorTickMark val="none"/>
        <c:minorTickMark val="none"/>
        <c:tickLblPos val="nextTo"/>
        <c:crossAx val="15968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'0.4'!$B$13</c:f>
              <c:strCache>
                <c:ptCount val="1"/>
                <c:pt idx="0">
                  <c:v>Acima da meta</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'0.4'!$D$11:$O$11</c:f>
              <c:numCache>
                <c:formatCode>#,##0</c:formatCode>
                <c:ptCount val="12"/>
                <c:pt idx="0">
                  <c:v>16000</c:v>
                </c:pt>
                <c:pt idx="1">
                  <c:v>17000</c:v>
                </c:pt>
                <c:pt idx="2">
                  <c:v>20000</c:v>
                </c:pt>
                <c:pt idx="3">
                  <c:v>19999</c:v>
                </c:pt>
              </c:numCache>
            </c:numRef>
          </c:val>
          <c:extLst>
            <c:ext xmlns:c16="http://schemas.microsoft.com/office/drawing/2014/chart" uri="{C3380CC4-5D6E-409C-BE32-E72D297353CC}">
              <c16:uniqueId val="{00000000-979F-4DE0-B512-525B9320E5B0}"/>
            </c:ext>
          </c:extLst>
        </c:ser>
        <c:ser>
          <c:idx val="2"/>
          <c:order val="2"/>
          <c:tx>
            <c:strRef>
              <c:f>'0.4'!$B$12</c:f>
              <c:strCache>
                <c:ptCount val="1"/>
                <c:pt idx="0">
                  <c:v>Abaixo da meta</c:v>
                </c:pt>
              </c:strCache>
            </c:strRef>
          </c:tx>
          <c:spPr>
            <a:solidFill>
              <a:srgbClr val="9E0000"/>
            </a:solidFill>
            <a:ln>
              <a:noFill/>
            </a:ln>
            <a:effectLst/>
          </c:spPr>
          <c:invertIfNegative val="0"/>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'0.4'!$D$12:$O$12</c:f>
              <c:numCache>
                <c:formatCode>#,##0</c:formatCode>
                <c:ptCount val="12"/>
                <c:pt idx="0">
                  <c:v>0</c:v>
                </c:pt>
                <c:pt idx="1">
                  <c:v>17000</c:v>
                </c:pt>
                <c:pt idx="2">
                  <c:v>0</c:v>
                </c:pt>
                <c:pt idx="3">
                  <c:v>19999</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979F-4DE0-B512-525B9320E5B0}"/>
            </c:ext>
          </c:extLst>
        </c:ser>
        <c:dLbls>
          <c:showLegendKey val="0"/>
          <c:showVal val="0"/>
          <c:showCatName val="0"/>
          <c:showSerName val="0"/>
          <c:showPercent val="0"/>
          <c:showBubbleSize val="0"/>
        </c:dLbls>
        <c:gapWidth val="50"/>
        <c:overlap val="100"/>
        <c:axId val="930999280"/>
        <c:axId val="930985136"/>
      </c:barChart>
      <c:lineChart>
        <c:grouping val="standard"/>
        <c:varyColors val="0"/>
        <c:ser>
          <c:idx val="0"/>
          <c:order val="0"/>
          <c:tx>
            <c:strRef>
              <c:f>'0.4'!$B$10</c:f>
              <c:strCache>
                <c:ptCount val="1"/>
                <c:pt idx="0">
                  <c:v>Meta</c:v>
                </c:pt>
              </c:strCache>
            </c:strRef>
          </c:tx>
          <c:spPr>
            <a:ln w="28575" cap="rnd">
              <a:solidFill>
                <a:schemeClr val="tx1"/>
              </a:solidFill>
              <a:prstDash val="sysDot"/>
              <a:round/>
            </a:ln>
            <a:effectLst/>
          </c:spPr>
          <c:marker>
            <c:symbol val="circle"/>
            <c:size val="5"/>
            <c:spPr>
              <a:solidFill>
                <a:srgbClr val="00206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'0.4'!$D$10:$O$10</c:f>
              <c:numCache>
                <c:formatCode>#,##0</c:formatCode>
                <c:ptCount val="12"/>
                <c:pt idx="0">
                  <c:v>15000</c:v>
                </c:pt>
                <c:pt idx="1">
                  <c:v>18000</c:v>
                </c:pt>
                <c:pt idx="2">
                  <c:v>19000</c:v>
                </c:pt>
                <c:pt idx="3">
                  <c:v>20000</c:v>
                </c:pt>
                <c:pt idx="4">
                  <c:v>21000</c:v>
                </c:pt>
                <c:pt idx="5">
                  <c:v>22000</c:v>
                </c:pt>
                <c:pt idx="6">
                  <c:v>23000</c:v>
                </c:pt>
                <c:pt idx="7">
                  <c:v>24000</c:v>
                </c:pt>
                <c:pt idx="8">
                  <c:v>25000</c:v>
                </c:pt>
                <c:pt idx="9">
                  <c:v>26000</c:v>
                </c:pt>
                <c:pt idx="10">
                  <c:v>27000</c:v>
                </c:pt>
                <c:pt idx="11">
                  <c:v>28000</c:v>
                </c:pt>
              </c:numCache>
            </c:numRef>
          </c:val>
          <c:smooth val="0"/>
          <c:extLst>
            <c:ext xmlns:c16="http://schemas.microsoft.com/office/drawing/2014/chart" uri="{C3380CC4-5D6E-409C-BE32-E72D297353CC}">
              <c16:uniqueId val="{00000002-979F-4DE0-B512-525B9320E5B0}"/>
            </c:ext>
          </c:extLst>
        </c:ser>
        <c:dLbls>
          <c:showLegendKey val="0"/>
          <c:showVal val="0"/>
          <c:showCatName val="0"/>
          <c:showSerName val="0"/>
          <c:showPercent val="0"/>
          <c:showBubbleSize val="0"/>
        </c:dLbls>
        <c:marker val="1"/>
        <c:smooth val="0"/>
        <c:axId val="930999280"/>
        <c:axId val="930985136"/>
      </c:lineChart>
      <c:dateAx>
        <c:axId val="9309992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930985136"/>
        <c:crosses val="autoZero"/>
        <c:auto val="1"/>
        <c:lblOffset val="100"/>
        <c:baseTimeUnit val="months"/>
      </c:dateAx>
      <c:valAx>
        <c:axId val="930985136"/>
        <c:scaling>
          <c:orientation val="minMax"/>
        </c:scaling>
        <c:delete val="1"/>
        <c:axPos val="l"/>
        <c:numFmt formatCode="#,##0" sourceLinked="1"/>
        <c:majorTickMark val="none"/>
        <c:minorTickMark val="none"/>
        <c:tickLblPos val="nextTo"/>
        <c:crossAx val="930999280"/>
        <c:crosses val="autoZero"/>
        <c:crossBetween val="between"/>
      </c:valAx>
      <c:spPr>
        <a:noFill/>
        <a:ln>
          <a:noFill/>
        </a:ln>
        <a:effectLst/>
      </c:spPr>
    </c:plotArea>
    <c:legend>
      <c:legendPos val="t"/>
      <c:layout>
        <c:manualLayout>
          <c:xMode val="edge"/>
          <c:yMode val="edge"/>
          <c:x val="0.31588706705643704"/>
          <c:y val="0"/>
          <c:w val="0.36822586588712591"/>
          <c:h val="0.126563335998686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'0.4'!$B$27</c:f>
              <c:strCache>
                <c:ptCount val="1"/>
                <c:pt idx="0">
                  <c:v>Acima da meta</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'0.4'!$D$25:$O$25</c:f>
              <c:numCache>
                <c:formatCode>#,##0</c:formatCode>
                <c:ptCount val="12"/>
              </c:numCache>
            </c:numRef>
          </c:val>
          <c:extLst>
            <c:ext xmlns:c16="http://schemas.microsoft.com/office/drawing/2014/chart" uri="{C3380CC4-5D6E-409C-BE32-E72D297353CC}">
              <c16:uniqueId val="{00000000-ECAD-41EB-9555-D95C05D9784B}"/>
            </c:ext>
          </c:extLst>
        </c:ser>
        <c:ser>
          <c:idx val="2"/>
          <c:order val="2"/>
          <c:tx>
            <c:strRef>
              <c:f>'0.4'!$B$26</c:f>
              <c:strCache>
                <c:ptCount val="1"/>
                <c:pt idx="0">
                  <c:v>Abaixo da meta</c:v>
                </c:pt>
              </c:strCache>
            </c:strRef>
          </c:tx>
          <c:spPr>
            <a:solidFill>
              <a:srgbClr val="9E0000"/>
            </a:solidFill>
            <a:ln>
              <a:noFill/>
            </a:ln>
            <a:effectLst/>
          </c:spPr>
          <c:invertIfNegative val="0"/>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'0.4'!$D$26:$O$26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CAD-41EB-9555-D95C05D9784B}"/>
            </c:ext>
          </c:extLst>
        </c:ser>
        <c:dLbls>
          <c:showLegendKey val="0"/>
          <c:showVal val="0"/>
          <c:showCatName val="0"/>
          <c:showSerName val="0"/>
          <c:showPercent val="0"/>
          <c:showBubbleSize val="0"/>
        </c:dLbls>
        <c:gapWidth val="50"/>
        <c:overlap val="100"/>
        <c:axId val="930999280"/>
        <c:axId val="930985136"/>
      </c:barChart>
      <c:lineChart>
        <c:grouping val="standard"/>
        <c:varyColors val="0"/>
        <c:ser>
          <c:idx val="0"/>
          <c:order val="0"/>
          <c:tx>
            <c:strRef>
              <c:f>'0.4'!$B$24</c:f>
              <c:strCache>
                <c:ptCount val="1"/>
                <c:pt idx="0">
                  <c:v>Meta</c:v>
                </c:pt>
              </c:strCache>
            </c:strRef>
          </c:tx>
          <c:spPr>
            <a:ln w="28575" cap="rnd">
              <a:solidFill>
                <a:sysClr val="windowText" lastClr="000000"/>
              </a:solidFill>
              <a:prstDash val="sysDot"/>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'0.4'!$D$24:$O$24</c:f>
              <c:numCache>
                <c:formatCode>#,##0</c:formatCode>
                <c:ptCount val="12"/>
                <c:pt idx="0">
                  <c:v>12000</c:v>
                </c:pt>
                <c:pt idx="1">
                  <c:v>14400</c:v>
                </c:pt>
                <c:pt idx="2">
                  <c:v>15200</c:v>
                </c:pt>
                <c:pt idx="3">
                  <c:v>16000</c:v>
                </c:pt>
                <c:pt idx="4">
                  <c:v>16800</c:v>
                </c:pt>
                <c:pt idx="5">
                  <c:v>17600</c:v>
                </c:pt>
                <c:pt idx="6">
                  <c:v>18400</c:v>
                </c:pt>
                <c:pt idx="7">
                  <c:v>19200</c:v>
                </c:pt>
                <c:pt idx="8">
                  <c:v>20000</c:v>
                </c:pt>
                <c:pt idx="9">
                  <c:v>20800</c:v>
                </c:pt>
                <c:pt idx="10">
                  <c:v>21600</c:v>
                </c:pt>
                <c:pt idx="11">
                  <c:v>22400</c:v>
                </c:pt>
              </c:numCache>
            </c:numRef>
          </c:val>
          <c:smooth val="0"/>
          <c:extLst>
            <c:ext xmlns:c16="http://schemas.microsoft.com/office/drawing/2014/chart" uri="{C3380CC4-5D6E-409C-BE32-E72D297353CC}">
              <c16:uniqueId val="{00000002-ECAD-41EB-9555-D95C05D9784B}"/>
            </c:ext>
          </c:extLst>
        </c:ser>
        <c:dLbls>
          <c:showLegendKey val="0"/>
          <c:showVal val="0"/>
          <c:showCatName val="0"/>
          <c:showSerName val="0"/>
          <c:showPercent val="0"/>
          <c:showBubbleSize val="0"/>
        </c:dLbls>
        <c:marker val="1"/>
        <c:smooth val="0"/>
        <c:axId val="930999280"/>
        <c:axId val="930985136"/>
      </c:lineChart>
      <c:dateAx>
        <c:axId val="9309992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930985136"/>
        <c:crosses val="autoZero"/>
        <c:auto val="1"/>
        <c:lblOffset val="100"/>
        <c:baseTimeUnit val="months"/>
      </c:dateAx>
      <c:valAx>
        <c:axId val="930985136"/>
        <c:scaling>
          <c:orientation val="minMax"/>
        </c:scaling>
        <c:delete val="1"/>
        <c:axPos val="l"/>
        <c:numFmt formatCode="#,##0" sourceLinked="1"/>
        <c:majorTickMark val="none"/>
        <c:minorTickMark val="none"/>
        <c:tickLblPos val="nextTo"/>
        <c:crossAx val="930999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'0.4'!$B$41</c:f>
              <c:strCache>
                <c:ptCount val="1"/>
                <c:pt idx="0">
                  <c:v>Acima da meta</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'0.4'!$D$39:$O$39</c:f>
              <c:numCache>
                <c:formatCode>#,##0</c:formatCode>
                <c:ptCount val="12"/>
              </c:numCache>
            </c:numRef>
          </c:val>
          <c:extLst>
            <c:ext xmlns:c16="http://schemas.microsoft.com/office/drawing/2014/chart" uri="{C3380CC4-5D6E-409C-BE32-E72D297353CC}">
              <c16:uniqueId val="{00000000-6205-471B-A18D-8169AF11C3C9}"/>
            </c:ext>
          </c:extLst>
        </c:ser>
        <c:ser>
          <c:idx val="2"/>
          <c:order val="2"/>
          <c:tx>
            <c:strRef>
              <c:f>'0.4'!$B$40</c:f>
              <c:strCache>
                <c:ptCount val="1"/>
                <c:pt idx="0">
                  <c:v>Abaixo da meta</c:v>
                </c:pt>
              </c:strCache>
            </c:strRef>
          </c:tx>
          <c:spPr>
            <a:solidFill>
              <a:srgbClr val="9E0000"/>
            </a:solidFill>
            <a:ln>
              <a:noFill/>
            </a:ln>
            <a:effectLst/>
          </c:spPr>
          <c:invertIfNegative val="0"/>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'0.4'!$D$40:$O$40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205-471B-A18D-8169AF11C3C9}"/>
            </c:ext>
          </c:extLst>
        </c:ser>
        <c:dLbls>
          <c:showLegendKey val="0"/>
          <c:showVal val="0"/>
          <c:showCatName val="0"/>
          <c:showSerName val="0"/>
          <c:showPercent val="0"/>
          <c:showBubbleSize val="0"/>
        </c:dLbls>
        <c:gapWidth val="50"/>
        <c:overlap val="100"/>
        <c:axId val="930999280"/>
        <c:axId val="930985136"/>
      </c:barChart>
      <c:lineChart>
        <c:grouping val="standard"/>
        <c:varyColors val="0"/>
        <c:ser>
          <c:idx val="0"/>
          <c:order val="0"/>
          <c:tx>
            <c:strRef>
              <c:f>'0.4'!$B$38</c:f>
              <c:strCache>
                <c:ptCount val="1"/>
                <c:pt idx="0">
                  <c:v>Meta</c:v>
                </c:pt>
              </c:strCache>
            </c:strRef>
          </c:tx>
          <c:spPr>
            <a:ln w="28575" cap="rnd">
              <a:solidFill>
                <a:schemeClr val="tx1"/>
              </a:solidFill>
              <a:prstDash val="sysDot"/>
              <a:round/>
            </a:ln>
            <a:effectLst/>
          </c:spPr>
          <c:marker>
            <c:symbol val="circle"/>
            <c:size val="5"/>
            <c:spPr>
              <a:solidFill>
                <a:schemeClr val="tx1"/>
              </a:solidFill>
              <a:ln w="9525">
                <a:solidFill>
                  <a:schemeClr val="tx1"/>
                </a:solidFill>
                <a:prstDash val="sysDot"/>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'0.4'!$D$38:$O$38</c:f>
              <c:numCache>
                <c:formatCode>#,##0</c:formatCode>
                <c:ptCount val="12"/>
                <c:pt idx="0">
                  <c:v>16000</c:v>
                </c:pt>
                <c:pt idx="1">
                  <c:v>16000</c:v>
                </c:pt>
                <c:pt idx="2">
                  <c:v>16000</c:v>
                </c:pt>
                <c:pt idx="3">
                  <c:v>19000</c:v>
                </c:pt>
                <c:pt idx="4">
                  <c:v>19000</c:v>
                </c:pt>
                <c:pt idx="5">
                  <c:v>19000</c:v>
                </c:pt>
                <c:pt idx="6">
                  <c:v>19000</c:v>
                </c:pt>
                <c:pt idx="7">
                  <c:v>19000</c:v>
                </c:pt>
                <c:pt idx="8">
                  <c:v>22000</c:v>
                </c:pt>
                <c:pt idx="9">
                  <c:v>22000</c:v>
                </c:pt>
                <c:pt idx="10">
                  <c:v>22000</c:v>
                </c:pt>
                <c:pt idx="11">
                  <c:v>22000</c:v>
                </c:pt>
              </c:numCache>
            </c:numRef>
          </c:val>
          <c:smooth val="0"/>
          <c:extLst>
            <c:ext xmlns:c16="http://schemas.microsoft.com/office/drawing/2014/chart" uri="{C3380CC4-5D6E-409C-BE32-E72D297353CC}">
              <c16:uniqueId val="{00000002-6205-471B-A18D-8169AF11C3C9}"/>
            </c:ext>
          </c:extLst>
        </c:ser>
        <c:dLbls>
          <c:showLegendKey val="0"/>
          <c:showVal val="0"/>
          <c:showCatName val="0"/>
          <c:showSerName val="0"/>
          <c:showPercent val="0"/>
          <c:showBubbleSize val="0"/>
        </c:dLbls>
        <c:marker val="1"/>
        <c:smooth val="0"/>
        <c:axId val="930999280"/>
        <c:axId val="930985136"/>
      </c:lineChart>
      <c:dateAx>
        <c:axId val="9309992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930985136"/>
        <c:crosses val="autoZero"/>
        <c:auto val="1"/>
        <c:lblOffset val="100"/>
        <c:baseTimeUnit val="months"/>
      </c:dateAx>
      <c:valAx>
        <c:axId val="930985136"/>
        <c:scaling>
          <c:orientation val="minMax"/>
        </c:scaling>
        <c:delete val="1"/>
        <c:axPos val="l"/>
        <c:numFmt formatCode="#,##0" sourceLinked="1"/>
        <c:majorTickMark val="none"/>
        <c:minorTickMark val="none"/>
        <c:tickLblPos val="nextTo"/>
        <c:crossAx val="930999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'0.4'!$AG$23</c:f>
              <c:strCache>
                <c:ptCount val="1"/>
                <c:pt idx="0">
                  <c:v>novembro</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5A76-4479-A998-A3C9762D5D1C}"/>
              </c:ext>
            </c:extLst>
          </c:dPt>
          <c:dPt>
            <c:idx val="1"/>
            <c:invertIfNegative val="0"/>
            <c:bubble3D val="0"/>
            <c:spPr>
              <a:solidFill>
                <a:srgbClr val="FFC000"/>
              </a:solidFill>
              <a:ln>
                <a:noFill/>
              </a:ln>
              <a:effectLst/>
            </c:spPr>
            <c:extLst>
              <c:ext xmlns:c16="http://schemas.microsoft.com/office/drawing/2014/chart" uri="{C3380CC4-5D6E-409C-BE32-E72D297353CC}">
                <c16:uniqueId val="{00000003-5A76-4479-A998-A3C9762D5D1C}"/>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'0.4'!$AF$24:$AF$25</c:f>
              <c:strCache>
                <c:ptCount val="2"/>
                <c:pt idx="0">
                  <c:v>Meta Nov</c:v>
                </c:pt>
                <c:pt idx="1">
                  <c:v>Real Nov</c:v>
                </c:pt>
              </c:strCache>
            </c:strRef>
          </c:cat>
          <c:val>
            <c:numRef>
              <c:f>'0.4'!$AG$24:$AG$25</c:f>
              <c:numCache>
                <c:formatCode>#,##0</c:formatCode>
                <c:ptCount val="2"/>
                <c:pt idx="0">
                  <c:v>12000</c:v>
                </c:pt>
                <c:pt idx="1">
                  <c:v>0</c:v>
                </c:pt>
              </c:numCache>
            </c:numRef>
          </c:val>
          <c:extLst>
            <c:ext xmlns:c16="http://schemas.microsoft.com/office/drawing/2014/chart" uri="{C3380CC4-5D6E-409C-BE32-E72D297353CC}">
              <c16:uniqueId val="{00000004-5A76-4479-A998-A3C9762D5D1C}"/>
            </c:ext>
          </c:extLst>
        </c:ser>
        <c:dLbls>
          <c:dLblPos val="outEnd"/>
          <c:showLegendKey val="0"/>
          <c:showVal val="1"/>
          <c:showCatName val="0"/>
          <c:showSerName val="0"/>
          <c:showPercent val="0"/>
          <c:showBubbleSize val="0"/>
        </c:dLbls>
        <c:gapWidth val="5"/>
        <c:overlap val="-27"/>
        <c:axId val="1414879519"/>
        <c:axId val="1414894911"/>
      </c:barChart>
      <c:catAx>
        <c:axId val="141487951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414894911"/>
        <c:crosses val="autoZero"/>
        <c:auto val="1"/>
        <c:lblAlgn val="ctr"/>
        <c:lblOffset val="100"/>
        <c:noMultiLvlLbl val="0"/>
      </c:catAx>
      <c:valAx>
        <c:axId val="1414894911"/>
        <c:scaling>
          <c:orientation val="minMax"/>
        </c:scaling>
        <c:delete val="1"/>
        <c:axPos val="l"/>
        <c:numFmt formatCode="#,##0" sourceLinked="1"/>
        <c:majorTickMark val="none"/>
        <c:minorTickMark val="none"/>
        <c:tickLblPos val="nextTo"/>
        <c:crossAx val="141487951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'0.4'!$AI$23</c:f>
              <c:strCache>
                <c:ptCount val="1"/>
                <c:pt idx="0">
                  <c:v>Acumulado</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4056-4ED8-AB75-353010D603C9}"/>
              </c:ext>
            </c:extLst>
          </c:dPt>
          <c:dPt>
            <c:idx val="1"/>
            <c:invertIfNegative val="0"/>
            <c:bubble3D val="0"/>
            <c:spPr>
              <a:solidFill>
                <a:srgbClr val="FFC000"/>
              </a:solidFill>
              <a:ln>
                <a:noFill/>
              </a:ln>
              <a:effectLst/>
            </c:spPr>
            <c:extLst>
              <c:ext xmlns:c16="http://schemas.microsoft.com/office/drawing/2014/chart" uri="{C3380CC4-5D6E-409C-BE32-E72D297353CC}">
                <c16:uniqueId val="{00000003-4056-4ED8-AB75-353010D603C9}"/>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'0.4'!$AH$24:$AH$25</c:f>
              <c:strCache>
                <c:ptCount val="2"/>
                <c:pt idx="0">
                  <c:v>Meta acum.</c:v>
                </c:pt>
                <c:pt idx="1">
                  <c:v>Real acum.</c:v>
                </c:pt>
              </c:strCache>
            </c:strRef>
          </c:cat>
          <c:val>
            <c:numRef>
              <c:f>'0.4'!$AI$24:$AI$25</c:f>
              <c:numCache>
                <c:formatCode>#,##0</c:formatCode>
                <c:ptCount val="2"/>
                <c:pt idx="0">
                  <c:v>214400</c:v>
                </c:pt>
                <c:pt idx="1">
                  <c:v>0</c:v>
                </c:pt>
              </c:numCache>
            </c:numRef>
          </c:val>
          <c:extLst>
            <c:ext xmlns:c16="http://schemas.microsoft.com/office/drawing/2014/chart" uri="{C3380CC4-5D6E-409C-BE32-E72D297353CC}">
              <c16:uniqueId val="{00000004-4056-4ED8-AB75-353010D603C9}"/>
            </c:ext>
          </c:extLst>
        </c:ser>
        <c:dLbls>
          <c:dLblPos val="outEnd"/>
          <c:showLegendKey val="0"/>
          <c:showVal val="1"/>
          <c:showCatName val="0"/>
          <c:showSerName val="0"/>
          <c:showPercent val="0"/>
          <c:showBubbleSize val="0"/>
        </c:dLbls>
        <c:gapWidth val="5"/>
        <c:overlap val="-27"/>
        <c:axId val="1414879519"/>
        <c:axId val="1414894911"/>
      </c:barChart>
      <c:catAx>
        <c:axId val="141487951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414894911"/>
        <c:crosses val="autoZero"/>
        <c:auto val="1"/>
        <c:lblAlgn val="ctr"/>
        <c:lblOffset val="100"/>
        <c:noMultiLvlLbl val="0"/>
      </c:catAx>
      <c:valAx>
        <c:axId val="1414894911"/>
        <c:scaling>
          <c:orientation val="minMax"/>
        </c:scaling>
        <c:delete val="1"/>
        <c:axPos val="l"/>
        <c:numFmt formatCode="#,##0" sourceLinked="1"/>
        <c:majorTickMark val="none"/>
        <c:minorTickMark val="none"/>
        <c:tickLblPos val="nextTo"/>
        <c:crossAx val="141487951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55738</xdr:colOff>
      <xdr:row>3</xdr:row>
      <xdr:rowOff>12699</xdr:rowOff>
    </xdr:from>
    <xdr:to>
      <xdr:col>17</xdr:col>
      <xdr:colOff>599721</xdr:colOff>
      <xdr:row>18</xdr:row>
      <xdr:rowOff>7054</xdr:rowOff>
    </xdr:to>
    <xdr:graphicFrame macro="">
      <xdr:nvGraphicFramePr>
        <xdr:cNvPr id="2" name="Gráfico 1">
          <a:extLst>
            <a:ext uri="{FF2B5EF4-FFF2-40B4-BE49-F238E27FC236}">
              <a16:creationId xmlns:a16="http://schemas.microsoft.com/office/drawing/2014/main" id="{3990A974-1B85-4C0E-A788-2F2928D93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117927</xdr:colOff>
      <xdr:row>3</xdr:row>
      <xdr:rowOff>1361</xdr:rowOff>
    </xdr:from>
    <xdr:to>
      <xdr:col>16</xdr:col>
      <xdr:colOff>26921</xdr:colOff>
      <xdr:row>7</xdr:row>
      <xdr:rowOff>1362</xdr:rowOff>
    </xdr:to>
    <xdr:graphicFrame macro="">
      <xdr:nvGraphicFramePr>
        <xdr:cNvPr id="3" name="Gráfico 2">
          <a:extLst>
            <a:ext uri="{FF2B5EF4-FFF2-40B4-BE49-F238E27FC236}">
              <a16:creationId xmlns:a16="http://schemas.microsoft.com/office/drawing/2014/main" id="{B33CAB0D-0D85-4D28-9539-644D251C4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513444</xdr:colOff>
      <xdr:row>6</xdr:row>
      <xdr:rowOff>73611</xdr:rowOff>
    </xdr:from>
    <xdr:to>
      <xdr:col>2</xdr:col>
      <xdr:colOff>827768</xdr:colOff>
      <xdr:row>6</xdr:row>
      <xdr:rowOff>387935</xdr:rowOff>
    </xdr:to>
    <xdr:pic>
      <xdr:nvPicPr>
        <xdr:cNvPr id="4" name="Imagem 3">
          <a:extLst>
            <a:ext uri="{FF2B5EF4-FFF2-40B4-BE49-F238E27FC236}">
              <a16:creationId xmlns:a16="http://schemas.microsoft.com/office/drawing/2014/main" id="{213AEFD7-058A-49B3-A842-CF169F25E4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910444" y="2214468"/>
          <a:ext cx="314324" cy="314324"/>
        </a:xfrm>
        <a:prstGeom prst="rect">
          <a:avLst/>
        </a:prstGeom>
      </xdr:spPr>
    </xdr:pic>
    <xdr:clientData/>
  </xdr:twoCellAnchor>
  <xdr:twoCellAnchor editAs="absolute">
    <xdr:from>
      <xdr:col>3</xdr:col>
      <xdr:colOff>143034</xdr:colOff>
      <xdr:row>16</xdr:row>
      <xdr:rowOff>145142</xdr:rowOff>
    </xdr:from>
    <xdr:to>
      <xdr:col>16</xdr:col>
      <xdr:colOff>108857</xdr:colOff>
      <xdr:row>20</xdr:row>
      <xdr:rowOff>408213</xdr:rowOff>
    </xdr:to>
    <xdr:graphicFrame macro="">
      <xdr:nvGraphicFramePr>
        <xdr:cNvPr id="5" name="Gráfico 4">
          <a:extLst>
            <a:ext uri="{FF2B5EF4-FFF2-40B4-BE49-F238E27FC236}">
              <a16:creationId xmlns:a16="http://schemas.microsoft.com/office/drawing/2014/main" id="{A61BAD7D-6A5A-4A29-82FE-C5FBAC998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510856</xdr:colOff>
      <xdr:row>20</xdr:row>
      <xdr:rowOff>73945</xdr:rowOff>
    </xdr:from>
    <xdr:to>
      <xdr:col>2</xdr:col>
      <xdr:colOff>825180</xdr:colOff>
      <xdr:row>20</xdr:row>
      <xdr:rowOff>392314</xdr:rowOff>
    </xdr:to>
    <xdr:pic>
      <xdr:nvPicPr>
        <xdr:cNvPr id="6" name="Imagem 5">
          <a:extLst>
            <a:ext uri="{FF2B5EF4-FFF2-40B4-BE49-F238E27FC236}">
              <a16:creationId xmlns:a16="http://schemas.microsoft.com/office/drawing/2014/main" id="{7BE44E4D-236C-416A-9FA7-5F9855034D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907856" y="5534945"/>
          <a:ext cx="314324" cy="318369"/>
        </a:xfrm>
        <a:prstGeom prst="rect">
          <a:avLst/>
        </a:prstGeom>
      </xdr:spPr>
    </xdr:pic>
    <xdr:clientData/>
  </xdr:twoCellAnchor>
  <xdr:twoCellAnchor editAs="absolute">
    <xdr:from>
      <xdr:col>3</xdr:col>
      <xdr:colOff>27039</xdr:colOff>
      <xdr:row>31</xdr:row>
      <xdr:rowOff>3238</xdr:rowOff>
    </xdr:from>
    <xdr:to>
      <xdr:col>15</xdr:col>
      <xdr:colOff>726168</xdr:colOff>
      <xdr:row>35</xdr:row>
      <xdr:rowOff>32205</xdr:rowOff>
    </xdr:to>
    <xdr:graphicFrame macro="">
      <xdr:nvGraphicFramePr>
        <xdr:cNvPr id="7" name="Gráfico 6">
          <a:extLst>
            <a:ext uri="{FF2B5EF4-FFF2-40B4-BE49-F238E27FC236}">
              <a16:creationId xmlns:a16="http://schemas.microsoft.com/office/drawing/2014/main" id="{517CB5D0-D582-4F5D-848D-8B0F928D6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xdr:col>
      <xdr:colOff>486887</xdr:colOff>
      <xdr:row>34</xdr:row>
      <xdr:rowOff>67301</xdr:rowOff>
    </xdr:from>
    <xdr:to>
      <xdr:col>2</xdr:col>
      <xdr:colOff>801211</xdr:colOff>
      <xdr:row>34</xdr:row>
      <xdr:rowOff>385670</xdr:rowOff>
    </xdr:to>
    <xdr:pic>
      <xdr:nvPicPr>
        <xdr:cNvPr id="8" name="Imagem 7">
          <a:extLst>
            <a:ext uri="{FF2B5EF4-FFF2-40B4-BE49-F238E27FC236}">
              <a16:creationId xmlns:a16="http://schemas.microsoft.com/office/drawing/2014/main" id="{C245825A-218F-481F-BFCC-894B9598FD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83887" y="8921015"/>
          <a:ext cx="314324" cy="318369"/>
        </a:xfrm>
        <a:prstGeom prst="rect">
          <a:avLst/>
        </a:prstGeom>
      </xdr:spPr>
    </xdr:pic>
    <xdr:clientData/>
  </xdr:twoCellAnchor>
  <xdr:twoCellAnchor>
    <xdr:from>
      <xdr:col>31</xdr:col>
      <xdr:colOff>0</xdr:colOff>
      <xdr:row>18</xdr:row>
      <xdr:rowOff>0</xdr:rowOff>
    </xdr:from>
    <xdr:to>
      <xdr:col>32</xdr:col>
      <xdr:colOff>761647</xdr:colOff>
      <xdr:row>20</xdr:row>
      <xdr:rowOff>192740</xdr:rowOff>
    </xdr:to>
    <xdr:graphicFrame macro="">
      <xdr:nvGraphicFramePr>
        <xdr:cNvPr id="9" name="Gráfico 8">
          <a:extLst>
            <a:ext uri="{FF2B5EF4-FFF2-40B4-BE49-F238E27FC236}">
              <a16:creationId xmlns:a16="http://schemas.microsoft.com/office/drawing/2014/main" id="{E7918215-8A29-4E3E-9CE0-28A950C96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639220</xdr:colOff>
      <xdr:row>18</xdr:row>
      <xdr:rowOff>0</xdr:rowOff>
    </xdr:from>
    <xdr:to>
      <xdr:col>33</xdr:col>
      <xdr:colOff>650441</xdr:colOff>
      <xdr:row>20</xdr:row>
      <xdr:rowOff>192740</xdr:rowOff>
    </xdr:to>
    <xdr:graphicFrame macro="">
      <xdr:nvGraphicFramePr>
        <xdr:cNvPr id="10" name="Gráfico 9">
          <a:extLst>
            <a:ext uri="{FF2B5EF4-FFF2-40B4-BE49-F238E27FC236}">
              <a16:creationId xmlns:a16="http://schemas.microsoft.com/office/drawing/2014/main" id="{3DF413E9-9B2D-4760-BC7D-7510F6E9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1111250</xdr:colOff>
      <xdr:row>1</xdr:row>
      <xdr:rowOff>328083</xdr:rowOff>
    </xdr:from>
    <xdr:to>
      <xdr:col>6</xdr:col>
      <xdr:colOff>296333</xdr:colOff>
      <xdr:row>3</xdr:row>
      <xdr:rowOff>0</xdr:rowOff>
    </xdr:to>
    <xdr:cxnSp macro="">
      <xdr:nvCxnSpPr>
        <xdr:cNvPr id="2" name="Conector de Seta Reta 1">
          <a:extLst>
            <a:ext uri="{FF2B5EF4-FFF2-40B4-BE49-F238E27FC236}">
              <a16:creationId xmlns:a16="http://schemas.microsoft.com/office/drawing/2014/main" id="{F527950B-EA54-4A1E-833E-6155B24A58E3}"/>
            </a:ext>
          </a:extLst>
        </xdr:cNvPr>
        <xdr:cNvCxnSpPr/>
      </xdr:nvCxnSpPr>
      <xdr:spPr>
        <a:xfrm>
          <a:off x="6942667" y="412750"/>
          <a:ext cx="465666" cy="317500"/>
        </a:xfrm>
        <a:prstGeom prst="straightConnector1">
          <a:avLst/>
        </a:prstGeom>
        <a:ln w="38100">
          <a:solidFill>
            <a:srgbClr val="D6970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1956049</xdr:colOff>
      <xdr:row>1</xdr:row>
      <xdr:rowOff>81986</xdr:rowOff>
    </xdr:from>
    <xdr:to>
      <xdr:col>5</xdr:col>
      <xdr:colOff>1169465</xdr:colOff>
      <xdr:row>1</xdr:row>
      <xdr:rowOff>549986</xdr:rowOff>
    </xdr:to>
    <xdr:sp macro="" textlink="">
      <xdr:nvSpPr>
        <xdr:cNvPr id="3" name="Retângulo: Cantos Arredondados 2">
          <a:extLst>
            <a:ext uri="{FF2B5EF4-FFF2-40B4-BE49-F238E27FC236}">
              <a16:creationId xmlns:a16="http://schemas.microsoft.com/office/drawing/2014/main" id="{65BF4CB3-7ED2-4946-ABD7-89BAD31246F3}"/>
            </a:ext>
          </a:extLst>
        </xdr:cNvPr>
        <xdr:cNvSpPr/>
      </xdr:nvSpPr>
      <xdr:spPr>
        <a:xfrm>
          <a:off x="5236882" y="166653"/>
          <a:ext cx="1764000" cy="46800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ysClr val="windowText" lastClr="000000"/>
              </a:solidFill>
            </a:rPr>
            <a:t>Digite</a:t>
          </a:r>
          <a:r>
            <a:rPr lang="pt-BR" sz="1050" b="1" baseline="0">
              <a:solidFill>
                <a:sysClr val="windowText" lastClr="000000"/>
              </a:solidFill>
            </a:rPr>
            <a:t> aqui sua data de início no curso DD/MM/AA</a:t>
          </a:r>
          <a:endParaRPr lang="pt-BR" sz="105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absoluteAnchor>
    <xdr:pos x="28575" y="158750"/>
    <xdr:ext cx="1368426" cy="9636125"/>
    <xdr:sp macro="" textlink="">
      <xdr:nvSpPr>
        <xdr:cNvPr id="2" name="Retângulo: Cantos Arredondados 1">
          <a:extLst>
            <a:ext uri="{FF2B5EF4-FFF2-40B4-BE49-F238E27FC236}">
              <a16:creationId xmlns:a16="http://schemas.microsoft.com/office/drawing/2014/main" id="{0E7B1DAF-A3AB-4C13-A4BD-319E7550986D}"/>
            </a:ext>
          </a:extLst>
        </xdr:cNvPr>
        <xdr:cNvSpPr/>
      </xdr:nvSpPr>
      <xdr:spPr>
        <a:xfrm>
          <a:off x="28575" y="158750"/>
          <a:ext cx="1368426" cy="9636125"/>
        </a:xfrm>
        <a:prstGeom prst="roundRect">
          <a:avLst>
            <a:gd name="adj" fmla="val 1486"/>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lientData/>
  </xdr:absolute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CELPAV/NOV96/CELPAV/COMPPRO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64D0BFC2\Link%20Salto%20Pil&#227;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Marcoabs\Meus%20Documentos\Meus%20Documentos\RESUMO%20DO%20DBASE%20PARA%20O%20VIVEIR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USUARIO/Downloads/CONSULTORIAS/CONSULTORIA%20EINSTEIN/3)%20MATERIAIS%20CONSULTOR/FERRAMENTAS/Vcp_la_110/c/CELPAV/NOV96/CELPAV/COMPPRO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Abilio/Desktop/REICHE%20CONSULTORIA/10.%20MASTERMIND/20230802_VERTTI%20TECNOLOGIA_FABIO_VIRGINIA_GABRIEL/Mentoria_Daniel_Reiche_Fabio_Vertti%20Tecnologia.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Consultor/Downloads/calculo_de_ponto_de_equilibrio_15_02_2022.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c2eb811e401631d4/Documentos/2019/PESSOAL/EINSTEIN/MATERIAL%20TREINAMENTO%20EINSTEIN/Vcp_la_110/c/CELPAV/NOV96/CELPAV/COMPPRO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PROD"/>
      <sheetName val="Apoio"/>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sheetNames>
    <sheetDataSet>
      <sheetData sheetId="0" refreshError="1">
        <row r="2">
          <cell r="C2" t="str">
            <v>Series</v>
          </cell>
          <cell r="D2" t="str">
            <v>Series</v>
          </cell>
        </row>
        <row r="3">
          <cell r="A3" t="str">
            <v>Contratual</v>
          </cell>
          <cell r="C3">
            <v>0.4763</v>
          </cell>
          <cell r="D3">
            <v>0.52370000000000005</v>
          </cell>
        </row>
        <row r="4">
          <cell r="A4" t="str">
            <v>Reprog. Orçam.</v>
          </cell>
          <cell r="C4">
            <v>0.55742957456172493</v>
          </cell>
          <cell r="D4">
            <v>0.44257042543827507</v>
          </cell>
        </row>
        <row r="5">
          <cell r="A5" t="str">
            <v>Real</v>
          </cell>
          <cell r="C5">
            <v>0.51600000000000001</v>
          </cell>
          <cell r="D5">
            <v>0.48399999999999999</v>
          </cell>
        </row>
        <row r="12">
          <cell r="B12" t="str">
            <v>Contratual</v>
          </cell>
          <cell r="C12" t="str">
            <v>Real</v>
          </cell>
        </row>
        <row r="13">
          <cell r="B13">
            <v>188.396764913211</v>
          </cell>
          <cell r="C13">
            <v>188.396764913211</v>
          </cell>
        </row>
        <row r="14">
          <cell r="A14" t="str">
            <v>Projeção</v>
          </cell>
          <cell r="B14">
            <v>98.663385785048604</v>
          </cell>
          <cell r="C14">
            <v>92.990767277740204</v>
          </cell>
        </row>
        <row r="15">
          <cell r="A15" t="str">
            <v>Acumulado até a data</v>
          </cell>
          <cell r="B15">
            <v>89.733379128162397</v>
          </cell>
          <cell r="C15">
            <v>95.405997635470797</v>
          </cell>
        </row>
        <row r="20">
          <cell r="B20" t="str">
            <v>Contratual</v>
          </cell>
          <cell r="C20" t="str">
            <v>Real</v>
          </cell>
        </row>
        <row r="21">
          <cell r="B21">
            <v>0</v>
          </cell>
          <cell r="C21">
            <v>36.671778419999995</v>
          </cell>
        </row>
        <row r="22">
          <cell r="A22" t="str">
            <v>Projeção</v>
          </cell>
          <cell r="B22">
            <v>0</v>
          </cell>
          <cell r="C22">
            <v>21.917291229999993</v>
          </cell>
        </row>
        <row r="23">
          <cell r="A23" t="str">
            <v>Acumulado até a data</v>
          </cell>
          <cell r="B23">
            <v>0</v>
          </cell>
          <cell r="C23">
            <v>14.754487190000003</v>
          </cell>
        </row>
        <row r="27">
          <cell r="B27" t="str">
            <v>Faturas Atrasadas</v>
          </cell>
          <cell r="C27" t="str">
            <v>FaturasaVencer</v>
          </cell>
          <cell r="D27" t="str">
            <v>ServiçosExec. ÑMedidos</v>
          </cell>
          <cell r="E27" t="str">
            <v>ServiçosMed. ÑFaturados</v>
          </cell>
          <cell r="F27" t="str">
            <v>Adianta-mentos</v>
          </cell>
          <cell r="G27" t="str">
            <v>PosiçãodeCrédito</v>
          </cell>
        </row>
        <row r="29">
          <cell r="A29" t="str">
            <v>Até 30 dias</v>
          </cell>
          <cell r="C29">
            <v>-13.013610628967099</v>
          </cell>
          <cell r="D29">
            <v>0</v>
          </cell>
          <cell r="E29">
            <v>0</v>
          </cell>
          <cell r="F29">
            <v>0</v>
          </cell>
          <cell r="G29" t="str">
            <v>e</v>
          </cell>
        </row>
        <row r="30">
          <cell r="A30" t="str">
            <v>De 30 a 90 dias</v>
          </cell>
          <cell r="B30">
            <v>0</v>
          </cell>
        </row>
        <row r="31">
          <cell r="A31" t="str">
            <v>Mais de 90 dias</v>
          </cell>
        </row>
        <row r="32">
          <cell r="A32" t="str">
            <v>Via Recibo</v>
          </cell>
        </row>
        <row r="33">
          <cell r="A33" t="str">
            <v>Via Fatura</v>
          </cell>
        </row>
        <row r="38">
          <cell r="C38" t="str">
            <v>Apresentado</v>
          </cell>
          <cell r="D38" t="str">
            <v>Label</v>
          </cell>
        </row>
        <row r="40">
          <cell r="A40" t="str">
            <v>Reprovado</v>
          </cell>
          <cell r="C40">
            <v>0</v>
          </cell>
        </row>
        <row r="41">
          <cell r="A41" t="str">
            <v>Não esperado</v>
          </cell>
          <cell r="C41">
            <v>1.5452216287262768</v>
          </cell>
        </row>
        <row r="42">
          <cell r="A42" t="str">
            <v>Esperado</v>
          </cell>
          <cell r="C42">
            <v>1.3445187631389617</v>
          </cell>
        </row>
        <row r="43">
          <cell r="A43" t="str">
            <v>Aprovado</v>
          </cell>
          <cell r="C43">
            <v>0.15</v>
          </cell>
        </row>
        <row r="44">
          <cell r="A44" t="str">
            <v>LB</v>
          </cell>
          <cell r="B44">
            <v>0.71517630642431274</v>
          </cell>
        </row>
        <row r="45">
          <cell r="A45" t="str">
            <v>Custo</v>
          </cell>
          <cell r="B45">
            <v>2.1745640854409256</v>
          </cell>
        </row>
        <row r="47">
          <cell r="A47" t="str">
            <v>Claims</v>
          </cell>
          <cell r="B47">
            <v>1</v>
          </cell>
        </row>
        <row r="48">
          <cell r="A48" t="str">
            <v>Alteraçãode Escopo</v>
          </cell>
          <cell r="B48">
            <v>0</v>
          </cell>
        </row>
        <row r="51">
          <cell r="B51" t="str">
            <v>Taxa deFreqüênciac afastam.</v>
          </cell>
        </row>
        <row r="52">
          <cell r="B52">
            <v>1.1000000000000001</v>
          </cell>
        </row>
        <row r="53">
          <cell r="A53" t="str">
            <v>Series</v>
          </cell>
          <cell r="B53">
            <v>0</v>
          </cell>
        </row>
        <row r="54">
          <cell r="A54" t="str">
            <v>Atual</v>
          </cell>
          <cell r="B54">
            <v>2</v>
          </cell>
        </row>
        <row r="56">
          <cell r="B56" t="str">
            <v>Taxa deGravidade</v>
          </cell>
        </row>
        <row r="57">
          <cell r="B57">
            <v>300</v>
          </cell>
        </row>
        <row r="58">
          <cell r="A58" t="str">
            <v>Series</v>
          </cell>
          <cell r="B58">
            <v>179</v>
          </cell>
        </row>
        <row r="59">
          <cell r="A59" t="str">
            <v>Atual</v>
          </cell>
          <cell r="B59">
            <v>121</v>
          </cell>
        </row>
        <row r="61">
          <cell r="B61" t="str">
            <v>AvaliaçãoAmbiental</v>
          </cell>
        </row>
        <row r="62">
          <cell r="B62">
            <v>8.6</v>
          </cell>
        </row>
        <row r="63">
          <cell r="A63" t="str">
            <v>Series</v>
          </cell>
          <cell r="B63">
            <v>-0.41999999999999993</v>
          </cell>
        </row>
        <row r="64">
          <cell r="A64" t="str">
            <v>Atual</v>
          </cell>
          <cell r="B64">
            <v>9.02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DO DBASE PARA O VIVEIRO"/>
      <sheetName val="RESUMO_DO_DBASE_PARA_O_VIVEIRO"/>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PROD"/>
      <sheetName val="Plan1"/>
      <sheetName val="Plan2"/>
      <sheetName val="Plan3"/>
      <sheetName val="Tags"/>
      <sheetName val="PI"/>
      <sheetName val="Dados Mestre"/>
      <sheetName val="Acomp. Fator"/>
      <sheetName val="Linha Fibras"/>
      <sheetName val="Difer."/>
      <sheetName val="MgSO4 e AQ"/>
      <sheetName val="Planta Química"/>
      <sheetName val="Específicos"/>
      <sheetName val="Custo Var."/>
      <sheetName val="Custo Atual"/>
      <sheetName val="H.P. - Resumo"/>
      <sheetName val="H. Paradas"/>
      <sheetName val="TPM"/>
      <sheetName val="VCP-ABS"/>
      <sheetName val="Fatos Rel."/>
      <sheetName val="Qualidade"/>
      <sheetName val="Ocorrências"/>
      <sheetName val="Cálculos AQ"/>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INEL"/>
      <sheetName val="1"/>
      <sheetName val="2"/>
      <sheetName val="3"/>
      <sheetName val="4"/>
      <sheetName val="5"/>
      <sheetName val="6"/>
      <sheetName val="pivot"/>
      <sheetName val="Mentoria_Daniel_Reiche_Fabio_V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ad"/>
      <sheetName val="PE"/>
      <sheetName val="AC"/>
      <sheetName val="RC"/>
      <sheetName val="GR"/>
      <sheetName val="RI"/>
      <sheetName val="Instruções"/>
      <sheetName val="GR_Dados"/>
    </sheetNames>
    <sheetDataSet>
      <sheetData sheetId="0" refreshError="1"/>
      <sheetData sheetId="1">
        <row r="12">
          <cell r="B12" t="str">
            <v>Camisa</v>
          </cell>
        </row>
        <row r="13">
          <cell r="B13" t="str">
            <v>Calça</v>
          </cell>
        </row>
        <row r="14">
          <cell r="B14" t="str">
            <v>Camiseta</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PROD"/>
      <sheetName val="Plan1"/>
      <sheetName val="Plan2"/>
      <sheetName val="Plan3"/>
      <sheetName val="Tags"/>
      <sheetName val="PI"/>
      <sheetName val="Dados Mestre"/>
      <sheetName val="Acomp. Fator"/>
      <sheetName val="Linha Fibras"/>
      <sheetName val="Difer."/>
      <sheetName val="MgSO4 e AQ"/>
      <sheetName val="Planta Química"/>
      <sheetName val="Específicos"/>
      <sheetName val="Custo Var."/>
      <sheetName val="Custo Atual"/>
      <sheetName val="H.P. - Resumo"/>
      <sheetName val="H. Paradas"/>
      <sheetName val="TPM"/>
      <sheetName val="VCP-ABS"/>
      <sheetName val="Fatos Rel."/>
      <sheetName val="Qualidade"/>
      <sheetName val="Ocorrências"/>
      <sheetName val="Cálculos AQ"/>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3299-6395-4307-AA7E-AFEB00110252}">
  <sheetPr>
    <tabColor theme="2"/>
  </sheetPr>
  <dimension ref="B1:X26"/>
  <sheetViews>
    <sheetView showGridLines="0" zoomScale="70" zoomScaleNormal="70" workbookViewId="0">
      <pane ySplit="4" topLeftCell="A5" activePane="bottomLeft" state="frozen"/>
      <selection activeCell="F18" sqref="F18"/>
      <selection pane="bottomLeft" activeCell="F14" sqref="F14"/>
    </sheetView>
  </sheetViews>
  <sheetFormatPr defaultRowHeight="14.5" x14ac:dyDescent="0.35"/>
  <cols>
    <col min="1" max="1" width="0.81640625" customWidth="1"/>
    <col min="2" max="2" width="23.453125" style="321" customWidth="1"/>
    <col min="3" max="3" width="0.453125" customWidth="1"/>
    <col min="4" max="4" width="11.26953125" bestFit="1" customWidth="1"/>
    <col min="5" max="5" width="0.81640625" customWidth="1"/>
    <col min="6" max="6" width="26.453125" style="321" customWidth="1"/>
    <col min="7" max="7" width="0.453125" customWidth="1"/>
    <col min="8" max="8" width="11.26953125" bestFit="1" customWidth="1"/>
    <col min="9" max="9" width="0.81640625" customWidth="1"/>
    <col min="10" max="10" width="23.453125" style="321" customWidth="1"/>
    <col min="11" max="11" width="0.453125" customWidth="1"/>
    <col min="12" max="12" width="11.26953125" bestFit="1" customWidth="1"/>
    <col min="13" max="13" width="0.81640625" customWidth="1"/>
    <col min="14" max="14" width="23.453125" style="321" customWidth="1"/>
    <col min="15" max="15" width="0.453125" customWidth="1"/>
    <col min="16" max="16" width="11.26953125" bestFit="1" customWidth="1"/>
    <col min="17" max="17" width="0.81640625" customWidth="1"/>
    <col min="18" max="18" width="23.453125" style="321" customWidth="1"/>
    <col min="19" max="19" width="0.453125" customWidth="1"/>
    <col min="20" max="20" width="11.26953125" bestFit="1" customWidth="1"/>
    <col min="21" max="21" width="0.81640625" customWidth="1"/>
    <col min="22" max="22" width="23.453125" style="321" customWidth="1"/>
    <col min="23" max="23" width="0.453125" customWidth="1"/>
    <col min="24" max="24" width="10.453125" bestFit="1" customWidth="1"/>
    <col min="25" max="25" width="1.1796875" customWidth="1"/>
  </cols>
  <sheetData>
    <row r="1" spans="2:24" ht="8.15" customHeight="1" x14ac:dyDescent="0.35"/>
    <row r="2" spans="2:24" ht="31" x14ac:dyDescent="0.35">
      <c r="B2" s="375" t="s">
        <v>970</v>
      </c>
      <c r="C2" s="375"/>
      <c r="D2" s="375"/>
      <c r="E2" s="375"/>
      <c r="F2" s="375"/>
      <c r="G2" s="375"/>
      <c r="H2" s="375"/>
      <c r="I2" s="375"/>
      <c r="J2" s="375"/>
      <c r="K2" s="375"/>
      <c r="L2" s="375"/>
      <c r="M2" s="375"/>
      <c r="N2" s="375"/>
      <c r="O2" s="375"/>
      <c r="P2" s="375"/>
      <c r="R2" s="376">
        <f>D4+H4+L4+P4+T4+X4</f>
        <v>0.16538194444444443</v>
      </c>
      <c r="S2" s="377"/>
      <c r="T2" s="377"/>
      <c r="U2" s="377"/>
      <c r="V2" s="377"/>
      <c r="W2" s="377"/>
      <c r="X2" s="378"/>
    </row>
    <row r="3" spans="2:24" ht="3.65" customHeight="1" x14ac:dyDescent="0.35"/>
    <row r="4" spans="2:24" ht="37" x14ac:dyDescent="0.35">
      <c r="B4" s="357" t="s">
        <v>400</v>
      </c>
      <c r="D4" s="320">
        <f>D6+D8+D10+D12+D14+D16+D18</f>
        <v>2.0196759259259258E-2</v>
      </c>
      <c r="F4" s="357" t="s">
        <v>401</v>
      </c>
      <c r="H4" s="320">
        <f>H6+H8+H10+H12+H14+H16+H18</f>
        <v>4.1851851851851848E-2</v>
      </c>
      <c r="J4" s="357" t="s">
        <v>402</v>
      </c>
      <c r="L4" s="320">
        <f>L6+L8+L10+L12+L14+L16+L18</f>
        <v>2.0659722222222222E-2</v>
      </c>
      <c r="N4" s="357" t="s">
        <v>403</v>
      </c>
      <c r="P4" s="320">
        <f>P6+P8+P10+P12+P14+P16+P18</f>
        <v>2.9097222222222222E-2</v>
      </c>
      <c r="R4" s="357" t="s">
        <v>404</v>
      </c>
      <c r="T4" s="320">
        <f>T6+T8+T10+T12+T14+T16+T18</f>
        <v>3.229166666666667E-2</v>
      </c>
      <c r="V4" s="357" t="s">
        <v>405</v>
      </c>
      <c r="X4" s="320">
        <f>X6+X8+X10+X12+X14+X16+X18+X24</f>
        <v>2.1284722222222222E-2</v>
      </c>
    </row>
    <row r="5" spans="2:24" ht="3.65" customHeight="1" x14ac:dyDescent="0.35"/>
    <row r="6" spans="2:24" s="86" customFormat="1" ht="35.15" customHeight="1" x14ac:dyDescent="0.3">
      <c r="B6" s="92" t="s">
        <v>971</v>
      </c>
      <c r="D6" s="325"/>
      <c r="F6" s="506" t="s">
        <v>120</v>
      </c>
      <c r="H6" s="507">
        <v>4.9768518518518521E-3</v>
      </c>
      <c r="J6" s="319" t="s">
        <v>127</v>
      </c>
      <c r="L6" s="325">
        <v>3.0555555555555557E-3</v>
      </c>
      <c r="N6" s="319" t="s">
        <v>130</v>
      </c>
      <c r="P6" s="325">
        <v>6.6203703703703702E-3</v>
      </c>
      <c r="R6" s="319" t="s">
        <v>135</v>
      </c>
      <c r="T6" s="325">
        <v>7.0254629629629634E-3</v>
      </c>
      <c r="V6" s="319" t="s">
        <v>892</v>
      </c>
      <c r="X6" s="325">
        <v>7.4884259259259262E-3</v>
      </c>
    </row>
    <row r="7" spans="2:24" ht="4.5" customHeight="1" x14ac:dyDescent="0.45">
      <c r="B7" s="323"/>
      <c r="D7" s="86"/>
      <c r="F7" s="323"/>
      <c r="H7" s="86"/>
      <c r="J7" s="323"/>
      <c r="L7" s="91"/>
      <c r="N7" s="323"/>
      <c r="P7" s="91"/>
      <c r="R7" s="323"/>
      <c r="T7" s="91"/>
      <c r="V7" s="323"/>
      <c r="X7" s="91"/>
    </row>
    <row r="8" spans="2:24" s="86" customFormat="1" ht="35.15" customHeight="1" x14ac:dyDescent="0.3">
      <c r="B8" s="92" t="s">
        <v>967</v>
      </c>
      <c r="D8" s="325">
        <v>5.4861111111111109E-3</v>
      </c>
      <c r="F8" s="506" t="s">
        <v>121</v>
      </c>
      <c r="H8" s="507">
        <v>4.4675925925925924E-3</v>
      </c>
      <c r="J8" s="92" t="s">
        <v>458</v>
      </c>
      <c r="L8" s="325">
        <v>7.5578703703703702E-3</v>
      </c>
      <c r="N8" s="319" t="s">
        <v>131</v>
      </c>
      <c r="P8" s="325">
        <v>3.4953703703703705E-3</v>
      </c>
      <c r="R8" s="319" t="s">
        <v>188</v>
      </c>
      <c r="T8" s="325">
        <v>5.1967592592592595E-3</v>
      </c>
      <c r="V8" s="319" t="s">
        <v>142</v>
      </c>
      <c r="X8" s="325">
        <v>8.3217592592592596E-3</v>
      </c>
    </row>
    <row r="9" spans="2:24" ht="4.5" customHeight="1" x14ac:dyDescent="0.45">
      <c r="B9" s="323"/>
      <c r="D9" s="86"/>
      <c r="F9" s="323"/>
      <c r="H9" s="86"/>
      <c r="J9" s="323"/>
      <c r="L9" s="91"/>
      <c r="N9" s="323"/>
      <c r="P9" s="91"/>
      <c r="R9" s="323"/>
      <c r="T9" s="91"/>
      <c r="V9" s="323"/>
      <c r="X9" s="91"/>
    </row>
    <row r="10" spans="2:24" s="86" customFormat="1" ht="35.15" customHeight="1" x14ac:dyDescent="0.3">
      <c r="B10" s="92" t="s">
        <v>968</v>
      </c>
      <c r="D10" s="325">
        <v>7.6157407407407406E-3</v>
      </c>
      <c r="F10" s="506" t="s">
        <v>122</v>
      </c>
      <c r="H10" s="507">
        <v>3.6921296296296298E-3</v>
      </c>
      <c r="J10" s="92" t="s">
        <v>129</v>
      </c>
      <c r="L10" s="325">
        <v>1.0046296296296296E-2</v>
      </c>
      <c r="N10" s="92" t="s">
        <v>132</v>
      </c>
      <c r="P10" s="325">
        <v>3.460648148148148E-3</v>
      </c>
      <c r="R10" s="319" t="s">
        <v>136</v>
      </c>
      <c r="T10" s="325">
        <v>3.5648148148148149E-3</v>
      </c>
      <c r="V10" s="92" t="s">
        <v>140</v>
      </c>
      <c r="X10" s="325">
        <v>5.4745370370370373E-3</v>
      </c>
    </row>
    <row r="11" spans="2:24" ht="4.5" customHeight="1" x14ac:dyDescent="0.45">
      <c r="B11" s="323"/>
      <c r="D11" s="86"/>
      <c r="F11" s="323"/>
      <c r="H11" s="86"/>
      <c r="J11" s="323"/>
      <c r="L11" s="91"/>
      <c r="N11" s="323"/>
      <c r="P11" s="91"/>
      <c r="R11" s="323"/>
      <c r="T11" s="91"/>
      <c r="V11" s="323"/>
      <c r="X11" s="91"/>
    </row>
    <row r="12" spans="2:24" s="86" customFormat="1" ht="35.15" customHeight="1" x14ac:dyDescent="0.3">
      <c r="B12" s="92" t="s">
        <v>969</v>
      </c>
      <c r="D12" s="325">
        <v>7.0949074074074074E-3</v>
      </c>
      <c r="F12" s="506" t="s">
        <v>123</v>
      </c>
      <c r="H12" s="507">
        <v>7.1875000000000003E-3</v>
      </c>
      <c r="J12" s="319"/>
      <c r="L12" s="325"/>
      <c r="N12" s="92" t="s">
        <v>133</v>
      </c>
      <c r="P12" s="325">
        <v>5.8912037037037041E-3</v>
      </c>
      <c r="R12" s="319" t="s">
        <v>137</v>
      </c>
      <c r="T12" s="325">
        <v>5.4050925925925924E-3</v>
      </c>
      <c r="V12" s="319"/>
      <c r="X12" s="325"/>
    </row>
    <row r="13" spans="2:24" ht="4.5" customHeight="1" x14ac:dyDescent="0.45">
      <c r="B13" s="323"/>
      <c r="D13" s="86"/>
      <c r="F13" s="323"/>
      <c r="H13" s="86"/>
      <c r="J13" s="323"/>
      <c r="L13" s="91"/>
      <c r="N13" s="323"/>
      <c r="P13" s="91"/>
      <c r="R13" s="323"/>
      <c r="T13" s="91"/>
      <c r="V13" s="323"/>
      <c r="X13" s="91"/>
    </row>
    <row r="14" spans="2:24" s="86" customFormat="1" ht="35.15" customHeight="1" x14ac:dyDescent="0.3">
      <c r="B14" s="319"/>
      <c r="D14" s="325"/>
      <c r="F14" s="506" t="s">
        <v>124</v>
      </c>
      <c r="H14" s="507">
        <v>3.2986111111111111E-3</v>
      </c>
      <c r="J14" s="319"/>
      <c r="L14" s="325"/>
      <c r="N14" s="319" t="s">
        <v>134</v>
      </c>
      <c r="P14" s="325">
        <v>9.6296296296296303E-3</v>
      </c>
      <c r="R14" s="319" t="s">
        <v>703</v>
      </c>
      <c r="T14" s="325">
        <v>4.8958333333333336E-3</v>
      </c>
      <c r="V14" s="319"/>
      <c r="X14" s="325"/>
    </row>
    <row r="15" spans="2:24" ht="3.65" customHeight="1" x14ac:dyDescent="0.45">
      <c r="B15" s="323"/>
      <c r="D15" s="86"/>
      <c r="F15" s="323"/>
      <c r="H15" s="86"/>
      <c r="J15" s="323"/>
      <c r="L15" s="91"/>
      <c r="N15" s="323"/>
      <c r="P15" s="91"/>
      <c r="R15" s="323"/>
      <c r="T15" s="91"/>
      <c r="V15" s="323"/>
      <c r="X15" s="91"/>
    </row>
    <row r="16" spans="2:24" s="86" customFormat="1" ht="35.15" customHeight="1" x14ac:dyDescent="0.3">
      <c r="B16" s="319"/>
      <c r="D16" s="325"/>
      <c r="F16" s="515" t="s">
        <v>126</v>
      </c>
      <c r="H16" s="507">
        <v>1.0694444444444444E-2</v>
      </c>
      <c r="J16" s="319"/>
      <c r="L16" s="325"/>
      <c r="N16" s="319"/>
      <c r="P16" s="325"/>
      <c r="R16" s="319" t="s">
        <v>138</v>
      </c>
      <c r="T16" s="325">
        <v>3.0439814814814813E-3</v>
      </c>
      <c r="V16" s="319"/>
      <c r="X16" s="325"/>
    </row>
    <row r="17" spans="2:24" ht="4.5" customHeight="1" x14ac:dyDescent="0.45">
      <c r="B17" s="323"/>
      <c r="D17" s="86"/>
      <c r="F17" s="323"/>
      <c r="H17" s="86"/>
      <c r="J17" s="323"/>
      <c r="L17" s="91"/>
      <c r="N17" s="323"/>
      <c r="P17" s="91"/>
      <c r="R17" s="323"/>
      <c r="T17" s="91"/>
      <c r="V17" s="323"/>
      <c r="X17" s="91"/>
    </row>
    <row r="18" spans="2:24" s="86" customFormat="1" ht="35.15" customHeight="1" x14ac:dyDescent="0.3">
      <c r="B18" s="319"/>
      <c r="D18" s="325"/>
      <c r="F18" s="92" t="s">
        <v>125</v>
      </c>
      <c r="H18" s="325">
        <v>7.5347222222222222E-3</v>
      </c>
      <c r="J18" s="319"/>
      <c r="L18" s="325"/>
      <c r="N18" s="319"/>
      <c r="P18" s="325"/>
      <c r="R18" s="319" t="s">
        <v>139</v>
      </c>
      <c r="T18" s="325">
        <v>3.1597222222222222E-3</v>
      </c>
      <c r="V18" s="319"/>
      <c r="X18" s="325"/>
    </row>
    <row r="19" spans="2:24" ht="4.5" customHeight="1" x14ac:dyDescent="0.45">
      <c r="B19" s="323"/>
      <c r="D19" s="86"/>
      <c r="F19" s="323"/>
      <c r="H19" s="86"/>
      <c r="J19" s="323"/>
      <c r="L19" s="91"/>
      <c r="N19" s="323"/>
      <c r="P19" s="91"/>
      <c r="R19" s="323"/>
      <c r="T19" s="91"/>
      <c r="V19" s="323"/>
      <c r="X19" s="91"/>
    </row>
    <row r="20" spans="2:24" ht="31" x14ac:dyDescent="0.35">
      <c r="B20" s="375" t="s">
        <v>983</v>
      </c>
      <c r="C20" s="375"/>
      <c r="D20" s="375"/>
      <c r="E20" s="375"/>
      <c r="F20" s="375"/>
      <c r="G20" s="375"/>
      <c r="H20" s="375"/>
      <c r="I20" s="375"/>
      <c r="J20" s="375"/>
      <c r="K20" s="375"/>
      <c r="L20" s="375"/>
      <c r="M20" s="375"/>
      <c r="N20" s="375"/>
      <c r="O20" s="375"/>
      <c r="P20" s="375"/>
      <c r="R20" s="379">
        <f>D22+H22+L22+P22+T22+X22</f>
        <v>0.10606481481481481</v>
      </c>
      <c r="S20" s="380"/>
      <c r="T20" s="380"/>
      <c r="U20" s="380"/>
      <c r="V20" s="380"/>
      <c r="W20" s="380"/>
      <c r="X20" s="381"/>
    </row>
    <row r="21" spans="2:24" ht="4" customHeight="1" x14ac:dyDescent="0.35"/>
    <row r="22" spans="2:24" ht="21" x14ac:dyDescent="0.35">
      <c r="F22" s="322" t="s">
        <v>401</v>
      </c>
      <c r="H22" s="320">
        <f>H24+H26+H28+H30+H32+H34+H36</f>
        <v>3.3275462962962965E-2</v>
      </c>
      <c r="J22" s="322" t="s">
        <v>402</v>
      </c>
      <c r="L22" s="320">
        <f>L24+L26+L28+L30+L32+L34+L36</f>
        <v>2.0127314814814813E-2</v>
      </c>
      <c r="N22" s="322" t="s">
        <v>403</v>
      </c>
      <c r="P22" s="320">
        <f>P24+P26+P28+P30+P32+P34+P36</f>
        <v>5.2662037037037035E-2</v>
      </c>
      <c r="R22" s="322" t="s">
        <v>404</v>
      </c>
      <c r="T22" s="320">
        <f>T24+T26+T28+T30+T32+T34+T36+T43</f>
        <v>0</v>
      </c>
      <c r="V22" s="322" t="s">
        <v>405</v>
      </c>
      <c r="X22" s="320">
        <f>X24+X26+X28+X30+X32+X34+X36+X43</f>
        <v>0</v>
      </c>
    </row>
    <row r="23" spans="2:24" ht="4" customHeight="1" x14ac:dyDescent="0.35"/>
    <row r="24" spans="2:24" s="86" customFormat="1" ht="31.5" x14ac:dyDescent="0.35">
      <c r="B24" s="321"/>
      <c r="C24"/>
      <c r="D24"/>
      <c r="F24" s="324" t="s">
        <v>984</v>
      </c>
      <c r="H24" s="325">
        <v>3.3275462962962965E-2</v>
      </c>
      <c r="J24" s="324" t="s">
        <v>985</v>
      </c>
      <c r="L24" s="325">
        <v>2.0127314814814813E-2</v>
      </c>
      <c r="N24" s="324" t="s">
        <v>986</v>
      </c>
      <c r="P24" s="325">
        <v>5.2662037037037035E-2</v>
      </c>
      <c r="R24" s="324" t="s">
        <v>987</v>
      </c>
      <c r="T24" s="325"/>
      <c r="V24" s="319"/>
      <c r="X24" s="325"/>
    </row>
    <row r="25" spans="2:24" ht="5.15" customHeight="1" x14ac:dyDescent="0.35"/>
    <row r="26" spans="2:24" s="86" customFormat="1" ht="27" customHeight="1" x14ac:dyDescent="0.35">
      <c r="B26" s="321"/>
      <c r="C26"/>
      <c r="D26"/>
      <c r="F26" s="319"/>
      <c r="H26" s="325"/>
      <c r="J26" s="319"/>
      <c r="L26" s="325"/>
      <c r="N26" s="319"/>
      <c r="P26" s="325"/>
      <c r="R26" s="319"/>
      <c r="T26" s="325"/>
      <c r="V26" s="319"/>
      <c r="X26" s="325"/>
    </row>
  </sheetData>
  <mergeCells count="4">
    <mergeCell ref="B2:P2"/>
    <mergeCell ref="R2:X2"/>
    <mergeCell ref="B20:P20"/>
    <mergeCell ref="R20:X20"/>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C7A6-AAAD-4DD5-B3C2-B2B5AC12217E}">
  <sheetPr>
    <tabColor theme="2"/>
  </sheetPr>
  <dimension ref="A1:AB20"/>
  <sheetViews>
    <sheetView showGridLines="0" tabSelected="1" zoomScale="80" zoomScaleNormal="80" workbookViewId="0">
      <selection activeCell="B2" sqref="B2:P2"/>
    </sheetView>
  </sheetViews>
  <sheetFormatPr defaultRowHeight="14.5" x14ac:dyDescent="0.35"/>
  <cols>
    <col min="1" max="1" width="0.81640625" customWidth="1"/>
    <col min="2" max="2" width="31.1796875" customWidth="1"/>
    <col min="3" max="3" width="0.453125" customWidth="1"/>
    <col min="4" max="4" width="6.1796875" bestFit="1" customWidth="1"/>
    <col min="5" max="5" width="0.81640625" customWidth="1"/>
    <col min="6" max="6" width="25.81640625" bestFit="1" customWidth="1"/>
    <col min="7" max="7" width="0.453125" customWidth="1"/>
    <col min="8" max="8" width="6.1796875" bestFit="1" customWidth="1"/>
    <col min="9" max="9" width="0.81640625" customWidth="1"/>
    <col min="10" max="10" width="25.81640625" bestFit="1" customWidth="1"/>
    <col min="11" max="11" width="0.453125" customWidth="1"/>
    <col min="12" max="12" width="6.1796875" bestFit="1" customWidth="1"/>
    <col min="13" max="13" width="0.81640625" customWidth="1"/>
    <col min="14" max="14" width="24.81640625" bestFit="1" customWidth="1"/>
    <col min="15" max="15" width="0.453125" customWidth="1"/>
    <col min="16" max="16" width="6.1796875" bestFit="1" customWidth="1"/>
    <col min="17" max="17" width="0.81640625" customWidth="1"/>
    <col min="18" max="18" width="26.54296875" bestFit="1" customWidth="1"/>
    <col min="19" max="19" width="0.453125" customWidth="1"/>
    <col min="20" max="20" width="6.1796875" bestFit="1" customWidth="1"/>
    <col min="21" max="21" width="0.81640625" customWidth="1"/>
    <col min="22" max="22" width="26.453125" customWidth="1"/>
    <col min="23" max="23" width="0.453125" customWidth="1"/>
    <col min="24" max="24" width="6.1796875" bestFit="1" customWidth="1"/>
    <col min="25" max="25" width="1.1796875" customWidth="1"/>
    <col min="28" max="28" width="15.7265625" customWidth="1"/>
  </cols>
  <sheetData>
    <row r="1" spans="1:28" ht="8.15" customHeight="1" x14ac:dyDescent="0.35">
      <c r="A1" s="110" t="s">
        <v>975</v>
      </c>
    </row>
    <row r="2" spans="1:28" ht="31" x14ac:dyDescent="0.35">
      <c r="B2" s="375" t="s">
        <v>1066</v>
      </c>
      <c r="C2" s="375"/>
      <c r="D2" s="375"/>
      <c r="E2" s="375"/>
      <c r="F2" s="375"/>
      <c r="G2" s="375"/>
      <c r="H2" s="375"/>
      <c r="I2" s="375"/>
      <c r="J2" s="375"/>
      <c r="K2" s="375"/>
      <c r="L2" s="375"/>
      <c r="M2" s="375"/>
      <c r="N2" s="375"/>
      <c r="O2" s="375"/>
      <c r="P2" s="375"/>
      <c r="R2" s="382" t="s">
        <v>455</v>
      </c>
      <c r="S2" s="383"/>
      <c r="T2" s="383"/>
      <c r="U2" s="383"/>
      <c r="V2" s="383"/>
      <c r="W2" s="383"/>
      <c r="X2" s="384"/>
      <c r="AB2" s="90" t="s">
        <v>119</v>
      </c>
    </row>
    <row r="3" spans="1:28" ht="3.65" customHeight="1" x14ac:dyDescent="0.35">
      <c r="AB3" s="89" t="s">
        <v>118</v>
      </c>
    </row>
    <row r="4" spans="1:28" ht="26" x14ac:dyDescent="0.35">
      <c r="B4" s="87" t="s">
        <v>400</v>
      </c>
      <c r="D4" s="88" t="s">
        <v>114</v>
      </c>
      <c r="F4" s="87" t="s">
        <v>401</v>
      </c>
      <c r="H4" s="88" t="s">
        <v>114</v>
      </c>
      <c r="J4" s="87" t="s">
        <v>402</v>
      </c>
      <c r="L4" s="88" t="s">
        <v>114</v>
      </c>
      <c r="N4" s="87" t="s">
        <v>403</v>
      </c>
      <c r="P4" s="88" t="s">
        <v>114</v>
      </c>
      <c r="R4" s="87" t="s">
        <v>404</v>
      </c>
      <c r="T4" s="88" t="s">
        <v>114</v>
      </c>
      <c r="V4" s="87" t="s">
        <v>405</v>
      </c>
      <c r="X4" s="88" t="s">
        <v>114</v>
      </c>
      <c r="AB4" s="90" t="s">
        <v>117</v>
      </c>
    </row>
    <row r="5" spans="1:28" ht="3" customHeight="1" x14ac:dyDescent="0.35"/>
    <row r="6" spans="1:28" s="86" customFormat="1" ht="31" customHeight="1" x14ac:dyDescent="0.3">
      <c r="B6" s="92" t="s">
        <v>143</v>
      </c>
      <c r="D6" s="162" t="s">
        <v>118</v>
      </c>
      <c r="F6" s="92" t="s">
        <v>120</v>
      </c>
      <c r="H6" s="162" t="s">
        <v>117</v>
      </c>
      <c r="J6" s="92" t="s">
        <v>127</v>
      </c>
      <c r="L6" s="162" t="s">
        <v>117</v>
      </c>
      <c r="N6" s="92" t="s">
        <v>130</v>
      </c>
      <c r="P6" s="162" t="s">
        <v>117</v>
      </c>
      <c r="R6" s="92" t="s">
        <v>135</v>
      </c>
      <c r="T6" s="162" t="s">
        <v>117</v>
      </c>
      <c r="V6" s="92" t="s">
        <v>141</v>
      </c>
      <c r="X6" s="162" t="s">
        <v>117</v>
      </c>
    </row>
    <row r="7" spans="1:28" ht="4.5" customHeight="1" x14ac:dyDescent="0.45">
      <c r="B7" s="93"/>
      <c r="D7" s="91"/>
      <c r="F7" s="93"/>
      <c r="H7" s="91"/>
      <c r="J7" s="93"/>
      <c r="L7" s="91"/>
      <c r="N7" s="93"/>
      <c r="P7" s="91"/>
      <c r="R7" s="93"/>
      <c r="T7" s="91"/>
      <c r="V7" s="93"/>
      <c r="X7" s="91"/>
    </row>
    <row r="8" spans="1:28" s="86" customFormat="1" ht="31" customHeight="1" x14ac:dyDescent="0.3">
      <c r="B8" s="92" t="s">
        <v>144</v>
      </c>
      <c r="D8" s="162" t="s">
        <v>118</v>
      </c>
      <c r="F8" s="92" t="s">
        <v>121</v>
      </c>
      <c r="H8" s="162" t="s">
        <v>117</v>
      </c>
      <c r="J8" s="92" t="s">
        <v>458</v>
      </c>
      <c r="L8" s="162" t="s">
        <v>117</v>
      </c>
      <c r="N8" s="92" t="s">
        <v>131</v>
      </c>
      <c r="P8" s="162" t="s">
        <v>117</v>
      </c>
      <c r="R8" s="92" t="s">
        <v>188</v>
      </c>
      <c r="T8" s="162" t="s">
        <v>117</v>
      </c>
      <c r="V8" s="92" t="s">
        <v>142</v>
      </c>
      <c r="X8" s="162" t="s">
        <v>117</v>
      </c>
    </row>
    <row r="9" spans="1:28" ht="4.5" customHeight="1" x14ac:dyDescent="0.45">
      <c r="B9" s="93"/>
      <c r="D9" s="91"/>
      <c r="F9" s="93"/>
      <c r="H9" s="91"/>
      <c r="J9" s="93"/>
      <c r="L9" s="91"/>
      <c r="N9" s="93"/>
      <c r="P9" s="91"/>
      <c r="R9" s="93"/>
      <c r="T9" s="91"/>
      <c r="V9" s="93"/>
      <c r="X9" s="91"/>
    </row>
    <row r="10" spans="1:28" s="86" customFormat="1" ht="36.65" customHeight="1" x14ac:dyDescent="0.3">
      <c r="B10" s="319" t="s">
        <v>1002</v>
      </c>
      <c r="D10" s="162" t="s">
        <v>118</v>
      </c>
      <c r="F10" s="92" t="s">
        <v>122</v>
      </c>
      <c r="H10" s="162" t="s">
        <v>117</v>
      </c>
      <c r="J10" s="92" t="s">
        <v>129</v>
      </c>
      <c r="L10" s="162" t="s">
        <v>117</v>
      </c>
      <c r="N10" s="92" t="s">
        <v>132</v>
      </c>
      <c r="P10" s="162" t="s">
        <v>117</v>
      </c>
      <c r="R10" s="92" t="s">
        <v>136</v>
      </c>
      <c r="T10" s="162" t="s">
        <v>117</v>
      </c>
      <c r="V10" s="92" t="s">
        <v>140</v>
      </c>
      <c r="X10" s="162" t="s">
        <v>117</v>
      </c>
    </row>
    <row r="11" spans="1:28" ht="4.5" customHeight="1" x14ac:dyDescent="0.45">
      <c r="B11" s="93"/>
      <c r="D11" s="91"/>
      <c r="F11" s="93"/>
      <c r="H11" s="91"/>
      <c r="J11" s="93"/>
      <c r="L11" s="91"/>
      <c r="N11" s="93"/>
      <c r="P11" s="91"/>
      <c r="R11" s="93"/>
      <c r="T11" s="91"/>
      <c r="V11" s="93"/>
      <c r="X11" s="91"/>
    </row>
    <row r="12" spans="1:28" s="86" customFormat="1" ht="31" customHeight="1" x14ac:dyDescent="0.3">
      <c r="B12" s="92" t="s">
        <v>146</v>
      </c>
      <c r="D12" s="162" t="s">
        <v>117</v>
      </c>
      <c r="F12" s="92" t="s">
        <v>123</v>
      </c>
      <c r="H12" s="162" t="s">
        <v>117</v>
      </c>
      <c r="J12" s="92" t="s">
        <v>457</v>
      </c>
      <c r="L12" s="162" t="s">
        <v>117</v>
      </c>
      <c r="N12" s="92" t="s">
        <v>133</v>
      </c>
      <c r="P12" s="162" t="s">
        <v>117</v>
      </c>
      <c r="R12" s="92" t="s">
        <v>137</v>
      </c>
      <c r="T12" s="162" t="s">
        <v>117</v>
      </c>
      <c r="V12" s="92"/>
      <c r="X12" s="92"/>
    </row>
    <row r="13" spans="1:28" ht="4.5" customHeight="1" x14ac:dyDescent="0.45">
      <c r="B13" s="93"/>
      <c r="D13" s="91"/>
      <c r="F13" s="93"/>
      <c r="H13" s="91"/>
      <c r="J13" s="93"/>
      <c r="L13" s="91"/>
      <c r="N13" s="93"/>
      <c r="P13" s="91"/>
      <c r="R13" s="93"/>
      <c r="T13" s="91"/>
      <c r="V13" s="93"/>
      <c r="X13" s="91"/>
    </row>
    <row r="14" spans="1:28" s="86" customFormat="1" ht="31" customHeight="1" x14ac:dyDescent="0.3">
      <c r="B14" s="92" t="s">
        <v>145</v>
      </c>
      <c r="D14" s="162" t="s">
        <v>118</v>
      </c>
      <c r="F14" s="92" t="s">
        <v>124</v>
      </c>
      <c r="H14" s="162" t="s">
        <v>117</v>
      </c>
      <c r="J14" s="92"/>
      <c r="L14" s="92"/>
      <c r="N14" s="92" t="s">
        <v>134</v>
      </c>
      <c r="P14" s="162" t="s">
        <v>117</v>
      </c>
      <c r="R14" s="92" t="s">
        <v>703</v>
      </c>
      <c r="T14" s="162" t="s">
        <v>117</v>
      </c>
      <c r="V14" s="92"/>
      <c r="X14" s="92"/>
    </row>
    <row r="15" spans="1:28" ht="3.65" customHeight="1" x14ac:dyDescent="0.45">
      <c r="B15" s="93"/>
      <c r="D15" s="91"/>
      <c r="F15" s="93"/>
      <c r="H15" s="91"/>
      <c r="J15" s="93"/>
      <c r="L15" s="91"/>
      <c r="N15" s="93"/>
      <c r="P15" s="91"/>
      <c r="R15" s="93"/>
      <c r="T15" s="91"/>
      <c r="V15" s="93"/>
      <c r="X15" s="91"/>
    </row>
    <row r="16" spans="1:28" s="86" customFormat="1" ht="31" customHeight="1" x14ac:dyDescent="0.3">
      <c r="B16" s="92"/>
      <c r="D16" s="92"/>
      <c r="F16" s="92" t="s">
        <v>126</v>
      </c>
      <c r="H16" s="162" t="s">
        <v>117</v>
      </c>
      <c r="J16" s="92"/>
      <c r="L16" s="92"/>
      <c r="N16" s="92"/>
      <c r="P16" s="92"/>
      <c r="R16" s="92" t="s">
        <v>138</v>
      </c>
      <c r="T16" s="162" t="s">
        <v>117</v>
      </c>
      <c r="V16" s="92"/>
      <c r="X16" s="92"/>
    </row>
    <row r="17" spans="2:24" ht="4.5" customHeight="1" x14ac:dyDescent="0.45">
      <c r="B17" s="93"/>
      <c r="D17" s="91"/>
      <c r="F17" s="93"/>
      <c r="H17" s="91"/>
      <c r="J17" s="93"/>
      <c r="L17" s="91"/>
      <c r="N17" s="93"/>
      <c r="P17" s="91"/>
      <c r="R17" s="93"/>
      <c r="T17" s="91"/>
      <c r="V17" s="93"/>
      <c r="X17" s="91"/>
    </row>
    <row r="18" spans="2:24" s="86" customFormat="1" ht="31" customHeight="1" x14ac:dyDescent="0.3">
      <c r="B18" s="92"/>
      <c r="D18" s="92"/>
      <c r="F18" s="92" t="s">
        <v>125</v>
      </c>
      <c r="H18" s="162" t="s">
        <v>117</v>
      </c>
      <c r="J18" s="92"/>
      <c r="L18" s="92"/>
      <c r="N18" s="92"/>
      <c r="P18" s="92"/>
      <c r="R18" s="92" t="s">
        <v>139</v>
      </c>
      <c r="T18" s="162" t="s">
        <v>117</v>
      </c>
      <c r="V18" s="92"/>
      <c r="X18" s="92"/>
    </row>
    <row r="19" spans="2:24" ht="4.5" customHeight="1" x14ac:dyDescent="0.45">
      <c r="B19" s="93"/>
      <c r="D19" s="91"/>
      <c r="F19" s="93"/>
      <c r="H19" s="91"/>
      <c r="J19" s="93"/>
      <c r="L19" s="91"/>
      <c r="N19" s="93"/>
      <c r="P19" s="91"/>
      <c r="R19" s="93"/>
      <c r="T19" s="91"/>
      <c r="V19" s="93"/>
      <c r="X19" s="91"/>
    </row>
    <row r="20" spans="2:24" s="86" customFormat="1" ht="31" customHeight="1" x14ac:dyDescent="0.3">
      <c r="B20" s="92"/>
      <c r="D20" s="92"/>
      <c r="F20" s="92" t="s">
        <v>898</v>
      </c>
      <c r="H20" s="162" t="s">
        <v>117</v>
      </c>
      <c r="J20" s="92"/>
      <c r="L20" s="92"/>
      <c r="N20" s="92"/>
      <c r="P20" s="92"/>
      <c r="R20" s="92"/>
      <c r="T20" s="92"/>
      <c r="V20" s="92"/>
      <c r="X20" s="92"/>
    </row>
  </sheetData>
  <mergeCells count="2">
    <mergeCell ref="B2:P2"/>
    <mergeCell ref="R2:X2"/>
  </mergeCells>
  <dataValidations count="1">
    <dataValidation type="list" allowBlank="1" showInputMessage="1" showErrorMessage="1" sqref="T8 H12 L12 P8 P6 X6 P14 H20 X10 D12 T14 L8 D8 T6 H16 T16 H8 H6 L6 L10 H14 H18 P10 T10 D14 D10 H10 T18 T12 P12 X8 D6" xr:uid="{1CCF0112-B724-4147-B752-CA2333CE036A}">
      <formula1>$AB$3:$AB$4</formula1>
    </dataValidation>
  </dataValidations>
  <hyperlinks>
    <hyperlink ref="B6" location="'0.1'!A1" display="TESTE DE NIVELAMENTO" xr:uid="{D61BA169-0362-4911-8DCF-ABDCBF43EE2D}"/>
    <hyperlink ref="B8" location="'0.2'!A1" display="EVOLUÇÃO POR PILAR" xr:uid="{BE327190-E0D6-436D-B3C4-C9F0AED93278}"/>
    <hyperlink ref="B14" location="'0.5'!A1" display="FOTOGRAFIA DA EMPRESA" xr:uid="{DF281A09-40F3-49EA-93D4-655ADF9299D3}"/>
    <hyperlink ref="B12" location="'0.4'!A1" display="CONTROLE DE METAS" xr:uid="{C7742243-2AC9-473A-A431-556C3E615A0B}"/>
    <hyperlink ref="B10" location="'0.3'!A1" display="'0.3'!A1" xr:uid="{7D247495-C992-4D9F-AAF6-828657DE07E6}"/>
    <hyperlink ref="F6" location="'1.1'!A1" display="MISSÃO, VISÃO E VALORES" xr:uid="{C1B2A679-FC55-40A3-9AB3-138859C4F6A3}"/>
    <hyperlink ref="F8" location="'1.2'!A1" display="MAPA DE CARGOS E FUNÇÕES" xr:uid="{DA82FF48-B0A6-43B1-BC6B-A7A2D651B497}"/>
    <hyperlink ref="F12" location="'0.4'!A1" display="DESDOBRAMENTO DE METAS" xr:uid="{C2C38E43-94D6-44DE-904A-BD0AC7F50E6B}"/>
    <hyperlink ref="J10" location="'2.3'!A1" display="SOCIAL SELLER" xr:uid="{D2E17715-54F0-41F5-85C7-93775EFE3C33}"/>
    <hyperlink ref="J6" location="'2.1'!A1" display="RAIO-X DO CLIENTE DOS SONHOS" xr:uid="{0E5A3A92-EA21-4F3C-B152-BF9D44908D14}"/>
    <hyperlink ref="F10" location="'1.3'!A1" display="REGULAMENTO INTERNO" xr:uid="{8434E3F3-D956-4559-B9F5-1062FC30656B}"/>
    <hyperlink ref="F14" location="'1.5'!A1" display="REUNIÃO NOTA 10 (DIÁRIA)" xr:uid="{ADF56531-0391-4C0A-B5D0-817FD3D6A5E0}"/>
    <hyperlink ref="F18" location="'1.7'!A1" display="CRIAÇÃO DE CULTURA FORTE" xr:uid="{5C0C7532-4567-4E4B-98DB-2DFDAF959998}"/>
    <hyperlink ref="N8" location="'3.2'!A1" display="GESTÃO DA BASE DE CLIENTES" xr:uid="{B2A6D86B-AAD0-419B-AF3F-84676C9F3550}"/>
    <hyperlink ref="J8" location="'2.2'!A1" display="CRIAÇÃO DE CONTEÚDOS" xr:uid="{92D38BD2-D43D-4D8E-9D97-B4B4AA0A78D8}"/>
    <hyperlink ref="N14" location="'3.5'!A1" display="GATILHOS MENTAIS" xr:uid="{74109E40-2D7F-4210-BDFA-D98B7501D95B}"/>
    <hyperlink ref="N12" location="'3.4'!A1" display="QUEBRA DE OBJEÇÕES" xr:uid="{A1E993C0-5E60-47A9-860F-029EEEECD817}"/>
    <hyperlink ref="N10" location="'3.3'!A1" display="SCRIPT DE ATENDIMENTO IDEAL" xr:uid="{E553C3DF-8636-4097-B865-A840038E7DCC}"/>
    <hyperlink ref="N6" location="'3.1'!A1" display="AMPULHETA DE VENDAS" xr:uid="{C1E2C3E1-E4F8-456C-BC86-16A189FC6C34}"/>
    <hyperlink ref="R12" location="'4.4'!A1" display="FEEDBACKS 1 X 1 COM SEU TIME" xr:uid="{A56D8B5B-9B8A-4195-AB38-8F91B0BF4A60}"/>
    <hyperlink ref="R6" location="'4.1'!A1" display="RECRUTAMENTO E SELEÇÃO" xr:uid="{0869CED6-AD5A-4C0F-AA91-EF6395FC287B}"/>
    <hyperlink ref="R18" location="'4.7'!A1" display="ENTREVISTA DE DESLIGAMENTO" xr:uid="{41756870-C3E1-4B9D-8176-B2722DB22358}"/>
    <hyperlink ref="R16" location="'4.6'!A1" display="PESQUISA DE CLIMA NA EMPRESA" xr:uid="{E9A117E4-4C11-445F-95B3-401D36B4B334}"/>
    <hyperlink ref="R14" location="'4.5'!A1" display="TREINAMENTO DAS LIDERANÇAS" xr:uid="{2884A4E1-85BA-478A-8292-260D3A862BBB}"/>
    <hyperlink ref="R8" location="'4.2'!A1" display="TREINAMENTO COM FLUXOGRAMA" xr:uid="{8C802702-024D-4B3A-8A76-DC9D0F24F2A7}"/>
    <hyperlink ref="R10" location="'4.3'!A1" display="PRODUTIVIDADE X OCIOSIDADE" xr:uid="{23218737-774B-4A96-A18B-8724C54A97B9}"/>
    <hyperlink ref="J12" location="'2.4'!A1" display="LIVES SHOP" xr:uid="{262B716C-7A41-466B-AE6B-2DE43951097C}"/>
    <hyperlink ref="V10" location="'5.3'!A1" display="GESTÃO DO FLUXO DE CAIXA" xr:uid="{AA8C68CA-EC29-4FE3-BF5E-A94FB7E8776B}"/>
    <hyperlink ref="V8" location="'5.2'!A1" display="GESTÃO MATRICIAL DE RECEITAS" xr:uid="{073F37A4-DBAA-41BE-BDF3-13E6BEB67337}"/>
    <hyperlink ref="F16" location="'1.6'!A1" display="ANÁLISE DE RESULTADOS DO MÊS" xr:uid="{3DBA27C0-C38F-4782-94FD-EE9BB47CC0C2}"/>
    <hyperlink ref="F20" location="'1.8'!A1" display="REMUNERAÇÃO VARIÁVEL" xr:uid="{7024013E-4823-4433-AC5C-1BB54A787DA5}"/>
    <hyperlink ref="V6" location="'5.1'!A1" display="GESTÃO MATRICIAL DE DESPESAS" xr:uid="{8DB70DDC-8586-477E-8D45-7470A79FAFE5}"/>
  </hyperlinks>
  <pageMargins left="0.511811024" right="0.511811024" top="0.78740157499999996" bottom="0.78740157499999996" header="0.31496062000000002" footer="0.31496062000000002"/>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4E506C96-A2DC-4E4A-9C4E-48AEF5A3DF35}">
            <xm:f>NOT(ISERROR(SEARCH($AB$4,D6)))</xm:f>
            <xm:f>$AB$4</xm:f>
            <x14:dxf>
              <font>
                <b/>
                <i val="0"/>
                <color theme="0"/>
              </font>
              <fill>
                <patternFill>
                  <bgColor rgb="FFC00000"/>
                </patternFill>
              </fill>
            </x14:dxf>
          </x14:cfRule>
          <x14:cfRule type="containsText" priority="2" operator="containsText" id="{C3464A52-DC33-49AA-8249-3E921AB73550}">
            <xm:f>NOT(ISERROR(SEARCH($AB$3,D6)))</xm:f>
            <xm:f>$AB$3</xm:f>
            <x14:dxf>
              <font>
                <b/>
                <i val="0"/>
                <color theme="0"/>
              </font>
              <fill>
                <patternFill>
                  <fgColor theme="0"/>
                  <bgColor rgb="FF00B050"/>
                </patternFill>
              </fill>
            </x14:dxf>
          </x14:cfRule>
          <xm:sqref>D6</xm:sqref>
        </x14:conditionalFormatting>
        <x14:conditionalFormatting xmlns:xm="http://schemas.microsoft.com/office/excel/2006/main">
          <x14:cfRule type="containsText" priority="3" operator="containsText" id="{CC81B920-7A7D-4516-9CDD-366BD5B6C89A}">
            <xm:f>NOT(ISERROR(SEARCH($AB$4,D8)))</xm:f>
            <xm:f>$AB$4</xm:f>
            <x14:dxf>
              <font>
                <b/>
                <i val="0"/>
                <color theme="0"/>
              </font>
              <fill>
                <patternFill>
                  <bgColor rgb="FFC00000"/>
                </patternFill>
              </fill>
            </x14:dxf>
          </x14:cfRule>
          <x14:cfRule type="containsText" priority="4" operator="containsText" id="{642C4036-62B3-4EF3-A010-E6D0A44DADEA}">
            <xm:f>NOT(ISERROR(SEARCH($AB$3,D8)))</xm:f>
            <xm:f>$AB$3</xm:f>
            <x14:dxf>
              <font>
                <b/>
                <i val="0"/>
                <color theme="0"/>
              </font>
              <fill>
                <patternFill>
                  <fgColor theme="0"/>
                  <bgColor rgb="FF00B050"/>
                </patternFill>
              </fill>
            </x14:dxf>
          </x14:cfRule>
          <xm:sqref>D8</xm:sqref>
        </x14:conditionalFormatting>
        <x14:conditionalFormatting xmlns:xm="http://schemas.microsoft.com/office/excel/2006/main">
          <x14:cfRule type="containsText" priority="15" operator="containsText" id="{EA96AA46-4F5A-4A34-ABEB-449EEB356217}">
            <xm:f>NOT(ISERROR(SEARCH($AB$4,D10)))</xm:f>
            <xm:f>$AB$4</xm:f>
            <x14:dxf>
              <font>
                <b/>
                <i val="0"/>
                <color theme="0"/>
              </font>
              <fill>
                <patternFill>
                  <bgColor rgb="FFC00000"/>
                </patternFill>
              </fill>
            </x14:dxf>
          </x14:cfRule>
          <x14:cfRule type="containsText" priority="16" operator="containsText" id="{C02B0F06-5D7B-42F7-9B61-2A6D1D8FC4E3}">
            <xm:f>NOT(ISERROR(SEARCH($AB$3,D10)))</xm:f>
            <xm:f>$AB$3</xm:f>
            <x14:dxf>
              <font>
                <b/>
                <i val="0"/>
                <color theme="0"/>
              </font>
              <fill>
                <patternFill>
                  <fgColor theme="0"/>
                  <bgColor rgb="FF00B050"/>
                </patternFill>
              </fill>
            </x14:dxf>
          </x14:cfRule>
          <xm:sqref>D10</xm:sqref>
        </x14:conditionalFormatting>
        <x14:conditionalFormatting xmlns:xm="http://schemas.microsoft.com/office/excel/2006/main">
          <x14:cfRule type="containsText" priority="13" operator="containsText" id="{406262B3-6C3A-4B2F-9618-3B85A02863C3}">
            <xm:f>NOT(ISERROR(SEARCH($AB$4,D12)))</xm:f>
            <xm:f>$AB$4</xm:f>
            <x14:dxf>
              <font>
                <b/>
                <i val="0"/>
                <color theme="0"/>
              </font>
              <fill>
                <patternFill>
                  <bgColor rgb="FFC00000"/>
                </patternFill>
              </fill>
            </x14:dxf>
          </x14:cfRule>
          <x14:cfRule type="containsText" priority="14" operator="containsText" id="{B0A34EC2-8CC8-4FF4-9073-5C93BDB98114}">
            <xm:f>NOT(ISERROR(SEARCH($AB$3,D12)))</xm:f>
            <xm:f>$AB$3</xm:f>
            <x14:dxf>
              <font>
                <b/>
                <i val="0"/>
                <color theme="0"/>
              </font>
              <fill>
                <patternFill>
                  <fgColor theme="0"/>
                  <bgColor rgb="FF00B050"/>
                </patternFill>
              </fill>
            </x14:dxf>
          </x14:cfRule>
          <xm:sqref>D12</xm:sqref>
        </x14:conditionalFormatting>
        <x14:conditionalFormatting xmlns:xm="http://schemas.microsoft.com/office/excel/2006/main">
          <x14:cfRule type="containsText" priority="11" operator="containsText" id="{B6C38C83-519B-4FEB-ADA8-35854049A705}">
            <xm:f>NOT(ISERROR(SEARCH($AB$4,D14)))</xm:f>
            <xm:f>$AB$4</xm:f>
            <x14:dxf>
              <font>
                <b/>
                <i val="0"/>
                <color theme="0"/>
              </font>
              <fill>
                <patternFill>
                  <bgColor rgb="FFC00000"/>
                </patternFill>
              </fill>
            </x14:dxf>
          </x14:cfRule>
          <x14:cfRule type="containsText" priority="12" operator="containsText" id="{F6B525AC-9687-4F12-AFEE-6F9DD7DF7EEA}">
            <xm:f>NOT(ISERROR(SEARCH($AB$3,D14)))</xm:f>
            <xm:f>$AB$3</xm:f>
            <x14:dxf>
              <font>
                <b/>
                <i val="0"/>
                <color theme="0"/>
              </font>
              <fill>
                <patternFill>
                  <fgColor theme="0"/>
                  <bgColor rgb="FF00B050"/>
                </patternFill>
              </fill>
            </x14:dxf>
          </x14:cfRule>
          <xm:sqref>D14</xm:sqref>
        </x14:conditionalFormatting>
        <x14:conditionalFormatting xmlns:xm="http://schemas.microsoft.com/office/excel/2006/main">
          <x14:cfRule type="containsText" priority="7" operator="containsText" id="{DABA7494-DFEE-4218-A075-63DE91BEE941}">
            <xm:f>NOT(ISERROR(SEARCH($AB$4,H6)))</xm:f>
            <xm:f>$AB$4</xm:f>
            <x14:dxf>
              <font>
                <b/>
                <i val="0"/>
                <color theme="0"/>
              </font>
              <fill>
                <patternFill>
                  <bgColor rgb="FFC00000"/>
                </patternFill>
              </fill>
            </x14:dxf>
          </x14:cfRule>
          <x14:cfRule type="containsText" priority="8" operator="containsText" id="{8A82E6E6-CC22-4600-859A-33D152FC69E1}">
            <xm:f>NOT(ISERROR(SEARCH($AB$3,H6)))</xm:f>
            <xm:f>$AB$3</xm:f>
            <x14:dxf>
              <font>
                <b/>
                <i val="0"/>
                <color theme="0"/>
              </font>
              <fill>
                <patternFill>
                  <fgColor theme="0"/>
                  <bgColor rgb="FF00B050"/>
                </patternFill>
              </fill>
            </x14:dxf>
          </x14:cfRule>
          <xm:sqref>H6</xm:sqref>
        </x14:conditionalFormatting>
        <x14:conditionalFormatting xmlns:xm="http://schemas.microsoft.com/office/excel/2006/main">
          <x14:cfRule type="containsText" priority="5" operator="containsText" id="{75FE9270-30FC-4583-AC46-B8BE982FAC8C}">
            <xm:f>NOT(ISERROR(SEARCH($AB$4,H8)))</xm:f>
            <xm:f>$AB$4</xm:f>
            <x14:dxf>
              <font>
                <b/>
                <i val="0"/>
                <color theme="0"/>
              </font>
              <fill>
                <patternFill>
                  <bgColor rgb="FFC00000"/>
                </patternFill>
              </fill>
            </x14:dxf>
          </x14:cfRule>
          <x14:cfRule type="containsText" priority="6" operator="containsText" id="{B3DDADE4-0343-49E7-8AD2-E68C96F26F6B}">
            <xm:f>NOT(ISERROR(SEARCH($AB$3,H8)))</xm:f>
            <xm:f>$AB$3</xm:f>
            <x14:dxf>
              <font>
                <b/>
                <i val="0"/>
                <color theme="0"/>
              </font>
              <fill>
                <patternFill>
                  <fgColor theme="0"/>
                  <bgColor rgb="FF00B050"/>
                </patternFill>
              </fill>
            </x14:dxf>
          </x14:cfRule>
          <xm:sqref>H8</xm:sqref>
        </x14:conditionalFormatting>
        <x14:conditionalFormatting xmlns:xm="http://schemas.microsoft.com/office/excel/2006/main">
          <x14:cfRule type="containsText" priority="102" operator="containsText" id="{15F303F4-9459-4EF8-BB53-56B1CF346E12}">
            <xm:f>NOT(ISERROR(SEARCH($AB$3,H10)))</xm:f>
            <xm:f>$AB$3</xm:f>
            <x14:dxf>
              <font>
                <b/>
                <i val="0"/>
                <color theme="0"/>
              </font>
              <fill>
                <patternFill>
                  <fgColor theme="0"/>
                  <bgColor rgb="FF00B050"/>
                </patternFill>
              </fill>
            </x14:dxf>
          </x14:cfRule>
          <x14:cfRule type="containsText" priority="101" operator="containsText" id="{3B0B6991-9C51-4874-A08C-9DDB766E518F}">
            <xm:f>NOT(ISERROR(SEARCH($AB$4,H10)))</xm:f>
            <xm:f>$AB$4</xm:f>
            <x14:dxf>
              <font>
                <b/>
                <i val="0"/>
                <color theme="0"/>
              </font>
              <fill>
                <patternFill>
                  <bgColor rgb="FFC00000"/>
                </patternFill>
              </fill>
            </x14:dxf>
          </x14:cfRule>
          <xm:sqref>H10</xm:sqref>
        </x14:conditionalFormatting>
        <x14:conditionalFormatting xmlns:xm="http://schemas.microsoft.com/office/excel/2006/main">
          <x14:cfRule type="containsText" priority="100" operator="containsText" id="{3FC2F6FB-CA23-4A95-BDC7-A296C2B2E16F}">
            <xm:f>NOT(ISERROR(SEARCH($AB$3,H12)))</xm:f>
            <xm:f>$AB$3</xm:f>
            <x14:dxf>
              <font>
                <b/>
                <i val="0"/>
                <color theme="0"/>
              </font>
              <fill>
                <patternFill>
                  <fgColor theme="0"/>
                  <bgColor rgb="FF00B050"/>
                </patternFill>
              </fill>
            </x14:dxf>
          </x14:cfRule>
          <x14:cfRule type="containsText" priority="99" operator="containsText" id="{06B604B3-BD66-42F4-AA09-294D90459E30}">
            <xm:f>NOT(ISERROR(SEARCH($AB$4,H12)))</xm:f>
            <xm:f>$AB$4</xm:f>
            <x14:dxf>
              <font>
                <b/>
                <i val="0"/>
                <color theme="0"/>
              </font>
              <fill>
                <patternFill>
                  <bgColor rgb="FFC00000"/>
                </patternFill>
              </fill>
            </x14:dxf>
          </x14:cfRule>
          <xm:sqref>H12</xm:sqref>
        </x14:conditionalFormatting>
        <x14:conditionalFormatting xmlns:xm="http://schemas.microsoft.com/office/excel/2006/main">
          <x14:cfRule type="containsText" priority="98" operator="containsText" id="{080DC5E6-3350-486E-831B-97129BABA09B}">
            <xm:f>NOT(ISERROR(SEARCH($AB$3,H14)))</xm:f>
            <xm:f>$AB$3</xm:f>
            <x14:dxf>
              <font>
                <b/>
                <i val="0"/>
                <color theme="0"/>
              </font>
              <fill>
                <patternFill>
                  <fgColor theme="0"/>
                  <bgColor rgb="FF00B050"/>
                </patternFill>
              </fill>
            </x14:dxf>
          </x14:cfRule>
          <x14:cfRule type="containsText" priority="97" operator="containsText" id="{ECDA33F4-0E91-4543-B8DE-AA199949F634}">
            <xm:f>NOT(ISERROR(SEARCH($AB$4,H14)))</xm:f>
            <xm:f>$AB$4</xm:f>
            <x14:dxf>
              <font>
                <b/>
                <i val="0"/>
                <color theme="0"/>
              </font>
              <fill>
                <patternFill>
                  <bgColor rgb="FFC00000"/>
                </patternFill>
              </fill>
            </x14:dxf>
          </x14:cfRule>
          <xm:sqref>H14</xm:sqref>
        </x14:conditionalFormatting>
        <x14:conditionalFormatting xmlns:xm="http://schemas.microsoft.com/office/excel/2006/main">
          <x14:cfRule type="containsText" priority="95" operator="containsText" id="{90B53312-A031-476E-A695-E0F4446A7F05}">
            <xm:f>NOT(ISERROR(SEARCH($AB$4,H16)))</xm:f>
            <xm:f>$AB$4</xm:f>
            <x14:dxf>
              <font>
                <b/>
                <i val="0"/>
                <color theme="0"/>
              </font>
              <fill>
                <patternFill>
                  <bgColor rgb="FFC00000"/>
                </patternFill>
              </fill>
            </x14:dxf>
          </x14:cfRule>
          <x14:cfRule type="containsText" priority="96" operator="containsText" id="{86125173-E599-4F64-B767-852EA0972396}">
            <xm:f>NOT(ISERROR(SEARCH($AB$3,H16)))</xm:f>
            <xm:f>$AB$3</xm:f>
            <x14:dxf>
              <font>
                <b/>
                <i val="0"/>
                <color theme="0"/>
              </font>
              <fill>
                <patternFill>
                  <fgColor theme="0"/>
                  <bgColor rgb="FF00B050"/>
                </patternFill>
              </fill>
            </x14:dxf>
          </x14:cfRule>
          <xm:sqref>H16</xm:sqref>
        </x14:conditionalFormatting>
        <x14:conditionalFormatting xmlns:xm="http://schemas.microsoft.com/office/excel/2006/main">
          <x14:cfRule type="containsText" priority="94" operator="containsText" id="{F49BDDAC-BF84-415A-932B-8F2E4856D57D}">
            <xm:f>NOT(ISERROR(SEARCH($AB$3,H18)))</xm:f>
            <xm:f>$AB$3</xm:f>
            <x14:dxf>
              <font>
                <b/>
                <i val="0"/>
                <color theme="0"/>
              </font>
              <fill>
                <patternFill>
                  <fgColor theme="0"/>
                  <bgColor rgb="FF00B050"/>
                </patternFill>
              </fill>
            </x14:dxf>
          </x14:cfRule>
          <x14:cfRule type="containsText" priority="93" operator="containsText" id="{65DB15D9-B05F-4050-BA76-C0CB76855EF3}">
            <xm:f>NOT(ISERROR(SEARCH($AB$4,H18)))</xm:f>
            <xm:f>$AB$4</xm:f>
            <x14:dxf>
              <font>
                <b/>
                <i val="0"/>
                <color theme="0"/>
              </font>
              <fill>
                <patternFill>
                  <bgColor rgb="FFC00000"/>
                </patternFill>
              </fill>
            </x14:dxf>
          </x14:cfRule>
          <xm:sqref>H18</xm:sqref>
        </x14:conditionalFormatting>
        <x14:conditionalFormatting xmlns:xm="http://schemas.microsoft.com/office/excel/2006/main">
          <x14:cfRule type="containsText" priority="92" operator="containsText" id="{4FB773BB-75DA-432B-B0FD-C846DBECBCDC}">
            <xm:f>NOT(ISERROR(SEARCH($AB$3,H20)))</xm:f>
            <xm:f>$AB$3</xm:f>
            <x14:dxf>
              <font>
                <b/>
                <i val="0"/>
                <color theme="0"/>
              </font>
              <fill>
                <patternFill>
                  <fgColor theme="0"/>
                  <bgColor rgb="FF00B050"/>
                </patternFill>
              </fill>
            </x14:dxf>
          </x14:cfRule>
          <x14:cfRule type="containsText" priority="91" operator="containsText" id="{5CA2BAA7-EA7E-4E72-A509-33A1873EEB7C}">
            <xm:f>NOT(ISERROR(SEARCH($AB$4,H20)))</xm:f>
            <xm:f>$AB$4</xm:f>
            <x14:dxf>
              <font>
                <b/>
                <i val="0"/>
                <color theme="0"/>
              </font>
              <fill>
                <patternFill>
                  <bgColor rgb="FFC00000"/>
                </patternFill>
              </fill>
            </x14:dxf>
          </x14:cfRule>
          <xm:sqref>H20</xm:sqref>
        </x14:conditionalFormatting>
        <x14:conditionalFormatting xmlns:xm="http://schemas.microsoft.com/office/excel/2006/main">
          <x14:cfRule type="containsText" priority="90" operator="containsText" id="{154E7E42-CA79-454B-AD04-122A1196F394}">
            <xm:f>NOT(ISERROR(SEARCH($AB$3,L6)))</xm:f>
            <xm:f>$AB$3</xm:f>
            <x14:dxf>
              <font>
                <b/>
                <i val="0"/>
                <color theme="0"/>
              </font>
              <fill>
                <patternFill>
                  <fgColor theme="0"/>
                  <bgColor rgb="FF00B050"/>
                </patternFill>
              </fill>
            </x14:dxf>
          </x14:cfRule>
          <x14:cfRule type="containsText" priority="89" operator="containsText" id="{39AD5D52-3266-4EE3-ADF9-F3C0208753EB}">
            <xm:f>NOT(ISERROR(SEARCH($AB$4,L6)))</xm:f>
            <xm:f>$AB$4</xm:f>
            <x14:dxf>
              <font>
                <b/>
                <i val="0"/>
                <color theme="0"/>
              </font>
              <fill>
                <patternFill>
                  <bgColor rgb="FFC00000"/>
                </patternFill>
              </fill>
            </x14:dxf>
          </x14:cfRule>
          <xm:sqref>L6</xm:sqref>
        </x14:conditionalFormatting>
        <x14:conditionalFormatting xmlns:xm="http://schemas.microsoft.com/office/excel/2006/main">
          <x14:cfRule type="containsText" priority="39" operator="containsText" id="{AAA0BC18-6ADD-4BFB-9077-1036AEFD555C}">
            <xm:f>NOT(ISERROR(SEARCH($AB$4,L8)))</xm:f>
            <xm:f>$AB$4</xm:f>
            <x14:dxf>
              <font>
                <b/>
                <i val="0"/>
                <color theme="0"/>
              </font>
              <fill>
                <patternFill>
                  <bgColor rgb="FFC00000"/>
                </patternFill>
              </fill>
            </x14:dxf>
          </x14:cfRule>
          <x14:cfRule type="containsText" priority="40" operator="containsText" id="{9993BCBA-C6E5-489E-9363-005225340192}">
            <xm:f>NOT(ISERROR(SEARCH($AB$3,L8)))</xm:f>
            <xm:f>$AB$3</xm:f>
            <x14:dxf>
              <font>
                <b/>
                <i val="0"/>
                <color theme="0"/>
              </font>
              <fill>
                <patternFill>
                  <fgColor theme="0"/>
                  <bgColor rgb="FF00B050"/>
                </patternFill>
              </fill>
            </x14:dxf>
          </x14:cfRule>
          <xm:sqref>L8</xm:sqref>
        </x14:conditionalFormatting>
        <x14:conditionalFormatting xmlns:xm="http://schemas.microsoft.com/office/excel/2006/main">
          <x14:cfRule type="containsText" priority="86" operator="containsText" id="{CC87D1AF-7771-410D-A427-9092F9CD82A2}">
            <xm:f>NOT(ISERROR(SEARCH($AB$3,L10)))</xm:f>
            <xm:f>$AB$3</xm:f>
            <x14:dxf>
              <font>
                <b/>
                <i val="0"/>
                <color theme="0"/>
              </font>
              <fill>
                <patternFill>
                  <fgColor theme="0"/>
                  <bgColor rgb="FF00B050"/>
                </patternFill>
              </fill>
            </x14:dxf>
          </x14:cfRule>
          <x14:cfRule type="containsText" priority="85" operator="containsText" id="{706C1150-1F1B-4272-940F-648798C8C248}">
            <xm:f>NOT(ISERROR(SEARCH($AB$4,L10)))</xm:f>
            <xm:f>$AB$4</xm:f>
            <x14:dxf>
              <font>
                <b/>
                <i val="0"/>
                <color theme="0"/>
              </font>
              <fill>
                <patternFill>
                  <bgColor rgb="FFC00000"/>
                </patternFill>
              </fill>
            </x14:dxf>
          </x14:cfRule>
          <xm:sqref>L10</xm:sqref>
        </x14:conditionalFormatting>
        <x14:conditionalFormatting xmlns:xm="http://schemas.microsoft.com/office/excel/2006/main">
          <x14:cfRule type="containsText" priority="84" operator="containsText" id="{B01ABAC9-E102-4514-A9E0-BC7E096D7BC5}">
            <xm:f>NOT(ISERROR(SEARCH($AB$3,L12)))</xm:f>
            <xm:f>$AB$3</xm:f>
            <x14:dxf>
              <font>
                <b/>
                <i val="0"/>
                <color theme="0"/>
              </font>
              <fill>
                <patternFill>
                  <fgColor theme="0"/>
                  <bgColor rgb="FF00B050"/>
                </patternFill>
              </fill>
            </x14:dxf>
          </x14:cfRule>
          <x14:cfRule type="containsText" priority="83" operator="containsText" id="{85221474-74C0-4ECA-9DEC-91E1D8D3E2D6}">
            <xm:f>NOT(ISERROR(SEARCH($AB$4,L12)))</xm:f>
            <xm:f>$AB$4</xm:f>
            <x14:dxf>
              <font>
                <b/>
                <i val="0"/>
                <color theme="0"/>
              </font>
              <fill>
                <patternFill>
                  <bgColor rgb="FFC00000"/>
                </patternFill>
              </fill>
            </x14:dxf>
          </x14:cfRule>
          <xm:sqref>L12</xm:sqref>
        </x14:conditionalFormatting>
        <x14:conditionalFormatting xmlns:xm="http://schemas.microsoft.com/office/excel/2006/main">
          <x14:cfRule type="containsText" priority="37" operator="containsText" id="{7FDC4790-35CC-476C-8321-DC3837B638CB}">
            <xm:f>NOT(ISERROR(SEARCH($AB$4,P6)))</xm:f>
            <xm:f>$AB$4</xm:f>
            <x14:dxf>
              <font>
                <b/>
                <i val="0"/>
                <color theme="0"/>
              </font>
              <fill>
                <patternFill>
                  <bgColor rgb="FFC00000"/>
                </patternFill>
              </fill>
            </x14:dxf>
          </x14:cfRule>
          <x14:cfRule type="containsText" priority="38" operator="containsText" id="{96125078-8078-431A-AEDD-DA32CC7CCE8E}">
            <xm:f>NOT(ISERROR(SEARCH($AB$3,P6)))</xm:f>
            <xm:f>$AB$3</xm:f>
            <x14:dxf>
              <font>
                <b/>
                <i val="0"/>
                <color theme="0"/>
              </font>
              <fill>
                <patternFill>
                  <fgColor theme="0"/>
                  <bgColor rgb="FF00B050"/>
                </patternFill>
              </fill>
            </x14:dxf>
          </x14:cfRule>
          <xm:sqref>P6</xm:sqref>
        </x14:conditionalFormatting>
        <x14:conditionalFormatting xmlns:xm="http://schemas.microsoft.com/office/excel/2006/main">
          <x14:cfRule type="containsText" priority="32" operator="containsText" id="{5D31C0BD-5440-42F7-A89A-4E8AB5167EAC}">
            <xm:f>NOT(ISERROR(SEARCH($AB$3,P8)))</xm:f>
            <xm:f>$AB$3</xm:f>
            <x14:dxf>
              <font>
                <b/>
                <i val="0"/>
                <color theme="0"/>
              </font>
              <fill>
                <patternFill>
                  <fgColor theme="0"/>
                  <bgColor rgb="FF00B050"/>
                </patternFill>
              </fill>
            </x14:dxf>
          </x14:cfRule>
          <x14:cfRule type="containsText" priority="31" operator="containsText" id="{7785D84F-F3AC-40E7-98E8-7346BC260036}">
            <xm:f>NOT(ISERROR(SEARCH($AB$4,P8)))</xm:f>
            <xm:f>$AB$4</xm:f>
            <x14:dxf>
              <font>
                <b/>
                <i val="0"/>
                <color theme="0"/>
              </font>
              <fill>
                <patternFill>
                  <bgColor rgb="FFC00000"/>
                </patternFill>
              </fill>
            </x14:dxf>
          </x14:cfRule>
          <xm:sqref>P8</xm:sqref>
        </x14:conditionalFormatting>
        <x14:conditionalFormatting xmlns:xm="http://schemas.microsoft.com/office/excel/2006/main">
          <x14:cfRule type="containsText" priority="78" operator="containsText" id="{3FC0675E-A252-436C-9CC3-83310B83401F}">
            <xm:f>NOT(ISERROR(SEARCH($AB$3,P10)))</xm:f>
            <xm:f>$AB$3</xm:f>
            <x14:dxf>
              <font>
                <b/>
                <i val="0"/>
                <color theme="0"/>
              </font>
              <fill>
                <patternFill>
                  <fgColor theme="0"/>
                  <bgColor rgb="FF00B050"/>
                </patternFill>
              </fill>
            </x14:dxf>
          </x14:cfRule>
          <x14:cfRule type="containsText" priority="77" operator="containsText" id="{AEB03EFF-93B4-405C-B0EA-222C6AB8128D}">
            <xm:f>NOT(ISERROR(SEARCH($AB$4,P10)))</xm:f>
            <xm:f>$AB$4</xm:f>
            <x14:dxf>
              <font>
                <b/>
                <i val="0"/>
                <color theme="0"/>
              </font>
              <fill>
                <patternFill>
                  <bgColor rgb="FFC00000"/>
                </patternFill>
              </fill>
            </x14:dxf>
          </x14:cfRule>
          <xm:sqref>P10</xm:sqref>
        </x14:conditionalFormatting>
        <x14:conditionalFormatting xmlns:xm="http://schemas.microsoft.com/office/excel/2006/main">
          <x14:cfRule type="containsText" priority="35" operator="containsText" id="{C73EAB62-AD28-483E-A0C0-AF4C46DA53C4}">
            <xm:f>NOT(ISERROR(SEARCH($AB$4,P12)))</xm:f>
            <xm:f>$AB$4</xm:f>
            <x14:dxf>
              <font>
                <b/>
                <i val="0"/>
                <color theme="0"/>
              </font>
              <fill>
                <patternFill>
                  <bgColor rgb="FFC00000"/>
                </patternFill>
              </fill>
            </x14:dxf>
          </x14:cfRule>
          <x14:cfRule type="containsText" priority="36" operator="containsText" id="{9CCA9B61-AF61-430D-B95B-6E847945C899}">
            <xm:f>NOT(ISERROR(SEARCH($AB$3,P12)))</xm:f>
            <xm:f>$AB$3</xm:f>
            <x14:dxf>
              <font>
                <b/>
                <i val="0"/>
                <color theme="0"/>
              </font>
              <fill>
                <patternFill>
                  <fgColor theme="0"/>
                  <bgColor rgb="FF00B050"/>
                </patternFill>
              </fill>
            </x14:dxf>
          </x14:cfRule>
          <xm:sqref>P12</xm:sqref>
        </x14:conditionalFormatting>
        <x14:conditionalFormatting xmlns:xm="http://schemas.microsoft.com/office/excel/2006/main">
          <x14:cfRule type="containsText" priority="56" operator="containsText" id="{3C8ACE68-EE6C-4EC6-A373-C1F2C6234AC2}">
            <xm:f>NOT(ISERROR(SEARCH($AB$3,P14)))</xm:f>
            <xm:f>$AB$3</xm:f>
            <x14:dxf>
              <font>
                <b/>
                <i val="0"/>
                <color theme="0"/>
              </font>
              <fill>
                <patternFill>
                  <fgColor theme="0"/>
                  <bgColor rgb="FF00B050"/>
                </patternFill>
              </fill>
            </x14:dxf>
          </x14:cfRule>
          <x14:cfRule type="containsText" priority="55" operator="containsText" id="{1FE4BB0A-24E4-4723-A17E-4086697A8885}">
            <xm:f>NOT(ISERROR(SEARCH($AB$4,P14)))</xm:f>
            <xm:f>$AB$4</xm:f>
            <x14:dxf>
              <font>
                <b/>
                <i val="0"/>
                <color theme="0"/>
              </font>
              <fill>
                <patternFill>
                  <bgColor rgb="FFC00000"/>
                </patternFill>
              </fill>
            </x14:dxf>
          </x14:cfRule>
          <xm:sqref>P14</xm:sqref>
        </x14:conditionalFormatting>
        <x14:conditionalFormatting xmlns:xm="http://schemas.microsoft.com/office/excel/2006/main">
          <x14:cfRule type="containsText" priority="74" operator="containsText" id="{C03919AA-317F-4B9D-A15E-75B9EB5C2FD3}">
            <xm:f>NOT(ISERROR(SEARCH($AB$3,T6)))</xm:f>
            <xm:f>$AB$3</xm:f>
            <x14:dxf>
              <font>
                <b/>
                <i val="0"/>
                <color theme="0"/>
              </font>
              <fill>
                <patternFill>
                  <fgColor theme="0"/>
                  <bgColor rgb="FF00B050"/>
                </patternFill>
              </fill>
            </x14:dxf>
          </x14:cfRule>
          <x14:cfRule type="containsText" priority="73" operator="containsText" id="{5CD143CB-4BD5-493B-99AC-C82261596475}">
            <xm:f>NOT(ISERROR(SEARCH($AB$4,T6)))</xm:f>
            <xm:f>$AB$4</xm:f>
            <x14:dxf>
              <font>
                <b/>
                <i val="0"/>
                <color theme="0"/>
              </font>
              <fill>
                <patternFill>
                  <bgColor rgb="FFC00000"/>
                </patternFill>
              </fill>
            </x14:dxf>
          </x14:cfRule>
          <xm:sqref>T6</xm:sqref>
        </x14:conditionalFormatting>
        <x14:conditionalFormatting xmlns:xm="http://schemas.microsoft.com/office/excel/2006/main">
          <x14:cfRule type="containsText" priority="72" operator="containsText" id="{C119BE23-72AD-4254-BCD6-194BCCECCADD}">
            <xm:f>NOT(ISERROR(SEARCH($AB$3,T8)))</xm:f>
            <xm:f>$AB$3</xm:f>
            <x14:dxf>
              <font>
                <b/>
                <i val="0"/>
                <color theme="0"/>
              </font>
              <fill>
                <patternFill>
                  <fgColor theme="0"/>
                  <bgColor rgb="FF00B050"/>
                </patternFill>
              </fill>
            </x14:dxf>
          </x14:cfRule>
          <x14:cfRule type="containsText" priority="71" operator="containsText" id="{D4253205-D38B-4205-B580-2BBD375E3E8E}">
            <xm:f>NOT(ISERROR(SEARCH($AB$4,T8)))</xm:f>
            <xm:f>$AB$4</xm:f>
            <x14:dxf>
              <font>
                <b/>
                <i val="0"/>
                <color theme="0"/>
              </font>
              <fill>
                <patternFill>
                  <bgColor rgb="FFC00000"/>
                </patternFill>
              </fill>
            </x14:dxf>
          </x14:cfRule>
          <xm:sqref>T8</xm:sqref>
        </x14:conditionalFormatting>
        <x14:conditionalFormatting xmlns:xm="http://schemas.microsoft.com/office/excel/2006/main">
          <x14:cfRule type="containsText" priority="70" operator="containsText" id="{484BEDC4-0AAC-4B29-93BD-4037D093BD94}">
            <xm:f>NOT(ISERROR(SEARCH($AB$3,T10)))</xm:f>
            <xm:f>$AB$3</xm:f>
            <x14:dxf>
              <font>
                <b/>
                <i val="0"/>
                <color theme="0"/>
              </font>
              <fill>
                <patternFill>
                  <fgColor theme="0"/>
                  <bgColor rgb="FF00B050"/>
                </patternFill>
              </fill>
            </x14:dxf>
          </x14:cfRule>
          <x14:cfRule type="containsText" priority="69" operator="containsText" id="{012368E0-8117-4F13-8E93-4F87E5274A5F}">
            <xm:f>NOT(ISERROR(SEARCH($AB$4,T10)))</xm:f>
            <xm:f>$AB$4</xm:f>
            <x14:dxf>
              <font>
                <b/>
                <i val="0"/>
                <color theme="0"/>
              </font>
              <fill>
                <patternFill>
                  <bgColor rgb="FFC00000"/>
                </patternFill>
              </fill>
            </x14:dxf>
          </x14:cfRule>
          <xm:sqref>T10</xm:sqref>
        </x14:conditionalFormatting>
        <x14:conditionalFormatting xmlns:xm="http://schemas.microsoft.com/office/excel/2006/main">
          <x14:cfRule type="containsText" priority="67" operator="containsText" id="{898F605D-0AD6-4EC8-AC34-732FCF4E9245}">
            <xm:f>NOT(ISERROR(SEARCH($AB$4,T12)))</xm:f>
            <xm:f>$AB$4</xm:f>
            <x14:dxf>
              <font>
                <b/>
                <i val="0"/>
                <color theme="0"/>
              </font>
              <fill>
                <patternFill>
                  <bgColor rgb="FFC00000"/>
                </patternFill>
              </fill>
            </x14:dxf>
          </x14:cfRule>
          <x14:cfRule type="containsText" priority="68" operator="containsText" id="{BFD06100-D2CA-488D-BBF4-69D199AF44FD}">
            <xm:f>NOT(ISERROR(SEARCH($AB$3,T12)))</xm:f>
            <xm:f>$AB$3</xm:f>
            <x14:dxf>
              <font>
                <b/>
                <i val="0"/>
                <color theme="0"/>
              </font>
              <fill>
                <patternFill>
                  <fgColor theme="0"/>
                  <bgColor rgb="FF00B050"/>
                </patternFill>
              </fill>
            </x14:dxf>
          </x14:cfRule>
          <xm:sqref>T12</xm:sqref>
        </x14:conditionalFormatting>
        <x14:conditionalFormatting xmlns:xm="http://schemas.microsoft.com/office/excel/2006/main">
          <x14:cfRule type="containsText" priority="58" operator="containsText" id="{FD1B6712-8913-4EF5-A0A5-129D5D805622}">
            <xm:f>NOT(ISERROR(SEARCH($AB$3,T14)))</xm:f>
            <xm:f>$AB$3</xm:f>
            <x14:dxf>
              <font>
                <b/>
                <i val="0"/>
                <color theme="0"/>
              </font>
              <fill>
                <patternFill>
                  <fgColor theme="0"/>
                  <bgColor rgb="FF00B050"/>
                </patternFill>
              </fill>
            </x14:dxf>
          </x14:cfRule>
          <x14:cfRule type="containsText" priority="57" operator="containsText" id="{17630672-126B-4254-8130-F65EF31D8CF5}">
            <xm:f>NOT(ISERROR(SEARCH($AB$4,T14)))</xm:f>
            <xm:f>$AB$4</xm:f>
            <x14:dxf>
              <font>
                <b/>
                <i val="0"/>
                <color theme="0"/>
              </font>
              <fill>
                <patternFill>
                  <bgColor rgb="FFC00000"/>
                </patternFill>
              </fill>
            </x14:dxf>
          </x14:cfRule>
          <xm:sqref>T14</xm:sqref>
        </x14:conditionalFormatting>
        <x14:conditionalFormatting xmlns:xm="http://schemas.microsoft.com/office/excel/2006/main">
          <x14:cfRule type="containsText" priority="54" operator="containsText" id="{5CF792F6-DBB5-44C4-B322-FD9952B73A0F}">
            <xm:f>NOT(ISERROR(SEARCH($AB$3,T16)))</xm:f>
            <xm:f>$AB$3</xm:f>
            <x14:dxf>
              <font>
                <b/>
                <i val="0"/>
                <color theme="0"/>
              </font>
              <fill>
                <patternFill>
                  <fgColor theme="0"/>
                  <bgColor rgb="FF00B050"/>
                </patternFill>
              </fill>
            </x14:dxf>
          </x14:cfRule>
          <x14:cfRule type="containsText" priority="53" operator="containsText" id="{985D5FD2-0E15-433A-A754-FBDD1C2F781B}">
            <xm:f>NOT(ISERROR(SEARCH($AB$4,T16)))</xm:f>
            <xm:f>$AB$4</xm:f>
            <x14:dxf>
              <font>
                <b/>
                <i val="0"/>
                <color theme="0"/>
              </font>
              <fill>
                <patternFill>
                  <bgColor rgb="FFC00000"/>
                </patternFill>
              </fill>
            </x14:dxf>
          </x14:cfRule>
          <xm:sqref>T16</xm:sqref>
        </x14:conditionalFormatting>
        <x14:conditionalFormatting xmlns:xm="http://schemas.microsoft.com/office/excel/2006/main">
          <x14:cfRule type="containsText" priority="51" operator="containsText" id="{63FFD757-2B12-42D4-8884-BD3DC8332069}">
            <xm:f>NOT(ISERROR(SEARCH($AB$4,T18)))</xm:f>
            <xm:f>$AB$4</xm:f>
            <x14:dxf>
              <font>
                <b/>
                <i val="0"/>
                <color theme="0"/>
              </font>
              <fill>
                <patternFill>
                  <bgColor rgb="FFC00000"/>
                </patternFill>
              </fill>
            </x14:dxf>
          </x14:cfRule>
          <x14:cfRule type="containsText" priority="52" operator="containsText" id="{F50D9A17-7C6D-495C-8DE0-B43F253732BB}">
            <xm:f>NOT(ISERROR(SEARCH($AB$3,T18)))</xm:f>
            <xm:f>$AB$3</xm:f>
            <x14:dxf>
              <font>
                <b/>
                <i val="0"/>
                <color theme="0"/>
              </font>
              <fill>
                <patternFill>
                  <fgColor theme="0"/>
                  <bgColor rgb="FF00B050"/>
                </patternFill>
              </fill>
            </x14:dxf>
          </x14:cfRule>
          <xm:sqref>T18</xm:sqref>
        </x14:conditionalFormatting>
        <x14:conditionalFormatting xmlns:xm="http://schemas.microsoft.com/office/excel/2006/main">
          <x14:cfRule type="containsText" priority="65" operator="containsText" id="{DDDE5E36-9049-4EB0-9E4C-80A0581165FC}">
            <xm:f>NOT(ISERROR(SEARCH($AB$4,X6)))</xm:f>
            <xm:f>$AB$4</xm:f>
            <x14:dxf>
              <font>
                <b/>
                <i val="0"/>
                <color theme="0"/>
              </font>
              <fill>
                <patternFill>
                  <bgColor rgb="FFC00000"/>
                </patternFill>
              </fill>
            </x14:dxf>
          </x14:cfRule>
          <x14:cfRule type="containsText" priority="66" operator="containsText" id="{6677B258-B596-437F-8D22-EAA5ED037136}">
            <xm:f>NOT(ISERROR(SEARCH($AB$3,X6)))</xm:f>
            <xm:f>$AB$3</xm:f>
            <x14:dxf>
              <font>
                <b/>
                <i val="0"/>
                <color theme="0"/>
              </font>
              <fill>
                <patternFill>
                  <fgColor theme="0"/>
                  <bgColor rgb="FF00B050"/>
                </patternFill>
              </fill>
            </x14:dxf>
          </x14:cfRule>
          <xm:sqref>X6</xm:sqref>
        </x14:conditionalFormatting>
        <x14:conditionalFormatting xmlns:xm="http://schemas.microsoft.com/office/excel/2006/main">
          <x14:cfRule type="containsText" priority="63" operator="containsText" id="{6F90FE3E-A859-4FD1-8633-D66EB7A04E98}">
            <xm:f>NOT(ISERROR(SEARCH($AB$4,X8)))</xm:f>
            <xm:f>$AB$4</xm:f>
            <x14:dxf>
              <font>
                <b/>
                <i val="0"/>
                <color theme="0"/>
              </font>
              <fill>
                <patternFill>
                  <bgColor rgb="FFC00000"/>
                </patternFill>
              </fill>
            </x14:dxf>
          </x14:cfRule>
          <x14:cfRule type="containsText" priority="64" operator="containsText" id="{BAA2A732-B65A-497C-BBE9-7781D1717682}">
            <xm:f>NOT(ISERROR(SEARCH($AB$3,X8)))</xm:f>
            <xm:f>$AB$3</xm:f>
            <x14:dxf>
              <font>
                <b/>
                <i val="0"/>
                <color theme="0"/>
              </font>
              <fill>
                <patternFill>
                  <fgColor theme="0"/>
                  <bgColor rgb="FF00B050"/>
                </patternFill>
              </fill>
            </x14:dxf>
          </x14:cfRule>
          <xm:sqref>X8</xm:sqref>
        </x14:conditionalFormatting>
        <x14:conditionalFormatting xmlns:xm="http://schemas.microsoft.com/office/excel/2006/main">
          <x14:cfRule type="containsText" priority="33" operator="containsText" id="{EA693B4C-4202-4727-95AE-7EFD362B2610}">
            <xm:f>NOT(ISERROR(SEARCH($AB$4,X10)))</xm:f>
            <xm:f>$AB$4</xm:f>
            <x14:dxf>
              <font>
                <b/>
                <i val="0"/>
                <color theme="0"/>
              </font>
              <fill>
                <patternFill>
                  <bgColor rgb="FFC00000"/>
                </patternFill>
              </fill>
            </x14:dxf>
          </x14:cfRule>
          <x14:cfRule type="containsText" priority="34" operator="containsText" id="{2C81B267-82BD-4808-90D0-0EF6850EF1A4}">
            <xm:f>NOT(ISERROR(SEARCH($AB$3,X10)))</xm:f>
            <xm:f>$AB$3</xm:f>
            <x14:dxf>
              <font>
                <b/>
                <i val="0"/>
                <color theme="0"/>
              </font>
              <fill>
                <patternFill>
                  <fgColor theme="0"/>
                  <bgColor rgb="FF00B050"/>
                </patternFill>
              </fill>
            </x14:dxf>
          </x14:cfRule>
          <xm:sqref>X10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B1:AO26"/>
  <sheetViews>
    <sheetView showGridLines="0" zoomScale="50" zoomScaleNormal="50" workbookViewId="0">
      <pane ySplit="8" topLeftCell="A9" activePane="bottomLeft" state="frozen"/>
      <selection activeCell="I21" sqref="I21"/>
      <selection pane="bottomLeft" activeCell="B10" sqref="B10"/>
    </sheetView>
  </sheetViews>
  <sheetFormatPr defaultColWidth="14.453125" defaultRowHeight="15.75" customHeight="1" outlineLevelCol="1" x14ac:dyDescent="0.35"/>
  <cols>
    <col min="1" max="1" width="3.453125" style="3" customWidth="1"/>
    <col min="2" max="2" width="70.453125" customWidth="1" outlineLevel="1"/>
    <col min="3" max="3" width="11.7265625" customWidth="1" outlineLevel="1"/>
    <col min="4" max="4" width="10.81640625" customWidth="1" outlineLevel="1"/>
    <col min="5" max="5" width="3.81640625" customWidth="1"/>
    <col min="6" max="6" width="64.81640625" customWidth="1" outlineLevel="1"/>
    <col min="7" max="7" width="11.7265625" customWidth="1" outlineLevel="1"/>
    <col min="8" max="8" width="10.81640625" customWidth="1" outlineLevel="1"/>
    <col min="9" max="9" width="3.81640625" customWidth="1"/>
    <col min="10" max="10" width="58.54296875" customWidth="1" outlineLevel="1"/>
    <col min="11" max="11" width="11.7265625" customWidth="1" outlineLevel="1"/>
    <col min="12" max="12" width="10.81640625" customWidth="1" outlineLevel="1"/>
    <col min="13" max="13" width="3.81640625" customWidth="1"/>
    <col min="14" max="14" width="66.54296875" customWidth="1" outlineLevel="1"/>
    <col min="15" max="15" width="11.7265625" customWidth="1" outlineLevel="1"/>
    <col min="16" max="16" width="10.81640625" customWidth="1" outlineLevel="1"/>
    <col min="17" max="17" width="3.81640625" customWidth="1"/>
    <col min="18" max="18" width="57.453125" customWidth="1" outlineLevel="1"/>
    <col min="19" max="19" width="11.7265625" customWidth="1" outlineLevel="1"/>
    <col min="20" max="20" width="10.81640625" customWidth="1" outlineLevel="1"/>
    <col min="21" max="21" width="1.7265625" customWidth="1"/>
    <col min="22" max="22" width="2.81640625" customWidth="1"/>
    <col min="23" max="23" width="62.81640625" customWidth="1" outlineLevel="1"/>
    <col min="24" max="24" width="13.1796875" customWidth="1" outlineLevel="1"/>
    <col min="25" max="25" width="16" customWidth="1" outlineLevel="1"/>
    <col min="26" max="26" width="1.453125" style="3" customWidth="1"/>
    <col min="27" max="27" width="90.453125" customWidth="1" outlineLevel="1"/>
    <col min="28" max="29" width="12.453125" customWidth="1" outlineLevel="1"/>
    <col min="30" max="30" width="1.54296875" style="3" customWidth="1"/>
    <col min="31" max="31" width="53.54296875" customWidth="1" outlineLevel="1"/>
    <col min="32" max="33" width="13.26953125" customWidth="1" outlineLevel="1"/>
    <col min="34" max="34" width="2.81640625" style="3" customWidth="1"/>
    <col min="35" max="35" width="65.1796875" style="3" customWidth="1"/>
    <col min="36" max="37" width="14.453125" style="3"/>
    <col min="38" max="38" width="2.453125" style="3" customWidth="1"/>
    <col min="39" max="39" width="62.54296875" style="3" customWidth="1"/>
    <col min="40" max="16384" width="14.453125" style="3"/>
  </cols>
  <sheetData>
    <row r="1" spans="2:41" ht="5.5" customHeight="1" x14ac:dyDescent="0.35"/>
    <row r="2" spans="2:41" customFormat="1" ht="53.5" customHeight="1" x14ac:dyDescent="0.35">
      <c r="B2" s="99" t="s">
        <v>147</v>
      </c>
      <c r="C2" s="391" t="s">
        <v>148</v>
      </c>
      <c r="D2" s="392"/>
      <c r="E2" s="392"/>
      <c r="F2" s="392"/>
      <c r="G2" s="392"/>
      <c r="H2" s="392"/>
      <c r="I2" s="392"/>
      <c r="J2" s="392"/>
      <c r="K2" s="392"/>
      <c r="L2" s="392"/>
      <c r="M2" s="392"/>
      <c r="N2" s="392"/>
      <c r="O2" s="392"/>
      <c r="P2" s="392"/>
      <c r="Q2" s="392"/>
      <c r="R2" s="392"/>
      <c r="S2" s="392"/>
      <c r="T2" s="392"/>
      <c r="U2" s="392"/>
      <c r="V2" s="392"/>
      <c r="W2" s="392"/>
      <c r="X2" s="392"/>
      <c r="Y2" s="392"/>
      <c r="Z2" s="392"/>
      <c r="AA2" s="392"/>
      <c r="AB2" s="392"/>
      <c r="AC2" s="392"/>
      <c r="AD2" s="392"/>
      <c r="AE2" s="392"/>
      <c r="AF2" s="392"/>
      <c r="AG2" s="392"/>
      <c r="AH2" s="392"/>
      <c r="AI2" s="392"/>
      <c r="AJ2" s="392"/>
      <c r="AK2" s="392"/>
      <c r="AL2" s="392"/>
      <c r="AM2" s="392"/>
      <c r="AN2" s="392"/>
      <c r="AO2" s="392"/>
    </row>
    <row r="3" spans="2:41" ht="5.15" customHeight="1" x14ac:dyDescent="0.35"/>
    <row r="4" spans="2:41" s="2" customFormat="1" ht="58.5" customHeight="1" x14ac:dyDescent="0.6">
      <c r="B4" s="387" t="s">
        <v>0</v>
      </c>
      <c r="C4" s="388"/>
      <c r="D4" s="388"/>
      <c r="E4" s="1"/>
      <c r="F4" s="387" t="s">
        <v>1</v>
      </c>
      <c r="G4" s="388"/>
      <c r="H4" s="388"/>
      <c r="I4" s="1"/>
      <c r="J4" s="387" t="s">
        <v>2</v>
      </c>
      <c r="K4" s="388"/>
      <c r="L4" s="388"/>
      <c r="M4" s="1"/>
      <c r="N4" s="387" t="s">
        <v>3</v>
      </c>
      <c r="O4" s="388"/>
      <c r="P4" s="388"/>
      <c r="Q4" s="1"/>
      <c r="R4" s="387" t="s">
        <v>4</v>
      </c>
      <c r="S4" s="388"/>
      <c r="T4" s="388"/>
      <c r="U4" s="1"/>
      <c r="V4" s="1"/>
      <c r="W4" s="387" t="s">
        <v>1022</v>
      </c>
      <c r="X4" s="388"/>
      <c r="Y4" s="388"/>
      <c r="AA4" s="387" t="s">
        <v>1047</v>
      </c>
      <c r="AB4" s="388"/>
      <c r="AC4" s="388"/>
      <c r="AE4" s="387" t="s">
        <v>1028</v>
      </c>
      <c r="AF4" s="388"/>
      <c r="AG4" s="388"/>
      <c r="AI4" s="387" t="s">
        <v>1034</v>
      </c>
      <c r="AJ4" s="388"/>
      <c r="AK4" s="388"/>
      <c r="AM4" s="387" t="s">
        <v>1049</v>
      </c>
      <c r="AN4" s="388"/>
      <c r="AO4" s="388"/>
    </row>
    <row r="5" spans="2:41" ht="5.5" customHeight="1" x14ac:dyDescent="0.35">
      <c r="AI5"/>
      <c r="AJ5"/>
      <c r="AK5"/>
      <c r="AM5"/>
      <c r="AN5"/>
      <c r="AO5"/>
    </row>
    <row r="6" spans="2:41" s="5" customFormat="1" ht="23.5" x14ac:dyDescent="0.55000000000000004">
      <c r="B6" s="385" t="s">
        <v>1017</v>
      </c>
      <c r="C6" s="386"/>
      <c r="D6" s="386"/>
      <c r="E6" s="4"/>
      <c r="F6" s="385" t="s">
        <v>1017</v>
      </c>
      <c r="G6" s="386"/>
      <c r="H6" s="386"/>
      <c r="I6" s="4"/>
      <c r="J6" s="370" t="s">
        <v>1017</v>
      </c>
      <c r="K6" s="371"/>
      <c r="L6" s="371"/>
      <c r="M6" s="4"/>
      <c r="N6" s="385" t="s">
        <v>1017</v>
      </c>
      <c r="O6" s="386"/>
      <c r="P6" s="386"/>
      <c r="Q6" s="4"/>
      <c r="R6" s="370" t="s">
        <v>1017</v>
      </c>
      <c r="S6" s="371"/>
      <c r="T6" s="371"/>
      <c r="U6" s="4"/>
      <c r="V6" s="4"/>
      <c r="W6" s="385" t="s">
        <v>1017</v>
      </c>
      <c r="X6" s="386"/>
      <c r="Y6" s="386"/>
      <c r="AA6" s="385" t="s">
        <v>1017</v>
      </c>
      <c r="AB6" s="386"/>
      <c r="AC6" s="386"/>
      <c r="AE6" s="385" t="s">
        <v>1060</v>
      </c>
      <c r="AF6" s="386"/>
      <c r="AG6" s="386"/>
      <c r="AI6" s="385" t="s">
        <v>1017</v>
      </c>
      <c r="AJ6" s="386"/>
      <c r="AK6" s="386"/>
      <c r="AM6" s="385" t="s">
        <v>1063</v>
      </c>
      <c r="AN6" s="386"/>
      <c r="AO6" s="386"/>
    </row>
    <row r="7" spans="2:41" ht="5.5" customHeight="1" x14ac:dyDescent="0.35">
      <c r="AI7"/>
      <c r="AJ7"/>
      <c r="AK7"/>
      <c r="AM7"/>
      <c r="AN7"/>
      <c r="AO7"/>
    </row>
    <row r="8" spans="2:41" s="9" customFormat="1" ht="26" x14ac:dyDescent="0.3">
      <c r="B8" s="6" t="s">
        <v>5</v>
      </c>
      <c r="C8" s="7" t="s">
        <v>6</v>
      </c>
      <c r="D8" s="7" t="s">
        <v>7</v>
      </c>
      <c r="E8" s="8"/>
      <c r="F8" s="6" t="s">
        <v>5</v>
      </c>
      <c r="G8" s="7" t="s">
        <v>6</v>
      </c>
      <c r="H8" s="7" t="s">
        <v>7</v>
      </c>
      <c r="I8" s="8"/>
      <c r="J8" s="6" t="s">
        <v>5</v>
      </c>
      <c r="K8" s="7" t="s">
        <v>6</v>
      </c>
      <c r="L8" s="7" t="s">
        <v>7</v>
      </c>
      <c r="M8" s="8"/>
      <c r="N8" s="6" t="s">
        <v>5</v>
      </c>
      <c r="O8" s="7" t="s">
        <v>6</v>
      </c>
      <c r="P8" s="7" t="s">
        <v>7</v>
      </c>
      <c r="Q8" s="8"/>
      <c r="R8" s="6" t="s">
        <v>5</v>
      </c>
      <c r="S8" s="7" t="s">
        <v>6</v>
      </c>
      <c r="T8" s="7" t="s">
        <v>7</v>
      </c>
      <c r="U8" s="8"/>
      <c r="V8" s="3"/>
      <c r="W8" s="6" t="s">
        <v>5</v>
      </c>
      <c r="X8" s="7" t="s">
        <v>6</v>
      </c>
      <c r="Y8" s="7" t="s">
        <v>7</v>
      </c>
      <c r="AA8" s="6" t="s">
        <v>5</v>
      </c>
      <c r="AB8" s="7" t="s">
        <v>6</v>
      </c>
      <c r="AC8" s="7" t="s">
        <v>7</v>
      </c>
      <c r="AE8" s="6" t="s">
        <v>5</v>
      </c>
      <c r="AF8" s="7" t="s">
        <v>6</v>
      </c>
      <c r="AG8" s="7" t="s">
        <v>7</v>
      </c>
      <c r="AI8" s="6" t="s">
        <v>5</v>
      </c>
      <c r="AJ8" s="7" t="s">
        <v>6</v>
      </c>
      <c r="AK8" s="7" t="s">
        <v>7</v>
      </c>
      <c r="AM8" s="6" t="s">
        <v>5</v>
      </c>
      <c r="AN8" s="7" t="s">
        <v>6</v>
      </c>
      <c r="AO8" s="7" t="s">
        <v>7</v>
      </c>
    </row>
    <row r="9" spans="2:41" ht="5.5" customHeight="1" x14ac:dyDescent="0.35">
      <c r="B9" s="10"/>
      <c r="C9" s="10"/>
      <c r="D9" s="10"/>
      <c r="F9" s="10"/>
      <c r="G9" s="10"/>
      <c r="H9" s="10"/>
      <c r="J9" s="10"/>
      <c r="K9" s="10"/>
      <c r="L9" s="10"/>
      <c r="N9" s="10"/>
      <c r="O9" s="10"/>
      <c r="P9" s="10"/>
      <c r="R9" s="10"/>
      <c r="S9" s="10"/>
      <c r="T9" s="10"/>
      <c r="V9" s="3"/>
      <c r="W9" s="10"/>
      <c r="X9" s="10"/>
      <c r="Y9" s="10"/>
      <c r="AA9" s="10"/>
      <c r="AB9" s="10"/>
      <c r="AC9" s="10"/>
      <c r="AE9" s="10"/>
      <c r="AF9" s="10"/>
      <c r="AG9" s="10"/>
      <c r="AI9" s="10"/>
      <c r="AJ9" s="10"/>
      <c r="AK9" s="10"/>
      <c r="AM9" s="10"/>
      <c r="AN9" s="10"/>
      <c r="AO9" s="10"/>
    </row>
    <row r="10" spans="2:41" s="15" customFormat="1" ht="63" x14ac:dyDescent="0.35">
      <c r="B10" s="94" t="s">
        <v>8</v>
      </c>
      <c r="C10" s="11" t="s">
        <v>9</v>
      </c>
      <c r="D10" s="316">
        <v>0</v>
      </c>
      <c r="E10" s="13"/>
      <c r="F10" s="94" t="s">
        <v>10</v>
      </c>
      <c r="G10" s="11" t="s">
        <v>9</v>
      </c>
      <c r="H10" s="316">
        <v>0</v>
      </c>
      <c r="I10" s="13"/>
      <c r="J10" s="94" t="s">
        <v>105</v>
      </c>
      <c r="K10" s="11" t="s">
        <v>9</v>
      </c>
      <c r="L10" s="316">
        <v>2</v>
      </c>
      <c r="M10" s="13"/>
      <c r="N10" s="94" t="s">
        <v>11</v>
      </c>
      <c r="O10" s="11" t="s">
        <v>9</v>
      </c>
      <c r="P10" s="316">
        <v>3</v>
      </c>
      <c r="Q10" s="13"/>
      <c r="R10" s="94" t="s">
        <v>12</v>
      </c>
      <c r="S10" s="11" t="s">
        <v>9</v>
      </c>
      <c r="T10" s="316">
        <v>10</v>
      </c>
      <c r="U10" s="13"/>
      <c r="V10" s="13"/>
      <c r="W10" s="94" t="s">
        <v>1023</v>
      </c>
      <c r="X10" s="11" t="s">
        <v>9</v>
      </c>
      <c r="Y10" s="316">
        <v>8</v>
      </c>
      <c r="AA10" s="94" t="s">
        <v>1040</v>
      </c>
      <c r="AB10" s="11" t="s">
        <v>9</v>
      </c>
      <c r="AC10" s="12">
        <v>10</v>
      </c>
      <c r="AE10" s="94" t="s">
        <v>1023</v>
      </c>
      <c r="AF10" s="11" t="s">
        <v>9</v>
      </c>
      <c r="AG10" s="12">
        <v>7</v>
      </c>
      <c r="AI10" s="94" t="s">
        <v>1037</v>
      </c>
      <c r="AJ10" s="11" t="s">
        <v>9</v>
      </c>
      <c r="AK10" s="12">
        <v>8</v>
      </c>
      <c r="AM10" s="94" t="s">
        <v>1051</v>
      </c>
      <c r="AN10" s="11" t="s">
        <v>9</v>
      </c>
      <c r="AO10" s="12">
        <v>3</v>
      </c>
    </row>
    <row r="11" spans="2:41" s="15" customFormat="1" ht="64.5" customHeight="1" x14ac:dyDescent="0.35">
      <c r="B11" s="94" t="s">
        <v>13</v>
      </c>
      <c r="C11" s="11" t="s">
        <v>9</v>
      </c>
      <c r="D11" s="316">
        <v>2</v>
      </c>
      <c r="E11" s="13"/>
      <c r="F11" s="94" t="s">
        <v>14</v>
      </c>
      <c r="G11" s="11" t="s">
        <v>9</v>
      </c>
      <c r="H11" s="316">
        <v>0</v>
      </c>
      <c r="I11" s="13"/>
      <c r="J11" s="94" t="s">
        <v>15</v>
      </c>
      <c r="K11" s="11" t="s">
        <v>9</v>
      </c>
      <c r="L11" s="316">
        <v>0</v>
      </c>
      <c r="M11" s="13"/>
      <c r="N11" s="94" t="s">
        <v>961</v>
      </c>
      <c r="O11" s="11" t="s">
        <v>9</v>
      </c>
      <c r="P11" s="316">
        <v>2</v>
      </c>
      <c r="Q11" s="13"/>
      <c r="R11" s="94" t="s">
        <v>16</v>
      </c>
      <c r="S11" s="11" t="s">
        <v>9</v>
      </c>
      <c r="T11" s="316">
        <v>5</v>
      </c>
      <c r="U11" s="13"/>
      <c r="V11" s="13"/>
      <c r="W11" s="94" t="s">
        <v>1024</v>
      </c>
      <c r="X11" s="11" t="s">
        <v>9</v>
      </c>
      <c r="Y11" s="316">
        <v>8</v>
      </c>
      <c r="AA11" s="94" t="s">
        <v>1041</v>
      </c>
      <c r="AB11" s="11" t="s">
        <v>9</v>
      </c>
      <c r="AC11" s="12">
        <v>8</v>
      </c>
      <c r="AE11" s="94" t="s">
        <v>1029</v>
      </c>
      <c r="AF11" s="11" t="s">
        <v>9</v>
      </c>
      <c r="AG11" s="12">
        <v>5</v>
      </c>
      <c r="AI11" s="94" t="s">
        <v>1062</v>
      </c>
      <c r="AJ11" s="11" t="s">
        <v>9</v>
      </c>
      <c r="AK11" s="12">
        <v>1</v>
      </c>
      <c r="AM11" s="94" t="s">
        <v>1050</v>
      </c>
      <c r="AN11" s="11" t="s">
        <v>9</v>
      </c>
      <c r="AO11" s="12">
        <v>3</v>
      </c>
    </row>
    <row r="12" spans="2:41" s="15" customFormat="1" ht="72.75" customHeight="1" x14ac:dyDescent="0.35">
      <c r="B12" s="94" t="s">
        <v>17</v>
      </c>
      <c r="C12" s="11" t="s">
        <v>9</v>
      </c>
      <c r="D12" s="316">
        <v>2</v>
      </c>
      <c r="E12" s="13"/>
      <c r="F12" s="94" t="s">
        <v>18</v>
      </c>
      <c r="G12" s="11" t="s">
        <v>9</v>
      </c>
      <c r="H12" s="316">
        <v>0</v>
      </c>
      <c r="I12" s="13"/>
      <c r="J12" s="94" t="s">
        <v>1019</v>
      </c>
      <c r="K12" s="11" t="s">
        <v>9</v>
      </c>
      <c r="L12" s="316">
        <v>0</v>
      </c>
      <c r="M12" s="13"/>
      <c r="N12" s="94" t="s">
        <v>19</v>
      </c>
      <c r="O12" s="11" t="s">
        <v>9</v>
      </c>
      <c r="P12" s="316">
        <v>0</v>
      </c>
      <c r="Q12" s="13"/>
      <c r="R12" s="94" t="s">
        <v>1016</v>
      </c>
      <c r="S12" s="11" t="s">
        <v>9</v>
      </c>
      <c r="T12" s="316">
        <v>2</v>
      </c>
      <c r="U12" s="13"/>
      <c r="V12" s="13"/>
      <c r="W12" s="94" t="s">
        <v>1026</v>
      </c>
      <c r="X12" s="16" t="s">
        <v>22</v>
      </c>
      <c r="Y12" s="316">
        <v>8</v>
      </c>
      <c r="AA12" s="94" t="s">
        <v>1058</v>
      </c>
      <c r="AB12" s="16" t="s">
        <v>22</v>
      </c>
      <c r="AC12" s="12">
        <v>8</v>
      </c>
      <c r="AE12" s="94" t="s">
        <v>1030</v>
      </c>
      <c r="AF12" s="16" t="s">
        <v>22</v>
      </c>
      <c r="AG12" s="12">
        <v>8</v>
      </c>
      <c r="AI12" s="94" t="s">
        <v>1035</v>
      </c>
      <c r="AJ12" s="11" t="s">
        <v>9</v>
      </c>
      <c r="AK12" s="12">
        <v>0</v>
      </c>
      <c r="AM12" s="94" t="s">
        <v>1052</v>
      </c>
      <c r="AN12" s="11" t="s">
        <v>9</v>
      </c>
      <c r="AO12" s="12">
        <v>3</v>
      </c>
    </row>
    <row r="13" spans="2:41" s="15" customFormat="1" ht="72" customHeight="1" x14ac:dyDescent="0.35">
      <c r="B13" s="94" t="s">
        <v>20</v>
      </c>
      <c r="C13" s="11" t="s">
        <v>9</v>
      </c>
      <c r="D13" s="316">
        <v>0</v>
      </c>
      <c r="E13" s="13"/>
      <c r="F13" s="94" t="s">
        <v>21</v>
      </c>
      <c r="G13" s="16" t="s">
        <v>22</v>
      </c>
      <c r="H13" s="316">
        <v>5</v>
      </c>
      <c r="I13" s="13"/>
      <c r="J13" s="94" t="s">
        <v>53</v>
      </c>
      <c r="K13" s="11" t="s">
        <v>9</v>
      </c>
      <c r="L13" s="316">
        <v>1</v>
      </c>
      <c r="M13" s="13"/>
      <c r="N13" s="94" t="s">
        <v>1020</v>
      </c>
      <c r="O13" s="11" t="s">
        <v>9</v>
      </c>
      <c r="P13" s="316">
        <v>2</v>
      </c>
      <c r="Q13" s="13"/>
      <c r="R13" s="94" t="s">
        <v>23</v>
      </c>
      <c r="S13" s="11" t="s">
        <v>9</v>
      </c>
      <c r="T13" s="316">
        <v>0</v>
      </c>
      <c r="U13" s="13"/>
      <c r="V13" s="13"/>
      <c r="W13" s="94" t="s">
        <v>1032</v>
      </c>
      <c r="X13" s="16" t="s">
        <v>22</v>
      </c>
      <c r="Y13" s="316">
        <v>10</v>
      </c>
      <c r="AA13" s="94" t="s">
        <v>1044</v>
      </c>
      <c r="AB13" s="11" t="s">
        <v>9</v>
      </c>
      <c r="AC13" s="12">
        <v>10</v>
      </c>
      <c r="AE13" s="94" t="s">
        <v>1061</v>
      </c>
      <c r="AF13" s="11" t="s">
        <v>9</v>
      </c>
      <c r="AG13" s="12">
        <v>5</v>
      </c>
      <c r="AI13" s="94" t="s">
        <v>1036</v>
      </c>
      <c r="AJ13" s="11" t="s">
        <v>9</v>
      </c>
      <c r="AK13" s="12">
        <v>0</v>
      </c>
      <c r="AM13" s="94" t="s">
        <v>1053</v>
      </c>
      <c r="AN13" s="16" t="s">
        <v>22</v>
      </c>
      <c r="AO13" s="12">
        <v>3</v>
      </c>
    </row>
    <row r="14" spans="2:41" s="15" customFormat="1" ht="81" customHeight="1" x14ac:dyDescent="0.35">
      <c r="B14" s="94" t="s">
        <v>1004</v>
      </c>
      <c r="C14" s="11" t="s">
        <v>9</v>
      </c>
      <c r="D14" s="316">
        <v>0</v>
      </c>
      <c r="E14" s="13"/>
      <c r="F14" s="94" t="s">
        <v>24</v>
      </c>
      <c r="G14" s="11" t="s">
        <v>9</v>
      </c>
      <c r="H14" s="316">
        <v>0</v>
      </c>
      <c r="I14" s="13"/>
      <c r="J14" s="94" t="s">
        <v>1014</v>
      </c>
      <c r="K14" s="11" t="s">
        <v>9</v>
      </c>
      <c r="L14" s="316">
        <v>0</v>
      </c>
      <c r="M14" s="13"/>
      <c r="N14" s="94" t="s">
        <v>25</v>
      </c>
      <c r="O14" s="11" t="s">
        <v>9</v>
      </c>
      <c r="P14" s="316">
        <v>0</v>
      </c>
      <c r="Q14" s="13"/>
      <c r="R14" s="94" t="s">
        <v>26</v>
      </c>
      <c r="S14" s="11" t="s">
        <v>9</v>
      </c>
      <c r="T14" s="316">
        <v>3</v>
      </c>
      <c r="U14" s="13"/>
      <c r="V14" s="13"/>
      <c r="W14" s="94" t="s">
        <v>1025</v>
      </c>
      <c r="X14" s="11" t="s">
        <v>9</v>
      </c>
      <c r="Y14" s="316">
        <v>8</v>
      </c>
      <c r="AA14" s="94" t="s">
        <v>1043</v>
      </c>
      <c r="AB14" s="11" t="s">
        <v>9</v>
      </c>
      <c r="AC14" s="12">
        <v>8</v>
      </c>
      <c r="AE14" s="94" t="s">
        <v>1031</v>
      </c>
      <c r="AF14" s="11" t="s">
        <v>9</v>
      </c>
      <c r="AG14" s="12">
        <v>1</v>
      </c>
      <c r="AI14" s="94" t="s">
        <v>1042</v>
      </c>
      <c r="AJ14" s="11" t="s">
        <v>9</v>
      </c>
      <c r="AK14" s="12">
        <v>5</v>
      </c>
      <c r="AM14" s="94" t="s">
        <v>1055</v>
      </c>
      <c r="AN14" s="16" t="s">
        <v>22</v>
      </c>
      <c r="AO14" s="12">
        <v>0</v>
      </c>
    </row>
    <row r="15" spans="2:41" s="15" customFormat="1" ht="69" customHeight="1" x14ac:dyDescent="0.35">
      <c r="B15" s="94" t="s">
        <v>1009</v>
      </c>
      <c r="C15" s="11" t="s">
        <v>9</v>
      </c>
      <c r="D15" s="316">
        <v>0</v>
      </c>
      <c r="E15" s="13"/>
      <c r="F15" s="94" t="s">
        <v>27</v>
      </c>
      <c r="G15" s="16" t="s">
        <v>22</v>
      </c>
      <c r="H15" s="316">
        <v>5</v>
      </c>
      <c r="I15" s="13"/>
      <c r="J15" s="94" t="s">
        <v>28</v>
      </c>
      <c r="K15" s="11" t="s">
        <v>9</v>
      </c>
      <c r="L15" s="316">
        <v>0</v>
      </c>
      <c r="M15" s="13"/>
      <c r="N15" s="94" t="s">
        <v>702</v>
      </c>
      <c r="O15" s="16" t="s">
        <v>22</v>
      </c>
      <c r="P15" s="316">
        <v>8</v>
      </c>
      <c r="Q15" s="13"/>
      <c r="R15" s="94" t="s">
        <v>29</v>
      </c>
      <c r="S15" s="11" t="s">
        <v>9</v>
      </c>
      <c r="T15" s="316">
        <v>0</v>
      </c>
      <c r="U15" s="13"/>
      <c r="V15" s="13"/>
      <c r="W15" s="94" t="s">
        <v>1045</v>
      </c>
      <c r="X15" s="11" t="s">
        <v>9</v>
      </c>
      <c r="Y15" s="316">
        <v>8</v>
      </c>
      <c r="AA15" s="94" t="s">
        <v>1059</v>
      </c>
      <c r="AB15" s="11" t="s">
        <v>9</v>
      </c>
      <c r="AC15" s="12">
        <v>5</v>
      </c>
      <c r="AE15" s="94" t="s">
        <v>1027</v>
      </c>
      <c r="AF15" s="11" t="s">
        <v>9</v>
      </c>
      <c r="AG15" s="12">
        <v>5</v>
      </c>
      <c r="AI15" s="94" t="s">
        <v>1038</v>
      </c>
      <c r="AJ15" s="11" t="s">
        <v>9</v>
      </c>
      <c r="AK15" s="12">
        <v>8</v>
      </c>
      <c r="AM15"/>
      <c r="AN15"/>
      <c r="AO15"/>
    </row>
    <row r="16" spans="2:41" s="15" customFormat="1" ht="63" x14ac:dyDescent="0.35">
      <c r="B16" s="94" t="s">
        <v>1010</v>
      </c>
      <c r="C16" s="11" t="s">
        <v>9</v>
      </c>
      <c r="D16" s="316">
        <v>0</v>
      </c>
      <c r="E16" s="13"/>
      <c r="F16" s="94" t="s">
        <v>1013</v>
      </c>
      <c r="G16" s="16" t="s">
        <v>22</v>
      </c>
      <c r="H16" s="372" t="s">
        <v>1018</v>
      </c>
      <c r="I16" s="13"/>
      <c r="J16" s="94" t="s">
        <v>30</v>
      </c>
      <c r="K16" s="16" t="s">
        <v>22</v>
      </c>
      <c r="L16" s="316">
        <v>6</v>
      </c>
      <c r="M16" s="13"/>
      <c r="N16" s="94" t="s">
        <v>1021</v>
      </c>
      <c r="O16" s="16" t="s">
        <v>22</v>
      </c>
      <c r="P16" s="316">
        <v>10</v>
      </c>
      <c r="Q16" s="13"/>
      <c r="R16" s="94" t="s">
        <v>31</v>
      </c>
      <c r="S16" s="11" t="s">
        <v>9</v>
      </c>
      <c r="T16" s="316">
        <v>5</v>
      </c>
      <c r="U16" s="13"/>
      <c r="V16" s="13"/>
      <c r="W16" s="94" t="s">
        <v>1033</v>
      </c>
      <c r="X16" s="11" t="s">
        <v>9</v>
      </c>
      <c r="Y16" s="316">
        <v>1</v>
      </c>
      <c r="AA16" s="94" t="s">
        <v>1046</v>
      </c>
      <c r="AB16" s="11" t="s">
        <v>9</v>
      </c>
      <c r="AC16" s="12">
        <v>6</v>
      </c>
      <c r="AE16" s="94" t="s">
        <v>1038</v>
      </c>
      <c r="AF16" s="11" t="s">
        <v>9</v>
      </c>
      <c r="AG16" s="12">
        <v>5</v>
      </c>
      <c r="AI16" s="94" t="s">
        <v>1054</v>
      </c>
      <c r="AJ16" s="11" t="s">
        <v>9</v>
      </c>
      <c r="AK16" s="12">
        <v>5</v>
      </c>
      <c r="AM16"/>
      <c r="AN16"/>
      <c r="AO16"/>
    </row>
    <row r="17" spans="2:41" s="15" customFormat="1" ht="70.5" customHeight="1" x14ac:dyDescent="0.35">
      <c r="B17" s="94" t="s">
        <v>1005</v>
      </c>
      <c r="C17" s="16" t="s">
        <v>22</v>
      </c>
      <c r="D17" s="316">
        <v>5</v>
      </c>
      <c r="E17" s="13"/>
      <c r="F17" s="94" t="s">
        <v>1012</v>
      </c>
      <c r="G17" s="16" t="s">
        <v>22</v>
      </c>
      <c r="H17" s="372" t="s">
        <v>1018</v>
      </c>
      <c r="I17" s="13"/>
      <c r="J17" s="94" t="s">
        <v>32</v>
      </c>
      <c r="K17" s="16" t="s">
        <v>22</v>
      </c>
      <c r="L17" s="316">
        <v>7</v>
      </c>
      <c r="M17" s="13"/>
      <c r="N17" s="94" t="s">
        <v>33</v>
      </c>
      <c r="O17" s="16" t="s">
        <v>22</v>
      </c>
      <c r="P17" s="316">
        <v>0</v>
      </c>
      <c r="Q17" s="13"/>
      <c r="R17" s="94" t="s">
        <v>34</v>
      </c>
      <c r="S17" s="16" t="s">
        <v>22</v>
      </c>
      <c r="T17" s="316">
        <v>10</v>
      </c>
      <c r="U17" s="13"/>
      <c r="V17" s="13"/>
      <c r="W17" s="94" t="s">
        <v>1027</v>
      </c>
      <c r="X17" s="11" t="s">
        <v>9</v>
      </c>
      <c r="Y17" s="316">
        <v>5</v>
      </c>
      <c r="AA17"/>
      <c r="AB17"/>
      <c r="AC17"/>
      <c r="AE17"/>
      <c r="AF17"/>
      <c r="AG17"/>
      <c r="AI17" s="94" t="s">
        <v>1048</v>
      </c>
      <c r="AJ17" s="16" t="s">
        <v>22</v>
      </c>
      <c r="AK17" s="12">
        <v>0</v>
      </c>
      <c r="AM17"/>
      <c r="AN17"/>
      <c r="AO17"/>
    </row>
    <row r="18" spans="2:41" s="15" customFormat="1" ht="65.25" customHeight="1" x14ac:dyDescent="0.35">
      <c r="B18" s="94" t="s">
        <v>1011</v>
      </c>
      <c r="C18" s="17" t="s">
        <v>35</v>
      </c>
      <c r="D18" s="316">
        <v>0</v>
      </c>
      <c r="E18" s="13"/>
      <c r="F18" s="94" t="s">
        <v>36</v>
      </c>
      <c r="G18" s="17" t="s">
        <v>35</v>
      </c>
      <c r="H18" s="316">
        <v>0</v>
      </c>
      <c r="I18" s="13"/>
      <c r="J18" s="94" t="s">
        <v>37</v>
      </c>
      <c r="K18" s="16" t="s">
        <v>22</v>
      </c>
      <c r="L18" s="316">
        <v>5</v>
      </c>
      <c r="M18" s="13"/>
      <c r="N18" s="94" t="s">
        <v>38</v>
      </c>
      <c r="O18" s="16" t="s">
        <v>22</v>
      </c>
      <c r="P18" s="316">
        <v>0</v>
      </c>
      <c r="Q18" s="13"/>
      <c r="R18" s="94" t="s">
        <v>39</v>
      </c>
      <c r="S18" s="16" t="s">
        <v>22</v>
      </c>
      <c r="T18" s="316">
        <v>10</v>
      </c>
      <c r="U18" s="13"/>
      <c r="V18" s="13"/>
      <c r="W18" s="94" t="s">
        <v>1038</v>
      </c>
      <c r="X18" s="11" t="s">
        <v>9</v>
      </c>
      <c r="Y18" s="316">
        <v>1</v>
      </c>
      <c r="AA18"/>
      <c r="AB18"/>
      <c r="AC18"/>
      <c r="AE18"/>
      <c r="AF18"/>
      <c r="AG18"/>
      <c r="AI18"/>
      <c r="AJ18"/>
      <c r="AK18"/>
      <c r="AM18"/>
      <c r="AN18"/>
      <c r="AO18"/>
    </row>
    <row r="19" spans="2:41" s="15" customFormat="1" ht="63" x14ac:dyDescent="0.35">
      <c r="B19" s="94" t="s">
        <v>1006</v>
      </c>
      <c r="C19" s="17" t="s">
        <v>35</v>
      </c>
      <c r="D19" s="316">
        <v>0</v>
      </c>
      <c r="E19" s="13"/>
      <c r="F19" s="94" t="s">
        <v>40</v>
      </c>
      <c r="G19" s="17" t="s">
        <v>35</v>
      </c>
      <c r="H19" s="316">
        <v>0</v>
      </c>
      <c r="I19" s="13"/>
      <c r="J19" s="94" t="s">
        <v>1015</v>
      </c>
      <c r="K19" s="17" t="s">
        <v>35</v>
      </c>
      <c r="L19" s="316">
        <v>5</v>
      </c>
      <c r="M19" s="13"/>
      <c r="N19" s="94" t="s">
        <v>41</v>
      </c>
      <c r="O19" s="17" t="s">
        <v>35</v>
      </c>
      <c r="P19" s="316">
        <v>0</v>
      </c>
      <c r="Q19" s="13"/>
      <c r="R19" s="94" t="s">
        <v>42</v>
      </c>
      <c r="S19" s="17" t="s">
        <v>35</v>
      </c>
      <c r="T19" s="316">
        <v>0</v>
      </c>
      <c r="U19" s="13"/>
      <c r="V19" s="13"/>
      <c r="W19"/>
      <c r="X19"/>
      <c r="Y19"/>
      <c r="AA19"/>
      <c r="AB19"/>
      <c r="AC19"/>
      <c r="AE19"/>
      <c r="AF19"/>
      <c r="AG19"/>
      <c r="AI19"/>
      <c r="AJ19"/>
      <c r="AK19"/>
      <c r="AM19"/>
      <c r="AN19"/>
      <c r="AO19"/>
    </row>
    <row r="20" spans="2:41" ht="6" customHeight="1" thickBot="1" x14ac:dyDescent="0.4">
      <c r="V20" s="3"/>
      <c r="AI20"/>
      <c r="AJ20"/>
      <c r="AK20"/>
      <c r="AM20"/>
      <c r="AN20"/>
      <c r="AO20"/>
    </row>
    <row r="21" spans="2:41" ht="56.15" customHeight="1" thickBot="1" x14ac:dyDescent="0.4">
      <c r="B21" s="389" t="s">
        <v>49</v>
      </c>
      <c r="C21" s="390"/>
      <c r="D21" s="318">
        <f>AVERAGE(D10:D19)</f>
        <v>0.9</v>
      </c>
      <c r="F21" s="389" t="s">
        <v>49</v>
      </c>
      <c r="G21" s="390"/>
      <c r="H21" s="318">
        <f>AVERAGE(H10:H19)</f>
        <v>1.25</v>
      </c>
      <c r="J21" s="389" t="s">
        <v>49</v>
      </c>
      <c r="K21" s="390"/>
      <c r="L21" s="318">
        <f>AVERAGE(L10:L19)</f>
        <v>2.6</v>
      </c>
      <c r="N21" s="389" t="s">
        <v>49</v>
      </c>
      <c r="O21" s="390"/>
      <c r="P21" s="318">
        <f>AVERAGE(P10:P19)</f>
        <v>2.5</v>
      </c>
      <c r="R21" s="389" t="s">
        <v>49</v>
      </c>
      <c r="S21" s="390"/>
      <c r="T21" s="318">
        <f>AVERAGE(T10:T19)</f>
        <v>4.5</v>
      </c>
      <c r="W21" s="389" t="s">
        <v>49</v>
      </c>
      <c r="X21" s="390"/>
      <c r="Y21" s="318">
        <f>AVERAGE(Y10:Y19)</f>
        <v>6.333333333333333</v>
      </c>
      <c r="AA21" s="389" t="s">
        <v>49</v>
      </c>
      <c r="AB21" s="390"/>
      <c r="AC21" s="318">
        <f>AVERAGE(AC10:AC19)</f>
        <v>7.8571428571428568</v>
      </c>
      <c r="AE21" s="389" t="s">
        <v>49</v>
      </c>
      <c r="AF21" s="390"/>
      <c r="AG21" s="318">
        <f>AVERAGE(AG10:AG19)</f>
        <v>5.1428571428571432</v>
      </c>
      <c r="AI21" s="389" t="s">
        <v>49</v>
      </c>
      <c r="AJ21" s="390"/>
      <c r="AK21" s="318">
        <f>AVERAGE(AK10:AK19)</f>
        <v>3.375</v>
      </c>
      <c r="AM21" s="389" t="s">
        <v>49</v>
      </c>
      <c r="AN21" s="390"/>
      <c r="AO21" s="318">
        <f>AVERAGE(AO10:AO19)</f>
        <v>2.4</v>
      </c>
    </row>
    <row r="22" spans="2:41" ht="14.5" x14ac:dyDescent="0.35"/>
    <row r="23" spans="2:41" ht="14.5" x14ac:dyDescent="0.35"/>
    <row r="24" spans="2:41" ht="14.5" x14ac:dyDescent="0.35"/>
    <row r="25" spans="2:41" ht="14.5" x14ac:dyDescent="0.35"/>
    <row r="26" spans="2:41" ht="14.5" x14ac:dyDescent="0.35"/>
  </sheetData>
  <mergeCells count="29">
    <mergeCell ref="AM4:AO4"/>
    <mergeCell ref="AM6:AO6"/>
    <mergeCell ref="AM21:AN21"/>
    <mergeCell ref="C2:AO2"/>
    <mergeCell ref="AE4:AG4"/>
    <mergeCell ref="W6:Y6"/>
    <mergeCell ref="B4:D4"/>
    <mergeCell ref="F4:H4"/>
    <mergeCell ref="J4:L4"/>
    <mergeCell ref="N4:P4"/>
    <mergeCell ref="R4:T4"/>
    <mergeCell ref="B6:D6"/>
    <mergeCell ref="F6:H6"/>
    <mergeCell ref="N6:P6"/>
    <mergeCell ref="AI4:AK4"/>
    <mergeCell ref="AI6:AK6"/>
    <mergeCell ref="B21:C21"/>
    <mergeCell ref="F21:G21"/>
    <mergeCell ref="J21:K21"/>
    <mergeCell ref="N21:O21"/>
    <mergeCell ref="R21:S21"/>
    <mergeCell ref="AA6:AC6"/>
    <mergeCell ref="AE6:AG6"/>
    <mergeCell ref="W4:Y4"/>
    <mergeCell ref="AA4:AC4"/>
    <mergeCell ref="AI21:AJ21"/>
    <mergeCell ref="W21:X21"/>
    <mergeCell ref="AA21:AB21"/>
    <mergeCell ref="AE21:AF21"/>
  </mergeCells>
  <conditionalFormatting sqref="D10:D19">
    <cfRule type="colorScale" priority="1358">
      <colorScale>
        <cfvo type="min"/>
        <cfvo type="percentile" val="50"/>
        <cfvo type="max"/>
        <color rgb="FFF8696B"/>
        <color rgb="FFFFEB84"/>
        <color rgb="FF63BE7B"/>
      </colorScale>
    </cfRule>
  </conditionalFormatting>
  <conditionalFormatting sqref="H10:H19">
    <cfRule type="colorScale" priority="1360">
      <colorScale>
        <cfvo type="min"/>
        <cfvo type="percentile" val="50"/>
        <cfvo type="max"/>
        <color rgb="FFF8696B"/>
        <color rgb="FFFFEB84"/>
        <color rgb="FF63BE7B"/>
      </colorScale>
    </cfRule>
  </conditionalFormatting>
  <conditionalFormatting sqref="H11">
    <cfRule type="colorScale" priority="33">
      <colorScale>
        <cfvo type="min"/>
        <cfvo type="percentile" val="50"/>
        <cfvo type="max"/>
        <color rgb="FFF8696B"/>
        <color rgb="FFFFEB84"/>
        <color rgb="FF63BE7B"/>
      </colorScale>
    </cfRule>
  </conditionalFormatting>
  <conditionalFormatting sqref="L10:L19">
    <cfRule type="colorScale" priority="1362">
      <colorScale>
        <cfvo type="min"/>
        <cfvo type="percentile" val="50"/>
        <cfvo type="max"/>
        <color rgb="FFF8696B"/>
        <color rgb="FFFFEB84"/>
        <color rgb="FF63BE7B"/>
      </colorScale>
    </cfRule>
  </conditionalFormatting>
  <conditionalFormatting sqref="P10:P19">
    <cfRule type="colorScale" priority="1364">
      <colorScale>
        <cfvo type="min"/>
        <cfvo type="percentile" val="50"/>
        <cfvo type="max"/>
        <color rgb="FFF8696B"/>
        <color rgb="FFFFEB84"/>
        <color rgb="FF63BE7B"/>
      </colorScale>
    </cfRule>
  </conditionalFormatting>
  <conditionalFormatting sqref="T10:T19">
    <cfRule type="colorScale" priority="1366">
      <colorScale>
        <cfvo type="min"/>
        <cfvo type="percentile" val="50"/>
        <cfvo type="max"/>
        <color rgb="FFF8696B"/>
        <color rgb="FFFFEB84"/>
        <color rgb="FF63BE7B"/>
      </colorScale>
    </cfRule>
  </conditionalFormatting>
  <conditionalFormatting sqref="Y10:Y18">
    <cfRule type="colorScale" priority="8">
      <colorScale>
        <cfvo type="min"/>
        <cfvo type="percentile" val="50"/>
        <cfvo type="max"/>
        <color rgb="FFF8696B"/>
        <color rgb="FFFFEB84"/>
        <color rgb="FF63BE7B"/>
      </colorScale>
    </cfRule>
  </conditionalFormatting>
  <conditionalFormatting sqref="Y19">
    <cfRule type="colorScale" priority="3">
      <colorScale>
        <cfvo type="min"/>
        <cfvo type="percentile" val="50"/>
        <cfvo type="max"/>
        <color rgb="FFF8696B"/>
        <color rgb="FFFFEB84"/>
        <color rgb="FF63BE7B"/>
      </colorScale>
    </cfRule>
  </conditionalFormatting>
  <conditionalFormatting sqref="AC10:AC16">
    <cfRule type="colorScale" priority="2">
      <colorScale>
        <cfvo type="min"/>
        <cfvo type="percentile" val="50"/>
        <cfvo type="max"/>
        <color rgb="FFF8696B"/>
        <color rgb="FFFFEB84"/>
        <color rgb="FF63BE7B"/>
      </colorScale>
    </cfRule>
  </conditionalFormatting>
  <conditionalFormatting sqref="AC11:AC16">
    <cfRule type="colorScale" priority="7">
      <colorScale>
        <cfvo type="min"/>
        <cfvo type="percentile" val="50"/>
        <cfvo type="max"/>
        <color rgb="FFF8696B"/>
        <color rgb="FFFFEB84"/>
        <color rgb="FF63BE7B"/>
      </colorScale>
    </cfRule>
  </conditionalFormatting>
  <conditionalFormatting sqref="AC17:AC20">
    <cfRule type="colorScale" priority="25">
      <colorScale>
        <cfvo type="min"/>
        <cfvo type="percentile" val="50"/>
        <cfvo type="max"/>
        <color rgb="FFF8696B"/>
        <color rgb="FFFFEB84"/>
        <color rgb="FF63BE7B"/>
      </colorScale>
    </cfRule>
  </conditionalFormatting>
  <conditionalFormatting sqref="AG10:AG16">
    <cfRule type="colorScale" priority="21">
      <colorScale>
        <cfvo type="min"/>
        <cfvo type="percentile" val="50"/>
        <cfvo type="max"/>
        <color rgb="FFF8696B"/>
        <color rgb="FFFFEB84"/>
        <color rgb="FF63BE7B"/>
      </colorScale>
    </cfRule>
  </conditionalFormatting>
  <conditionalFormatting sqref="AG11:AG16">
    <cfRule type="colorScale" priority="6">
      <colorScale>
        <cfvo type="min"/>
        <cfvo type="percentile" val="50"/>
        <cfvo type="max"/>
        <color rgb="FFF8696B"/>
        <color rgb="FFFFEB84"/>
        <color rgb="FF63BE7B"/>
      </colorScale>
    </cfRule>
  </conditionalFormatting>
  <conditionalFormatting sqref="AG17">
    <cfRule type="colorScale" priority="18">
      <colorScale>
        <cfvo type="min"/>
        <cfvo type="percentile" val="50"/>
        <cfvo type="max"/>
        <color rgb="FFF8696B"/>
        <color rgb="FFFFEB84"/>
        <color rgb="FF63BE7B"/>
      </colorScale>
    </cfRule>
  </conditionalFormatting>
  <conditionalFormatting sqref="AG18:AG19">
    <cfRule type="colorScale" priority="1372">
      <colorScale>
        <cfvo type="min"/>
        <cfvo type="percentile" val="50"/>
        <cfvo type="max"/>
        <color rgb="FFF8696B"/>
        <color rgb="FFFFEB84"/>
        <color rgb="FF63BE7B"/>
      </colorScale>
    </cfRule>
  </conditionalFormatting>
  <conditionalFormatting sqref="AK10:AK14">
    <cfRule type="colorScale" priority="24">
      <colorScale>
        <cfvo type="min"/>
        <cfvo type="percentile" val="50"/>
        <cfvo type="max"/>
        <color rgb="FFF8696B"/>
        <color rgb="FFFFEB84"/>
        <color rgb="FF63BE7B"/>
      </colorScale>
    </cfRule>
  </conditionalFormatting>
  <conditionalFormatting sqref="AK10:AK17">
    <cfRule type="colorScale" priority="1">
      <colorScale>
        <cfvo type="min"/>
        <cfvo type="percentile" val="50"/>
        <cfvo type="max"/>
        <color rgb="FFF8696B"/>
        <color rgb="FFFFEB84"/>
        <color rgb="FF63BE7B"/>
      </colorScale>
    </cfRule>
  </conditionalFormatting>
  <conditionalFormatting sqref="AK11:AK17">
    <cfRule type="colorScale" priority="5">
      <colorScale>
        <cfvo type="min"/>
        <cfvo type="percentile" val="50"/>
        <cfvo type="max"/>
        <color rgb="FFF8696B"/>
        <color rgb="FFFFEB84"/>
        <color rgb="FF63BE7B"/>
      </colorScale>
    </cfRule>
  </conditionalFormatting>
  <conditionalFormatting sqref="AK15">
    <cfRule type="colorScale" priority="23">
      <colorScale>
        <cfvo type="min"/>
        <cfvo type="percentile" val="50"/>
        <cfvo type="max"/>
        <color rgb="FFF8696B"/>
        <color rgb="FFFFEB84"/>
        <color rgb="FF63BE7B"/>
      </colorScale>
    </cfRule>
  </conditionalFormatting>
  <conditionalFormatting sqref="AK16:AK17">
    <cfRule type="colorScale" priority="19">
      <colorScale>
        <cfvo type="min"/>
        <cfvo type="percentile" val="50"/>
        <cfvo type="max"/>
        <color rgb="FFF8696B"/>
        <color rgb="FFFFEB84"/>
        <color rgb="FF63BE7B"/>
      </colorScale>
    </cfRule>
  </conditionalFormatting>
  <conditionalFormatting sqref="AK18:AK19">
    <cfRule type="colorScale" priority="22">
      <colorScale>
        <cfvo type="min"/>
        <cfvo type="percentile" val="50"/>
        <cfvo type="max"/>
        <color rgb="FFF8696B"/>
        <color rgb="FFFFEB84"/>
        <color rgb="FF63BE7B"/>
      </colorScale>
    </cfRule>
  </conditionalFormatting>
  <conditionalFormatting sqref="AO11">
    <cfRule type="colorScale" priority="13">
      <colorScale>
        <cfvo type="min"/>
        <cfvo type="percentile" val="50"/>
        <cfvo type="max"/>
        <color rgb="FFF8696B"/>
        <color rgb="FFFFEB84"/>
        <color rgb="FF63BE7B"/>
      </colorScale>
    </cfRule>
  </conditionalFormatting>
  <conditionalFormatting sqref="AO11:AO14">
    <cfRule type="colorScale" priority="4">
      <colorScale>
        <cfvo type="min"/>
        <cfvo type="percentile" val="50"/>
        <cfvo type="max"/>
        <color rgb="FFF8696B"/>
        <color rgb="FFFFEB84"/>
        <color rgb="FF63BE7B"/>
      </colorScale>
    </cfRule>
  </conditionalFormatting>
  <conditionalFormatting sqref="AO12">
    <cfRule type="colorScale" priority="12">
      <colorScale>
        <cfvo type="min"/>
        <cfvo type="percentile" val="50"/>
        <cfvo type="max"/>
        <color rgb="FFF8696B"/>
        <color rgb="FFFFEB84"/>
        <color rgb="FF63BE7B"/>
      </colorScale>
    </cfRule>
  </conditionalFormatting>
  <conditionalFormatting sqref="AO13 AO10">
    <cfRule type="colorScale" priority="17">
      <colorScale>
        <cfvo type="min"/>
        <cfvo type="percentile" val="50"/>
        <cfvo type="max"/>
        <color rgb="FFF8696B"/>
        <color rgb="FFFFEB84"/>
        <color rgb="FF63BE7B"/>
      </colorScale>
    </cfRule>
  </conditionalFormatting>
  <conditionalFormatting sqref="AO14">
    <cfRule type="colorScale" priority="9">
      <colorScale>
        <cfvo type="min"/>
        <cfvo type="percentile" val="50"/>
        <cfvo type="max"/>
        <color rgb="FFF8696B"/>
        <color rgb="FFFFEB84"/>
        <color rgb="FF63BE7B"/>
      </colorScale>
    </cfRule>
  </conditionalFormatting>
  <conditionalFormatting sqref="AO15:AO18">
    <cfRule type="colorScale" priority="11">
      <colorScale>
        <cfvo type="min"/>
        <cfvo type="percentile" val="50"/>
        <cfvo type="max"/>
        <color rgb="FFF8696B"/>
        <color rgb="FFFFEB84"/>
        <color rgb="FF63BE7B"/>
      </colorScale>
    </cfRule>
  </conditionalFormatting>
  <conditionalFormatting sqref="AO19">
    <cfRule type="colorScale" priority="15">
      <colorScale>
        <cfvo type="min"/>
        <cfvo type="percentile" val="50"/>
        <cfvo type="max"/>
        <color rgb="FFF8696B"/>
        <color rgb="FFFFEB84"/>
        <color rgb="FF63BE7B"/>
      </colorScale>
    </cfRule>
  </conditionalFormatting>
  <hyperlinks>
    <hyperlink ref="B2" location="PAINEL!A1" display="&lt;&lt; VOLTAR AO PAINEL DE CONTROLE" xr:uid="{20D76B7E-7205-44F1-9603-19FD4C4402A8}"/>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51BB3-A946-426B-B007-13492BAD9782}">
  <sheetPr>
    <tabColor theme="0" tint="-0.499984740745262"/>
  </sheetPr>
  <dimension ref="B1:R21"/>
  <sheetViews>
    <sheetView showGridLines="0" zoomScale="80" zoomScaleNormal="80" workbookViewId="0">
      <selection activeCell="B4" sqref="B4:R19"/>
    </sheetView>
  </sheetViews>
  <sheetFormatPr defaultRowHeight="14.5" x14ac:dyDescent="0.35"/>
  <cols>
    <col min="1" max="1" width="1.54296875" customWidth="1"/>
    <col min="2" max="2" width="25.453125" style="18" customWidth="1"/>
    <col min="3" max="3" width="15" style="18" bestFit="1" customWidth="1"/>
    <col min="4" max="4" width="16.7265625" style="18" bestFit="1" customWidth="1"/>
    <col min="5" max="6" width="12.26953125" style="18" bestFit="1" customWidth="1"/>
    <col min="7" max="7" width="13" style="18" bestFit="1" customWidth="1"/>
    <col min="16" max="16" width="6.81640625" customWidth="1"/>
  </cols>
  <sheetData>
    <row r="1" spans="2:18" ht="2.15" customHeight="1" x14ac:dyDescent="0.35"/>
    <row r="2" spans="2:18" ht="28.5" customHeight="1" x14ac:dyDescent="0.35">
      <c r="B2" s="96" t="s">
        <v>147</v>
      </c>
      <c r="C2" s="398" t="s">
        <v>98</v>
      </c>
      <c r="D2" s="398"/>
      <c r="E2" s="398"/>
      <c r="F2" s="398"/>
      <c r="G2" s="398"/>
      <c r="H2" s="398"/>
      <c r="I2" s="398"/>
      <c r="J2" s="398"/>
      <c r="K2" s="398"/>
      <c r="L2" s="398"/>
      <c r="M2" s="398"/>
      <c r="N2" s="398"/>
      <c r="O2" s="398"/>
      <c r="P2" s="398"/>
      <c r="Q2" s="398"/>
      <c r="R2" s="398"/>
    </row>
    <row r="3" spans="2:18" ht="3.65" customHeight="1" x14ac:dyDescent="0.35"/>
    <row r="4" spans="2:18" ht="37" customHeight="1" x14ac:dyDescent="0.35">
      <c r="B4" s="393" t="s">
        <v>52</v>
      </c>
      <c r="C4" s="53" t="s">
        <v>50</v>
      </c>
      <c r="D4" s="53" t="s">
        <v>51</v>
      </c>
      <c r="E4" s="53" t="s">
        <v>106</v>
      </c>
      <c r="F4" s="53" t="s">
        <v>107</v>
      </c>
      <c r="G4" s="53" t="s">
        <v>108</v>
      </c>
    </row>
    <row r="5" spans="2:18" x14ac:dyDescent="0.35">
      <c r="B5" s="394"/>
      <c r="C5" s="56">
        <f ca="1">TODAY()</f>
        <v>45951</v>
      </c>
      <c r="D5" s="56">
        <v>45938</v>
      </c>
      <c r="E5" s="56">
        <f>D5+90</f>
        <v>46028</v>
      </c>
      <c r="F5" s="56">
        <f>E5+90</f>
        <v>46118</v>
      </c>
      <c r="G5" s="56">
        <f>F5+90</f>
        <v>46208</v>
      </c>
    </row>
    <row r="6" spans="2:18" ht="19.5" customHeight="1" x14ac:dyDescent="0.35">
      <c r="B6" s="55" t="s">
        <v>43</v>
      </c>
      <c r="C6" s="373">
        <f>'0.1'!D21</f>
        <v>0.9</v>
      </c>
      <c r="D6" s="373">
        <f t="shared" ref="D6:D10" si="0">C6</f>
        <v>0.9</v>
      </c>
      <c r="E6" s="22"/>
      <c r="F6" s="22"/>
      <c r="G6" s="22"/>
    </row>
    <row r="7" spans="2:18" ht="19.5" customHeight="1" x14ac:dyDescent="0.35">
      <c r="B7" s="55" t="s">
        <v>44</v>
      </c>
      <c r="C7" s="22">
        <f>'0.1'!H21</f>
        <v>1.25</v>
      </c>
      <c r="D7" s="22">
        <f t="shared" si="0"/>
        <v>1.25</v>
      </c>
      <c r="E7" s="22"/>
      <c r="F7" s="22"/>
      <c r="G7" s="22"/>
    </row>
    <row r="8" spans="2:18" ht="19.5" customHeight="1" x14ac:dyDescent="0.35">
      <c r="B8" s="55" t="s">
        <v>45</v>
      </c>
      <c r="C8" s="22">
        <f>'0.1'!L21</f>
        <v>2.6</v>
      </c>
      <c r="D8" s="22">
        <f t="shared" si="0"/>
        <v>2.6</v>
      </c>
      <c r="E8" s="22"/>
      <c r="F8" s="22"/>
      <c r="G8" s="22"/>
    </row>
    <row r="9" spans="2:18" ht="19.5" customHeight="1" x14ac:dyDescent="0.35">
      <c r="B9" s="55" t="s">
        <v>46</v>
      </c>
      <c r="C9" s="22">
        <f>'0.1'!P21</f>
        <v>2.5</v>
      </c>
      <c r="D9" s="22">
        <f t="shared" si="0"/>
        <v>2.5</v>
      </c>
      <c r="E9" s="22"/>
      <c r="F9" s="22"/>
      <c r="G9" s="22"/>
    </row>
    <row r="10" spans="2:18" ht="19.5" customHeight="1" x14ac:dyDescent="0.35">
      <c r="B10" s="55" t="s">
        <v>47</v>
      </c>
      <c r="C10" s="22">
        <f>'0.1'!T21</f>
        <v>4.5</v>
      </c>
      <c r="D10" s="22">
        <f t="shared" si="0"/>
        <v>4.5</v>
      </c>
      <c r="E10" s="22"/>
      <c r="F10" s="22"/>
      <c r="G10" s="22"/>
    </row>
    <row r="11" spans="2:18" ht="19.5" customHeight="1" x14ac:dyDescent="0.35">
      <c r="B11" s="55" t="s">
        <v>1022</v>
      </c>
      <c r="C11" s="22">
        <f>'0.1'!Y21</f>
        <v>6.333333333333333</v>
      </c>
      <c r="D11" s="22">
        <v>6.3</v>
      </c>
      <c r="E11" s="22"/>
      <c r="F11" s="22"/>
      <c r="G11" s="22"/>
    </row>
    <row r="12" spans="2:18" ht="19.5" customHeight="1" x14ac:dyDescent="0.35">
      <c r="B12" s="55" t="s">
        <v>1039</v>
      </c>
      <c r="C12" s="22">
        <f>'0.1'!AC21</f>
        <v>7.8571428571428568</v>
      </c>
      <c r="D12" s="22">
        <v>7.9</v>
      </c>
      <c r="E12" s="22"/>
      <c r="F12" s="22"/>
      <c r="G12" s="22"/>
    </row>
    <row r="13" spans="2:18" ht="19.5" customHeight="1" x14ac:dyDescent="0.35">
      <c r="B13" s="55" t="s">
        <v>1056</v>
      </c>
      <c r="C13" s="22">
        <f>'0.1'!AG21</f>
        <v>5.1428571428571432</v>
      </c>
      <c r="D13" s="22">
        <v>5.0999999999999996</v>
      </c>
      <c r="E13" s="22"/>
      <c r="F13" s="22"/>
      <c r="G13" s="22"/>
    </row>
    <row r="14" spans="2:18" ht="19.5" customHeight="1" x14ac:dyDescent="0.35">
      <c r="B14" s="55" t="s">
        <v>1057</v>
      </c>
      <c r="C14" s="22">
        <f>'0.1'!AK21</f>
        <v>3.375</v>
      </c>
      <c r="D14" s="22">
        <v>3.4</v>
      </c>
      <c r="E14" s="22"/>
      <c r="F14" s="22"/>
      <c r="G14" s="22"/>
    </row>
    <row r="15" spans="2:18" ht="19.5" customHeight="1" x14ac:dyDescent="0.35">
      <c r="B15" s="55" t="s">
        <v>1049</v>
      </c>
      <c r="C15" s="22">
        <f>'0.1'!AO21</f>
        <v>2.4</v>
      </c>
      <c r="D15" s="22">
        <v>2.4</v>
      </c>
      <c r="E15" s="22"/>
      <c r="F15" s="22"/>
      <c r="G15" s="22"/>
    </row>
    <row r="16" spans="2:18" s="21" customFormat="1" ht="22" customHeight="1" x14ac:dyDescent="0.35">
      <c r="B16" s="54" t="s">
        <v>48</v>
      </c>
      <c r="C16" s="362">
        <f>AVERAGE(C6:C15)</f>
        <v>3.6858333333333326</v>
      </c>
      <c r="D16" s="362">
        <v>3.7</v>
      </c>
      <c r="E16" s="134"/>
      <c r="F16" s="134"/>
      <c r="G16" s="134"/>
      <c r="H16"/>
    </row>
    <row r="17" spans="2:7" ht="5.15" customHeight="1" x14ac:dyDescent="0.35">
      <c r="D17" s="361">
        <f>SUM(D6:D16)</f>
        <v>40.550000000000004</v>
      </c>
    </row>
    <row r="18" spans="2:7" ht="21" x14ac:dyDescent="0.35">
      <c r="B18" s="395" t="s">
        <v>100</v>
      </c>
      <c r="C18" s="396"/>
      <c r="D18" s="397"/>
      <c r="E18" s="57" t="s">
        <v>115</v>
      </c>
      <c r="F18" s="58" t="s">
        <v>116</v>
      </c>
      <c r="G18" s="59" t="s">
        <v>99</v>
      </c>
    </row>
    <row r="21" spans="2:7" x14ac:dyDescent="0.35">
      <c r="E21"/>
    </row>
  </sheetData>
  <mergeCells count="3">
    <mergeCell ref="B4:B5"/>
    <mergeCell ref="B18:D18"/>
    <mergeCell ref="C2:R2"/>
  </mergeCells>
  <conditionalFormatting sqref="C6:G16">
    <cfRule type="cellIs" dxfId="86" priority="1" operator="greaterThan">
      <formula>8</formula>
    </cfRule>
    <cfRule type="cellIs" dxfId="85" priority="2" operator="between">
      <formula>6.1</formula>
      <formula>8</formula>
    </cfRule>
    <cfRule type="cellIs" dxfId="84" priority="3" operator="between">
      <formula>1</formula>
      <formula>6</formula>
    </cfRule>
  </conditionalFormatting>
  <hyperlinks>
    <hyperlink ref="B2" location="PAINEL!A1" display="&lt;&lt; VOLTAR AO PAINEL DE CONTROLE" xr:uid="{B91D8770-062F-4CC9-996B-FFB29C47999D}"/>
  </hyperlink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332B-C648-4AD1-8AD5-C4FCBCCDFD50}">
  <sheetPr>
    <tabColor theme="0" tint="-0.499984740745262"/>
  </sheetPr>
  <dimension ref="C2:M51"/>
  <sheetViews>
    <sheetView showGridLines="0" zoomScale="50" zoomScaleNormal="50" workbookViewId="0">
      <pane ySplit="4" topLeftCell="A5" activePane="bottomLeft" state="frozen"/>
      <selection activeCell="I21" sqref="I21"/>
      <selection pane="bottomLeft" activeCell="E12" sqref="E12"/>
    </sheetView>
  </sheetViews>
  <sheetFormatPr defaultRowHeight="14.5" x14ac:dyDescent="0.35"/>
  <cols>
    <col min="1" max="1" width="0.54296875" customWidth="1"/>
    <col min="2" max="2" width="3.453125" customWidth="1"/>
    <col min="3" max="3" width="5.54296875" customWidth="1"/>
    <col min="4" max="4" width="24.453125" customWidth="1"/>
    <col min="5" max="5" width="97.6328125" customWidth="1"/>
    <col min="6" max="6" width="14.1796875" customWidth="1"/>
    <col min="7" max="7" width="15.26953125" customWidth="1"/>
    <col min="8" max="8" width="73.90625" customWidth="1"/>
    <col min="9" max="9" width="16.26953125" customWidth="1"/>
    <col min="10" max="10" width="18.6328125" customWidth="1"/>
    <col min="11" max="11" width="24.453125" customWidth="1"/>
    <col min="12" max="12" width="1.453125" customWidth="1"/>
    <col min="13" max="13" width="25.453125" customWidth="1"/>
  </cols>
  <sheetData>
    <row r="2" spans="3:13" ht="56.5" customHeight="1" x14ac:dyDescent="0.35">
      <c r="C2" s="82"/>
      <c r="D2" s="210" t="s">
        <v>147</v>
      </c>
      <c r="E2" s="399" t="s">
        <v>109</v>
      </c>
      <c r="F2" s="375"/>
      <c r="G2" s="375"/>
      <c r="H2" s="375"/>
      <c r="I2" s="375"/>
      <c r="J2" s="375"/>
      <c r="K2" s="375"/>
    </row>
    <row r="3" spans="3:13" ht="9" customHeight="1" x14ac:dyDescent="0.35"/>
    <row r="4" spans="3:13" ht="26" x14ac:dyDescent="0.35">
      <c r="C4" s="82" t="s">
        <v>55</v>
      </c>
      <c r="D4" s="83" t="s">
        <v>110</v>
      </c>
      <c r="E4" s="84" t="s">
        <v>111</v>
      </c>
      <c r="F4" s="85" t="s">
        <v>6</v>
      </c>
      <c r="G4" s="85" t="s">
        <v>7</v>
      </c>
      <c r="H4" s="85" t="s">
        <v>112</v>
      </c>
      <c r="I4" s="85" t="s">
        <v>113</v>
      </c>
      <c r="J4" s="85" t="s">
        <v>456</v>
      </c>
      <c r="K4" s="85" t="s">
        <v>114</v>
      </c>
      <c r="M4" s="85" t="s">
        <v>119</v>
      </c>
    </row>
    <row r="5" spans="3:13" ht="6" customHeight="1" x14ac:dyDescent="0.35">
      <c r="E5" s="10"/>
      <c r="F5" s="10"/>
      <c r="G5" s="10"/>
      <c r="H5" s="10"/>
      <c r="I5" s="10"/>
      <c r="J5" s="10"/>
      <c r="K5" s="10"/>
      <c r="M5" s="10"/>
    </row>
    <row r="6" spans="3:13" ht="88" customHeight="1" x14ac:dyDescent="0.35">
      <c r="C6" s="6">
        <v>1</v>
      </c>
      <c r="D6" s="80" t="s">
        <v>43</v>
      </c>
      <c r="E6" s="516" t="s">
        <v>8</v>
      </c>
      <c r="F6" s="11" t="s">
        <v>9</v>
      </c>
      <c r="G6" s="316">
        <v>0</v>
      </c>
      <c r="H6" s="505" t="s">
        <v>1067</v>
      </c>
      <c r="I6" s="511" t="s">
        <v>1060</v>
      </c>
      <c r="J6" s="512">
        <v>46028</v>
      </c>
      <c r="K6" s="317" t="s">
        <v>959</v>
      </c>
      <c r="M6" s="14" t="s">
        <v>962</v>
      </c>
    </row>
    <row r="7" spans="3:13" ht="96" customHeight="1" x14ac:dyDescent="0.35">
      <c r="C7" s="6">
        <f>C6+1</f>
        <v>2</v>
      </c>
      <c r="D7" s="80" t="s">
        <v>43</v>
      </c>
      <c r="E7" s="516" t="s">
        <v>13</v>
      </c>
      <c r="F7" s="11" t="s">
        <v>9</v>
      </c>
      <c r="G7" s="316">
        <v>2</v>
      </c>
      <c r="H7" s="505" t="s">
        <v>1069</v>
      </c>
      <c r="I7" s="511" t="s">
        <v>1063</v>
      </c>
      <c r="J7" s="512">
        <v>46028</v>
      </c>
      <c r="K7" s="14" t="s">
        <v>962</v>
      </c>
      <c r="M7" s="317" t="s">
        <v>959</v>
      </c>
    </row>
    <row r="8" spans="3:13" ht="111" x14ac:dyDescent="0.35">
      <c r="C8" s="6">
        <f t="shared" ref="C8:C51" si="0">C7+1</f>
        <v>3</v>
      </c>
      <c r="D8" s="80" t="s">
        <v>43</v>
      </c>
      <c r="E8" s="516" t="s">
        <v>17</v>
      </c>
      <c r="F8" s="11" t="s">
        <v>9</v>
      </c>
      <c r="G8" s="316">
        <v>2</v>
      </c>
      <c r="H8" s="505" t="s">
        <v>1075</v>
      </c>
      <c r="I8" s="511" t="s">
        <v>1063</v>
      </c>
      <c r="J8" s="512">
        <v>46028</v>
      </c>
      <c r="K8" s="14" t="s">
        <v>962</v>
      </c>
      <c r="M8" s="17" t="s">
        <v>960</v>
      </c>
    </row>
    <row r="9" spans="3:13" ht="102" customHeight="1" x14ac:dyDescent="0.35">
      <c r="C9" s="6">
        <f t="shared" si="0"/>
        <v>4</v>
      </c>
      <c r="D9" s="80" t="s">
        <v>43</v>
      </c>
      <c r="E9" s="516" t="s">
        <v>20</v>
      </c>
      <c r="F9" s="11" t="s">
        <v>9</v>
      </c>
      <c r="G9" s="316">
        <v>0</v>
      </c>
      <c r="H9" s="505" t="s">
        <v>1076</v>
      </c>
      <c r="I9" s="511" t="s">
        <v>1060</v>
      </c>
      <c r="J9" s="512">
        <v>46028</v>
      </c>
      <c r="K9" s="14" t="s">
        <v>962</v>
      </c>
      <c r="M9" s="11" t="s">
        <v>963</v>
      </c>
    </row>
    <row r="10" spans="3:13" ht="92.5" x14ac:dyDescent="0.35">
      <c r="C10" s="6">
        <f t="shared" si="0"/>
        <v>5</v>
      </c>
      <c r="D10" s="80" t="s">
        <v>43</v>
      </c>
      <c r="E10" s="516" t="s">
        <v>1004</v>
      </c>
      <c r="F10" s="11" t="s">
        <v>9</v>
      </c>
      <c r="G10" s="316">
        <v>0</v>
      </c>
      <c r="H10" s="505" t="s">
        <v>1077</v>
      </c>
      <c r="I10" s="511" t="s">
        <v>1060</v>
      </c>
      <c r="J10" s="512">
        <v>46028</v>
      </c>
      <c r="K10" s="14" t="s">
        <v>962</v>
      </c>
    </row>
    <row r="11" spans="3:13" ht="59" customHeight="1" x14ac:dyDescent="0.35">
      <c r="C11" s="6">
        <f t="shared" si="0"/>
        <v>6</v>
      </c>
      <c r="D11" s="80" t="s">
        <v>43</v>
      </c>
      <c r="E11" s="94" t="s">
        <v>1009</v>
      </c>
      <c r="F11" s="11" t="s">
        <v>9</v>
      </c>
      <c r="G11" s="316">
        <v>0</v>
      </c>
      <c r="H11" s="81"/>
      <c r="I11" s="81"/>
      <c r="J11" s="81"/>
      <c r="K11" s="14" t="s">
        <v>962</v>
      </c>
    </row>
    <row r="12" spans="3:13" ht="94" customHeight="1" x14ac:dyDescent="0.35">
      <c r="C12" s="6">
        <f t="shared" si="0"/>
        <v>7</v>
      </c>
      <c r="D12" s="80" t="s">
        <v>43</v>
      </c>
      <c r="E12" s="516" t="s">
        <v>1010</v>
      </c>
      <c r="F12" s="11" t="s">
        <v>9</v>
      </c>
      <c r="G12" s="316">
        <v>0</v>
      </c>
      <c r="H12" s="505" t="s">
        <v>1078</v>
      </c>
      <c r="I12" s="511" t="s">
        <v>1063</v>
      </c>
      <c r="J12" s="512">
        <v>46028</v>
      </c>
      <c r="K12" s="14" t="s">
        <v>962</v>
      </c>
    </row>
    <row r="13" spans="3:13" ht="42" x14ac:dyDescent="0.35">
      <c r="C13" s="6">
        <f t="shared" si="0"/>
        <v>8</v>
      </c>
      <c r="D13" s="80" t="s">
        <v>44</v>
      </c>
      <c r="E13" s="94" t="s">
        <v>10</v>
      </c>
      <c r="F13" s="11" t="s">
        <v>9</v>
      </c>
      <c r="G13" s="316">
        <v>0</v>
      </c>
      <c r="H13" s="81"/>
      <c r="I13" s="81"/>
      <c r="J13" s="81"/>
      <c r="K13" s="14" t="s">
        <v>962</v>
      </c>
    </row>
    <row r="14" spans="3:13" ht="31" x14ac:dyDescent="0.35">
      <c r="C14" s="6">
        <f t="shared" si="0"/>
        <v>9</v>
      </c>
      <c r="D14" s="80" t="s">
        <v>44</v>
      </c>
      <c r="E14" s="94" t="s">
        <v>14</v>
      </c>
      <c r="F14" s="11" t="s">
        <v>9</v>
      </c>
      <c r="G14" s="316">
        <v>0</v>
      </c>
      <c r="H14" s="81"/>
      <c r="I14" s="81"/>
      <c r="J14" s="81"/>
      <c r="K14" s="14" t="s">
        <v>962</v>
      </c>
    </row>
    <row r="15" spans="3:13" ht="42" x14ac:dyDescent="0.35">
      <c r="C15" s="6">
        <f t="shared" si="0"/>
        <v>10</v>
      </c>
      <c r="D15" s="80" t="s">
        <v>44</v>
      </c>
      <c r="E15" s="94" t="s">
        <v>18</v>
      </c>
      <c r="F15" s="11" t="s">
        <v>9</v>
      </c>
      <c r="G15" s="316">
        <v>0</v>
      </c>
      <c r="H15" s="81"/>
      <c r="I15" s="81"/>
      <c r="J15" s="81"/>
      <c r="K15" s="14" t="s">
        <v>962</v>
      </c>
    </row>
    <row r="16" spans="3:13" ht="25.5" customHeight="1" x14ac:dyDescent="0.35">
      <c r="C16" s="6">
        <f t="shared" si="0"/>
        <v>11</v>
      </c>
      <c r="D16" s="80" t="s">
        <v>44</v>
      </c>
      <c r="E16" s="94" t="s">
        <v>24</v>
      </c>
      <c r="F16" s="11" t="s">
        <v>9</v>
      </c>
      <c r="G16" s="316">
        <v>0</v>
      </c>
      <c r="H16" s="81"/>
      <c r="I16" s="81"/>
      <c r="J16" s="81"/>
      <c r="K16" s="14" t="s">
        <v>962</v>
      </c>
    </row>
    <row r="17" spans="3:11" ht="25.5" customHeight="1" x14ac:dyDescent="0.35">
      <c r="C17" s="6">
        <f t="shared" si="0"/>
        <v>12</v>
      </c>
      <c r="D17" s="80" t="s">
        <v>45</v>
      </c>
      <c r="E17" s="94" t="s">
        <v>105</v>
      </c>
      <c r="F17" s="11" t="s">
        <v>9</v>
      </c>
      <c r="G17" s="316">
        <v>2</v>
      </c>
      <c r="H17" s="81"/>
      <c r="I17" s="81"/>
      <c r="J17" s="81"/>
      <c r="K17" s="14" t="s">
        <v>962</v>
      </c>
    </row>
    <row r="18" spans="3:11" ht="25.5" customHeight="1" x14ac:dyDescent="0.35">
      <c r="C18" s="6">
        <f t="shared" si="0"/>
        <v>13</v>
      </c>
      <c r="D18" s="80" t="s">
        <v>45</v>
      </c>
      <c r="E18" s="94" t="s">
        <v>15</v>
      </c>
      <c r="F18" s="11" t="s">
        <v>9</v>
      </c>
      <c r="G18" s="316">
        <v>0</v>
      </c>
      <c r="H18" s="81"/>
      <c r="I18" s="81"/>
      <c r="J18" s="81"/>
      <c r="K18" s="14" t="s">
        <v>962</v>
      </c>
    </row>
    <row r="19" spans="3:11" ht="25.5" customHeight="1" x14ac:dyDescent="0.35">
      <c r="C19" s="6">
        <f t="shared" si="0"/>
        <v>14</v>
      </c>
      <c r="D19" s="80" t="s">
        <v>45</v>
      </c>
      <c r="E19" s="94" t="s">
        <v>1019</v>
      </c>
      <c r="F19" s="11" t="s">
        <v>9</v>
      </c>
      <c r="G19" s="316">
        <v>0</v>
      </c>
      <c r="H19" s="81"/>
      <c r="I19" s="81"/>
      <c r="J19" s="81"/>
      <c r="K19" s="14" t="s">
        <v>962</v>
      </c>
    </row>
    <row r="20" spans="3:11" ht="25.5" customHeight="1" x14ac:dyDescent="0.35">
      <c r="C20" s="6">
        <f t="shared" si="0"/>
        <v>15</v>
      </c>
      <c r="D20" s="80" t="s">
        <v>45</v>
      </c>
      <c r="E20" s="94" t="s">
        <v>53</v>
      </c>
      <c r="F20" s="11" t="s">
        <v>9</v>
      </c>
      <c r="G20" s="316">
        <v>1</v>
      </c>
      <c r="H20" s="81"/>
      <c r="I20" s="81"/>
      <c r="J20" s="81"/>
      <c r="K20" s="14" t="s">
        <v>962</v>
      </c>
    </row>
    <row r="21" spans="3:11" ht="25.5" customHeight="1" x14ac:dyDescent="0.35">
      <c r="C21" s="6">
        <f t="shared" si="0"/>
        <v>16</v>
      </c>
      <c r="D21" s="80" t="s">
        <v>45</v>
      </c>
      <c r="E21" s="94" t="s">
        <v>1014</v>
      </c>
      <c r="F21" s="11" t="s">
        <v>9</v>
      </c>
      <c r="G21" s="316">
        <v>0</v>
      </c>
      <c r="H21" s="81"/>
      <c r="I21" s="81"/>
      <c r="J21" s="81"/>
      <c r="K21" s="14" t="s">
        <v>962</v>
      </c>
    </row>
    <row r="22" spans="3:11" ht="42" x14ac:dyDescent="0.35">
      <c r="C22" s="6">
        <f t="shared" si="0"/>
        <v>17</v>
      </c>
      <c r="D22" s="80" t="s">
        <v>45</v>
      </c>
      <c r="E22" s="94" t="s">
        <v>28</v>
      </c>
      <c r="F22" s="11" t="s">
        <v>9</v>
      </c>
      <c r="G22" s="316">
        <v>0</v>
      </c>
      <c r="H22" s="81"/>
      <c r="I22" s="81"/>
      <c r="J22" s="81"/>
      <c r="K22" s="14" t="s">
        <v>962</v>
      </c>
    </row>
    <row r="23" spans="3:11" ht="42" x14ac:dyDescent="0.35">
      <c r="C23" s="6">
        <f t="shared" si="0"/>
        <v>18</v>
      </c>
      <c r="D23" s="80" t="s">
        <v>46</v>
      </c>
      <c r="E23" s="94" t="s">
        <v>11</v>
      </c>
      <c r="F23" s="11" t="s">
        <v>9</v>
      </c>
      <c r="G23" s="316">
        <v>3</v>
      </c>
      <c r="H23" s="81"/>
      <c r="I23" s="81"/>
      <c r="J23" s="81"/>
      <c r="K23" s="14" t="s">
        <v>962</v>
      </c>
    </row>
    <row r="24" spans="3:11" ht="42" x14ac:dyDescent="0.35">
      <c r="C24" s="6">
        <f t="shared" si="0"/>
        <v>19</v>
      </c>
      <c r="D24" s="80" t="s">
        <v>46</v>
      </c>
      <c r="E24" s="94" t="s">
        <v>961</v>
      </c>
      <c r="F24" s="11" t="s">
        <v>9</v>
      </c>
      <c r="G24" s="316">
        <v>2</v>
      </c>
      <c r="H24" s="81"/>
      <c r="I24" s="81"/>
      <c r="J24" s="81"/>
      <c r="K24" s="14" t="s">
        <v>962</v>
      </c>
    </row>
    <row r="25" spans="3:11" ht="42" x14ac:dyDescent="0.35">
      <c r="C25" s="6">
        <f t="shared" si="0"/>
        <v>20</v>
      </c>
      <c r="D25" s="80" t="s">
        <v>46</v>
      </c>
      <c r="E25" s="94" t="s">
        <v>19</v>
      </c>
      <c r="F25" s="11" t="s">
        <v>9</v>
      </c>
      <c r="G25" s="316">
        <v>0</v>
      </c>
      <c r="H25" s="81"/>
      <c r="I25" s="81"/>
      <c r="J25" s="81"/>
      <c r="K25" s="14" t="s">
        <v>962</v>
      </c>
    </row>
    <row r="26" spans="3:11" ht="31" x14ac:dyDescent="0.35">
      <c r="C26" s="6">
        <f t="shared" si="0"/>
        <v>21</v>
      </c>
      <c r="D26" s="80" t="s">
        <v>46</v>
      </c>
      <c r="E26" s="94" t="s">
        <v>1020</v>
      </c>
      <c r="F26" s="11" t="s">
        <v>9</v>
      </c>
      <c r="G26" s="316">
        <v>2</v>
      </c>
      <c r="H26" s="81"/>
      <c r="I26" s="81"/>
      <c r="J26" s="81"/>
      <c r="K26" s="14" t="s">
        <v>962</v>
      </c>
    </row>
    <row r="27" spans="3:11" ht="42" x14ac:dyDescent="0.35">
      <c r="C27" s="6">
        <f t="shared" si="0"/>
        <v>22</v>
      </c>
      <c r="D27" s="80" t="s">
        <v>46</v>
      </c>
      <c r="E27" s="94" t="s">
        <v>25</v>
      </c>
      <c r="F27" s="11" t="s">
        <v>9</v>
      </c>
      <c r="G27" s="316">
        <v>0</v>
      </c>
      <c r="H27" s="81"/>
      <c r="I27" s="81"/>
      <c r="J27" s="81"/>
      <c r="K27" s="14" t="s">
        <v>962</v>
      </c>
    </row>
    <row r="28" spans="3:11" ht="42" x14ac:dyDescent="0.35">
      <c r="C28" s="6">
        <f t="shared" si="0"/>
        <v>23</v>
      </c>
      <c r="D28" s="80" t="s">
        <v>47</v>
      </c>
      <c r="E28" s="94" t="s">
        <v>16</v>
      </c>
      <c r="F28" s="11" t="s">
        <v>9</v>
      </c>
      <c r="G28" s="316">
        <v>5</v>
      </c>
      <c r="H28" s="81"/>
      <c r="I28" s="81"/>
      <c r="J28" s="81"/>
      <c r="K28" s="14" t="s">
        <v>962</v>
      </c>
    </row>
    <row r="29" spans="3:11" ht="63" x14ac:dyDescent="0.35">
      <c r="C29" s="6">
        <f t="shared" si="0"/>
        <v>24</v>
      </c>
      <c r="D29" s="80" t="s">
        <v>47</v>
      </c>
      <c r="E29" s="94" t="s">
        <v>1016</v>
      </c>
      <c r="F29" s="11" t="s">
        <v>9</v>
      </c>
      <c r="G29" s="316">
        <v>2</v>
      </c>
      <c r="H29" s="81"/>
      <c r="I29" s="81"/>
      <c r="J29" s="81"/>
      <c r="K29" s="14" t="s">
        <v>962</v>
      </c>
    </row>
    <row r="30" spans="3:11" ht="42" x14ac:dyDescent="0.35">
      <c r="C30" s="6">
        <f t="shared" si="0"/>
        <v>25</v>
      </c>
      <c r="D30" s="80" t="s">
        <v>47</v>
      </c>
      <c r="E30" s="94" t="s">
        <v>23</v>
      </c>
      <c r="F30" s="11" t="s">
        <v>9</v>
      </c>
      <c r="G30" s="316">
        <v>0</v>
      </c>
      <c r="H30" s="81"/>
      <c r="I30" s="81"/>
      <c r="J30" s="81"/>
      <c r="K30" s="14" t="s">
        <v>962</v>
      </c>
    </row>
    <row r="31" spans="3:11" ht="31" x14ac:dyDescent="0.35">
      <c r="C31" s="6">
        <f t="shared" si="0"/>
        <v>26</v>
      </c>
      <c r="D31" s="80" t="s">
        <v>47</v>
      </c>
      <c r="E31" s="94" t="s">
        <v>26</v>
      </c>
      <c r="F31" s="11" t="s">
        <v>9</v>
      </c>
      <c r="G31" s="316">
        <v>3</v>
      </c>
      <c r="H31" s="81"/>
      <c r="I31" s="81"/>
      <c r="J31" s="81"/>
      <c r="K31" s="14" t="s">
        <v>962</v>
      </c>
    </row>
    <row r="32" spans="3:11" ht="42" x14ac:dyDescent="0.35">
      <c r="C32" s="6">
        <f t="shared" si="0"/>
        <v>27</v>
      </c>
      <c r="D32" s="80" t="s">
        <v>47</v>
      </c>
      <c r="E32" s="94" t="s">
        <v>29</v>
      </c>
      <c r="F32" s="11" t="s">
        <v>9</v>
      </c>
      <c r="G32" s="316">
        <v>0</v>
      </c>
      <c r="H32" s="81"/>
      <c r="I32" s="81"/>
      <c r="J32" s="81"/>
      <c r="K32" s="14" t="s">
        <v>962</v>
      </c>
    </row>
    <row r="33" spans="3:11" ht="42" x14ac:dyDescent="0.35">
      <c r="C33" s="6">
        <f t="shared" si="0"/>
        <v>28</v>
      </c>
      <c r="D33" s="80" t="s">
        <v>47</v>
      </c>
      <c r="E33" s="94" t="s">
        <v>31</v>
      </c>
      <c r="F33" s="11" t="s">
        <v>9</v>
      </c>
      <c r="G33" s="316">
        <v>5</v>
      </c>
      <c r="H33" s="81"/>
      <c r="I33" s="81"/>
      <c r="J33" s="81"/>
      <c r="K33" s="14" t="s">
        <v>962</v>
      </c>
    </row>
    <row r="34" spans="3:11" ht="42" x14ac:dyDescent="0.35">
      <c r="C34" s="6">
        <f t="shared" si="0"/>
        <v>29</v>
      </c>
      <c r="D34" s="80" t="s">
        <v>1022</v>
      </c>
      <c r="E34" s="94" t="s">
        <v>1033</v>
      </c>
      <c r="F34" s="11" t="s">
        <v>9</v>
      </c>
      <c r="G34" s="316">
        <v>1</v>
      </c>
      <c r="H34" s="81"/>
      <c r="I34" s="81"/>
      <c r="J34" s="81"/>
      <c r="K34" s="14" t="s">
        <v>962</v>
      </c>
    </row>
    <row r="35" spans="3:11" ht="42" x14ac:dyDescent="0.35">
      <c r="C35" s="6">
        <f t="shared" si="0"/>
        <v>30</v>
      </c>
      <c r="D35" s="80" t="s">
        <v>1022</v>
      </c>
      <c r="E35" s="94" t="s">
        <v>1027</v>
      </c>
      <c r="F35" s="11" t="s">
        <v>9</v>
      </c>
      <c r="G35" s="316">
        <v>5</v>
      </c>
      <c r="H35" s="81"/>
      <c r="I35" s="81"/>
      <c r="J35" s="81"/>
      <c r="K35" s="14" t="s">
        <v>962</v>
      </c>
    </row>
    <row r="36" spans="3:11" ht="42" x14ac:dyDescent="0.35">
      <c r="C36" s="6">
        <f t="shared" si="0"/>
        <v>31</v>
      </c>
      <c r="D36" s="80" t="s">
        <v>1022</v>
      </c>
      <c r="E36" s="94" t="s">
        <v>1038</v>
      </c>
      <c r="F36" s="11" t="s">
        <v>9</v>
      </c>
      <c r="G36" s="316">
        <v>1</v>
      </c>
      <c r="H36" s="81"/>
      <c r="I36" s="81"/>
      <c r="J36" s="81"/>
      <c r="K36" s="14" t="s">
        <v>962</v>
      </c>
    </row>
    <row r="37" spans="3:11" ht="42" x14ac:dyDescent="0.35">
      <c r="C37" s="6">
        <f t="shared" si="0"/>
        <v>32</v>
      </c>
      <c r="D37" s="80" t="s">
        <v>1065</v>
      </c>
      <c r="E37" s="94" t="s">
        <v>1059</v>
      </c>
      <c r="F37" s="11" t="s">
        <v>9</v>
      </c>
      <c r="G37" s="12">
        <v>5</v>
      </c>
      <c r="H37" s="81"/>
      <c r="I37" s="81"/>
      <c r="J37" s="81"/>
      <c r="K37" s="14" t="s">
        <v>962</v>
      </c>
    </row>
    <row r="38" spans="3:11" ht="31" x14ac:dyDescent="0.35">
      <c r="C38" s="6">
        <f t="shared" si="0"/>
        <v>33</v>
      </c>
      <c r="D38" s="80" t="s">
        <v>1065</v>
      </c>
      <c r="E38" s="94" t="s">
        <v>1046</v>
      </c>
      <c r="F38" s="11" t="s">
        <v>9</v>
      </c>
      <c r="G38" s="12">
        <v>6</v>
      </c>
      <c r="H38" s="81"/>
      <c r="I38" s="81"/>
      <c r="J38" s="81"/>
      <c r="K38" s="14" t="s">
        <v>962</v>
      </c>
    </row>
    <row r="39" spans="3:11" ht="42" x14ac:dyDescent="0.35">
      <c r="C39" s="6">
        <f t="shared" si="0"/>
        <v>34</v>
      </c>
      <c r="D39" s="80" t="s">
        <v>1028</v>
      </c>
      <c r="E39" s="94" t="s">
        <v>1029</v>
      </c>
      <c r="F39" s="11" t="s">
        <v>9</v>
      </c>
      <c r="G39" s="12">
        <v>5</v>
      </c>
      <c r="H39" s="81"/>
      <c r="I39" s="81"/>
      <c r="J39" s="81"/>
      <c r="K39" s="14" t="s">
        <v>962</v>
      </c>
    </row>
    <row r="40" spans="3:11" ht="42" x14ac:dyDescent="0.35">
      <c r="C40" s="6">
        <f t="shared" si="0"/>
        <v>35</v>
      </c>
      <c r="D40" s="80" t="s">
        <v>1028</v>
      </c>
      <c r="E40" s="94" t="s">
        <v>1061</v>
      </c>
      <c r="F40" s="11" t="s">
        <v>9</v>
      </c>
      <c r="G40" s="12">
        <v>5</v>
      </c>
      <c r="H40" s="81"/>
      <c r="I40" s="81"/>
      <c r="J40" s="81"/>
      <c r="K40" s="14" t="s">
        <v>962</v>
      </c>
    </row>
    <row r="41" spans="3:11" ht="42" x14ac:dyDescent="0.35">
      <c r="C41" s="6">
        <f t="shared" si="0"/>
        <v>36</v>
      </c>
      <c r="D41" s="80" t="s">
        <v>1028</v>
      </c>
      <c r="E41" s="94" t="s">
        <v>1031</v>
      </c>
      <c r="F41" s="11" t="s">
        <v>9</v>
      </c>
      <c r="G41" s="12">
        <v>1</v>
      </c>
      <c r="H41" s="81"/>
      <c r="I41" s="81"/>
      <c r="J41" s="81"/>
      <c r="K41" s="14" t="s">
        <v>962</v>
      </c>
    </row>
    <row r="42" spans="3:11" ht="42" x14ac:dyDescent="0.35">
      <c r="C42" s="6">
        <f t="shared" si="0"/>
        <v>37</v>
      </c>
      <c r="D42" s="80" t="s">
        <v>1028</v>
      </c>
      <c r="E42" s="94" t="s">
        <v>1027</v>
      </c>
      <c r="F42" s="11" t="s">
        <v>9</v>
      </c>
      <c r="G42" s="12">
        <v>5</v>
      </c>
      <c r="H42" s="81"/>
      <c r="I42" s="81"/>
      <c r="J42" s="81"/>
      <c r="K42" s="14" t="s">
        <v>962</v>
      </c>
    </row>
    <row r="43" spans="3:11" ht="42" x14ac:dyDescent="0.35">
      <c r="C43" s="6">
        <f t="shared" si="0"/>
        <v>38</v>
      </c>
      <c r="D43" s="80" t="s">
        <v>1028</v>
      </c>
      <c r="E43" s="94" t="s">
        <v>1038</v>
      </c>
      <c r="F43" s="11" t="s">
        <v>9</v>
      </c>
      <c r="G43" s="12">
        <v>5</v>
      </c>
      <c r="H43" s="81"/>
      <c r="I43" s="81"/>
      <c r="J43" s="81"/>
      <c r="K43" s="14" t="s">
        <v>962</v>
      </c>
    </row>
    <row r="44" spans="3:11" ht="42" x14ac:dyDescent="0.35">
      <c r="C44" s="6">
        <f t="shared" si="0"/>
        <v>39</v>
      </c>
      <c r="D44" s="80" t="s">
        <v>1057</v>
      </c>
      <c r="E44" s="94" t="s">
        <v>1062</v>
      </c>
      <c r="F44" s="11" t="s">
        <v>9</v>
      </c>
      <c r="G44" s="12">
        <v>1</v>
      </c>
      <c r="H44" s="81"/>
      <c r="I44" s="81"/>
      <c r="J44" s="81"/>
      <c r="K44" s="14" t="s">
        <v>962</v>
      </c>
    </row>
    <row r="45" spans="3:11" ht="42" x14ac:dyDescent="0.35">
      <c r="C45" s="6">
        <f t="shared" si="0"/>
        <v>40</v>
      </c>
      <c r="D45" s="80" t="s">
        <v>1057</v>
      </c>
      <c r="E45" s="94" t="s">
        <v>1035</v>
      </c>
      <c r="F45" s="11" t="s">
        <v>9</v>
      </c>
      <c r="G45" s="12">
        <v>0</v>
      </c>
      <c r="H45" s="81"/>
      <c r="I45" s="81"/>
      <c r="J45" s="81"/>
      <c r="K45" s="14" t="s">
        <v>962</v>
      </c>
    </row>
    <row r="46" spans="3:11" ht="42" x14ac:dyDescent="0.35">
      <c r="C46" s="6">
        <f t="shared" si="0"/>
        <v>41</v>
      </c>
      <c r="D46" s="80" t="s">
        <v>1057</v>
      </c>
      <c r="E46" s="94" t="s">
        <v>1036</v>
      </c>
      <c r="F46" s="11" t="s">
        <v>9</v>
      </c>
      <c r="G46" s="12">
        <v>0</v>
      </c>
      <c r="H46" s="81"/>
      <c r="I46" s="81"/>
      <c r="J46" s="81"/>
      <c r="K46" s="14" t="s">
        <v>962</v>
      </c>
    </row>
    <row r="47" spans="3:11" ht="42" x14ac:dyDescent="0.35">
      <c r="C47" s="6">
        <f t="shared" si="0"/>
        <v>42</v>
      </c>
      <c r="D47" s="80" t="s">
        <v>1057</v>
      </c>
      <c r="E47" s="94" t="s">
        <v>1042</v>
      </c>
      <c r="F47" s="11" t="s">
        <v>9</v>
      </c>
      <c r="G47" s="12">
        <v>5</v>
      </c>
      <c r="H47" s="81"/>
      <c r="I47" s="81"/>
      <c r="J47" s="81"/>
      <c r="K47" s="14" t="s">
        <v>962</v>
      </c>
    </row>
    <row r="48" spans="3:11" ht="42" x14ac:dyDescent="0.35">
      <c r="C48" s="6">
        <f t="shared" si="0"/>
        <v>43</v>
      </c>
      <c r="D48" s="80" t="s">
        <v>1057</v>
      </c>
      <c r="E48" s="94" t="s">
        <v>1054</v>
      </c>
      <c r="F48" s="11" t="s">
        <v>9</v>
      </c>
      <c r="G48" s="12">
        <v>5</v>
      </c>
      <c r="H48" s="81"/>
      <c r="I48" s="81"/>
      <c r="J48" s="81"/>
      <c r="K48" s="14" t="s">
        <v>962</v>
      </c>
    </row>
    <row r="49" spans="3:11" ht="63" x14ac:dyDescent="0.35">
      <c r="C49" s="6">
        <f t="shared" si="0"/>
        <v>44</v>
      </c>
      <c r="D49" s="80" t="s">
        <v>1049</v>
      </c>
      <c r="E49" s="94" t="s">
        <v>1051</v>
      </c>
      <c r="F49" s="11" t="s">
        <v>9</v>
      </c>
      <c r="G49" s="12">
        <v>3</v>
      </c>
      <c r="H49" s="81"/>
      <c r="I49" s="81"/>
      <c r="J49" s="81"/>
      <c r="K49" s="14" t="s">
        <v>962</v>
      </c>
    </row>
    <row r="50" spans="3:11" ht="42" x14ac:dyDescent="0.35">
      <c r="C50" s="6">
        <f t="shared" si="0"/>
        <v>45</v>
      </c>
      <c r="D50" s="80" t="s">
        <v>1049</v>
      </c>
      <c r="E50" s="94" t="s">
        <v>1050</v>
      </c>
      <c r="F50" s="11" t="s">
        <v>9</v>
      </c>
      <c r="G50" s="12">
        <v>3</v>
      </c>
      <c r="H50" s="81"/>
      <c r="I50" s="81"/>
      <c r="J50" s="81"/>
      <c r="K50" s="14" t="s">
        <v>962</v>
      </c>
    </row>
    <row r="51" spans="3:11" ht="42" x14ac:dyDescent="0.35">
      <c r="C51" s="6">
        <f t="shared" si="0"/>
        <v>46</v>
      </c>
      <c r="D51" s="80" t="s">
        <v>1049</v>
      </c>
      <c r="E51" s="94" t="s">
        <v>1052</v>
      </c>
      <c r="F51" s="11" t="s">
        <v>9</v>
      </c>
      <c r="G51" s="12">
        <v>3</v>
      </c>
      <c r="H51" s="81"/>
      <c r="I51" s="81"/>
      <c r="J51" s="81"/>
      <c r="K51" s="14" t="s">
        <v>962</v>
      </c>
    </row>
  </sheetData>
  <mergeCells count="1">
    <mergeCell ref="E2:K2"/>
  </mergeCells>
  <conditionalFormatting sqref="G6:G12">
    <cfRule type="colorScale" priority="25">
      <colorScale>
        <cfvo type="min"/>
        <cfvo type="percentile" val="50"/>
        <cfvo type="max"/>
        <color rgb="FFF8696B"/>
        <color rgb="FFFFEB84"/>
        <color rgb="FF63BE7B"/>
      </colorScale>
    </cfRule>
  </conditionalFormatting>
  <conditionalFormatting sqref="G13:G15">
    <cfRule type="colorScale" priority="24">
      <colorScale>
        <cfvo type="min"/>
        <cfvo type="percentile" val="50"/>
        <cfvo type="max"/>
        <color rgb="FFF8696B"/>
        <color rgb="FFFFEB84"/>
        <color rgb="FF63BE7B"/>
      </colorScale>
    </cfRule>
  </conditionalFormatting>
  <conditionalFormatting sqref="G14">
    <cfRule type="colorScale" priority="23">
      <colorScale>
        <cfvo type="min"/>
        <cfvo type="percentile" val="50"/>
        <cfvo type="max"/>
        <color rgb="FFF8696B"/>
        <color rgb="FFFFEB84"/>
        <color rgb="FF63BE7B"/>
      </colorScale>
    </cfRule>
  </conditionalFormatting>
  <conditionalFormatting sqref="G16">
    <cfRule type="colorScale" priority="22">
      <colorScale>
        <cfvo type="min"/>
        <cfvo type="percentile" val="50"/>
        <cfvo type="max"/>
        <color rgb="FFF8696B"/>
        <color rgb="FFFFEB84"/>
        <color rgb="FF63BE7B"/>
      </colorScale>
    </cfRule>
  </conditionalFormatting>
  <conditionalFormatting sqref="G17:G22">
    <cfRule type="colorScale" priority="21">
      <colorScale>
        <cfvo type="min"/>
        <cfvo type="percentile" val="50"/>
        <cfvo type="max"/>
        <color rgb="FFF8696B"/>
        <color rgb="FFFFEB84"/>
        <color rgb="FF63BE7B"/>
      </colorScale>
    </cfRule>
  </conditionalFormatting>
  <conditionalFormatting sqref="G23:G27">
    <cfRule type="colorScale" priority="20">
      <colorScale>
        <cfvo type="min"/>
        <cfvo type="percentile" val="50"/>
        <cfvo type="max"/>
        <color rgb="FFF8696B"/>
        <color rgb="FFFFEB84"/>
        <color rgb="FF63BE7B"/>
      </colorScale>
    </cfRule>
  </conditionalFormatting>
  <conditionalFormatting sqref="G28:G33">
    <cfRule type="colorScale" priority="19">
      <colorScale>
        <cfvo type="min"/>
        <cfvo type="percentile" val="50"/>
        <cfvo type="max"/>
        <color rgb="FFF8696B"/>
        <color rgb="FFFFEB84"/>
        <color rgb="FF63BE7B"/>
      </colorScale>
    </cfRule>
  </conditionalFormatting>
  <conditionalFormatting sqref="G34:G36">
    <cfRule type="colorScale" priority="18">
      <colorScale>
        <cfvo type="min"/>
        <cfvo type="percentile" val="50"/>
        <cfvo type="max"/>
        <color rgb="FFF8696B"/>
        <color rgb="FFFFEB84"/>
        <color rgb="FF63BE7B"/>
      </colorScale>
    </cfRule>
  </conditionalFormatting>
  <conditionalFormatting sqref="G37:G38">
    <cfRule type="colorScale" priority="16">
      <colorScale>
        <cfvo type="min"/>
        <cfvo type="percentile" val="50"/>
        <cfvo type="max"/>
        <color rgb="FFF8696B"/>
        <color rgb="FFFFEB84"/>
        <color rgb="FF63BE7B"/>
      </colorScale>
    </cfRule>
    <cfRule type="colorScale" priority="17">
      <colorScale>
        <cfvo type="min"/>
        <cfvo type="percentile" val="50"/>
        <cfvo type="max"/>
        <color rgb="FFF8696B"/>
        <color rgb="FFFFEB84"/>
        <color rgb="FF63BE7B"/>
      </colorScale>
    </cfRule>
  </conditionalFormatting>
  <conditionalFormatting sqref="G39">
    <cfRule type="colorScale" priority="14">
      <colorScale>
        <cfvo type="min"/>
        <cfvo type="percentile" val="50"/>
        <cfvo type="max"/>
        <color rgb="FFF8696B"/>
        <color rgb="FFFFEB84"/>
        <color rgb="FF63BE7B"/>
      </colorScale>
    </cfRule>
    <cfRule type="colorScale" priority="15">
      <colorScale>
        <cfvo type="min"/>
        <cfvo type="percentile" val="50"/>
        <cfvo type="max"/>
        <color rgb="FFF8696B"/>
        <color rgb="FFFFEB84"/>
        <color rgb="FF63BE7B"/>
      </colorScale>
    </cfRule>
  </conditionalFormatting>
  <conditionalFormatting sqref="G40:G43">
    <cfRule type="colorScale" priority="12">
      <colorScale>
        <cfvo type="min"/>
        <cfvo type="percentile" val="50"/>
        <cfvo type="max"/>
        <color rgb="FFF8696B"/>
        <color rgb="FFFFEB84"/>
        <color rgb="FF63BE7B"/>
      </colorScale>
    </cfRule>
    <cfRule type="colorScale" priority="13">
      <colorScale>
        <cfvo type="min"/>
        <cfvo type="percentile" val="50"/>
        <cfvo type="max"/>
        <color rgb="FFF8696B"/>
        <color rgb="FFFFEB84"/>
        <color rgb="FF63BE7B"/>
      </colorScale>
    </cfRule>
  </conditionalFormatting>
  <conditionalFormatting sqref="G44:G47">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F8696B"/>
        <color rgb="FFFFEB84"/>
        <color rgb="FF63BE7B"/>
      </colorScale>
    </cfRule>
  </conditionalFormatting>
  <conditionalFormatting sqref="G48">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G49">
    <cfRule type="colorScale" priority="5">
      <colorScale>
        <cfvo type="min"/>
        <cfvo type="percentile" val="50"/>
        <cfvo type="max"/>
        <color rgb="FFF8696B"/>
        <color rgb="FFFFEB84"/>
        <color rgb="FF63BE7B"/>
      </colorScale>
    </cfRule>
  </conditionalFormatting>
  <conditionalFormatting sqref="G50">
    <cfRule type="colorScale" priority="4">
      <colorScale>
        <cfvo type="min"/>
        <cfvo type="percentile" val="50"/>
        <cfvo type="max"/>
        <color rgb="FFF8696B"/>
        <color rgb="FFFFEB84"/>
        <color rgb="FF63BE7B"/>
      </colorScale>
    </cfRule>
  </conditionalFormatting>
  <conditionalFormatting sqref="G50:G51">
    <cfRule type="colorScale" priority="2">
      <colorScale>
        <cfvo type="min"/>
        <cfvo type="percentile" val="50"/>
        <cfvo type="max"/>
        <color rgb="FFF8696B"/>
        <color rgb="FFFFEB84"/>
        <color rgb="FF63BE7B"/>
      </colorScale>
    </cfRule>
  </conditionalFormatting>
  <conditionalFormatting sqref="G51">
    <cfRule type="colorScale" priority="3">
      <colorScale>
        <cfvo type="min"/>
        <cfvo type="percentile" val="50"/>
        <cfvo type="max"/>
        <color rgb="FFF8696B"/>
        <color rgb="FFFFEB84"/>
        <color rgb="FF63BE7B"/>
      </colorScale>
    </cfRule>
  </conditionalFormatting>
  <conditionalFormatting sqref="G6:G51">
    <cfRule type="colorScale" priority="1">
      <colorScale>
        <cfvo type="min"/>
        <cfvo type="percentile" val="50"/>
        <cfvo type="max"/>
        <color rgb="FFF8696B"/>
        <color rgb="FFFFEB84"/>
        <color rgb="FF63BE7B"/>
      </colorScale>
    </cfRule>
  </conditionalFormatting>
  <hyperlinks>
    <hyperlink ref="D2" location="PAINEL!A1" display="&lt;&lt; VOLTAR AO PAINEL DE CONTROLE" xr:uid="{3A5CF6F7-DD68-4CAB-8CF8-7105456379C5}"/>
  </hyperlinks>
  <pageMargins left="0.511811024" right="0.511811024" top="0.78740157499999996" bottom="0.78740157499999996" header="0.31496062000000002" footer="0.31496062000000002"/>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43F2-EAE0-44EA-95C6-25D76196973C}">
  <sheetPr codeName="Planilha2">
    <tabColor theme="0" tint="-0.499984740745262"/>
  </sheetPr>
  <dimension ref="B1:AL45"/>
  <sheetViews>
    <sheetView showGridLines="0" topLeftCell="A29" zoomScale="80" zoomScaleNormal="80" workbookViewId="0">
      <selection activeCell="B2" sqref="B2"/>
    </sheetView>
  </sheetViews>
  <sheetFormatPr defaultColWidth="9.1796875" defaultRowHeight="14.5" x14ac:dyDescent="0.35"/>
  <cols>
    <col min="1" max="1" width="1" customWidth="1"/>
    <col min="2" max="3" width="18.81640625" customWidth="1"/>
    <col min="4" max="8" width="9.453125" customWidth="1"/>
    <col min="9" max="15" width="11" customWidth="1"/>
    <col min="16" max="16" width="10.54296875" customWidth="1"/>
    <col min="17" max="30" width="10.54296875" style="36" customWidth="1"/>
    <col min="31" max="31" width="3.54296875" style="36" customWidth="1"/>
    <col min="32" max="32" width="13.54296875" style="36" customWidth="1"/>
    <col min="33" max="33" width="25.81640625" style="36" customWidth="1"/>
    <col min="34" max="35" width="13.54296875" style="36" customWidth="1"/>
    <col min="36" max="38" width="9.1796875" style="36"/>
  </cols>
  <sheetData>
    <row r="1" spans="2:35" ht="5.15" customHeight="1" x14ac:dyDescent="0.35"/>
    <row r="2" spans="2:35" ht="48.65" customHeight="1" x14ac:dyDescent="0.35">
      <c r="B2" s="95" t="s">
        <v>147</v>
      </c>
      <c r="C2" s="400" t="s">
        <v>104</v>
      </c>
      <c r="D2" s="401"/>
      <c r="E2" s="401"/>
      <c r="F2" s="401"/>
      <c r="G2" s="401"/>
      <c r="H2" s="401"/>
      <c r="I2" s="401"/>
      <c r="J2" s="401"/>
      <c r="K2" s="401"/>
      <c r="L2" s="401"/>
      <c r="M2" s="401"/>
      <c r="N2" s="401"/>
      <c r="O2" s="401"/>
      <c r="P2" s="401"/>
    </row>
    <row r="3" spans="2:35" x14ac:dyDescent="0.35">
      <c r="D3" s="36"/>
      <c r="E3" s="36"/>
      <c r="F3" s="36"/>
      <c r="G3" s="36"/>
      <c r="H3" s="36"/>
      <c r="I3" s="36"/>
      <c r="J3" s="36"/>
      <c r="K3" s="36"/>
      <c r="L3" s="36"/>
      <c r="M3" s="36"/>
      <c r="N3" s="36"/>
      <c r="O3" s="36"/>
      <c r="P3" s="36"/>
    </row>
    <row r="4" spans="2:35" ht="33.75" customHeight="1" x14ac:dyDescent="0.35">
      <c r="B4" s="63" t="s">
        <v>79</v>
      </c>
      <c r="C4" s="70" t="s">
        <v>101</v>
      </c>
      <c r="D4" s="60"/>
      <c r="E4" s="60"/>
      <c r="F4" s="60"/>
      <c r="G4" s="60"/>
      <c r="H4" s="60"/>
      <c r="I4" s="60"/>
      <c r="J4" s="60"/>
      <c r="K4" s="60"/>
      <c r="L4" s="60"/>
      <c r="M4" s="60"/>
      <c r="N4" s="60"/>
      <c r="O4" s="60"/>
      <c r="P4" s="36"/>
    </row>
    <row r="5" spans="2:35" ht="33.75" customHeight="1" x14ac:dyDescent="0.35">
      <c r="B5" s="63" t="s">
        <v>80</v>
      </c>
      <c r="C5" s="71" t="s">
        <v>1060</v>
      </c>
      <c r="D5" s="60"/>
      <c r="E5" s="60"/>
      <c r="F5" s="60"/>
      <c r="G5" s="60"/>
      <c r="H5" s="60"/>
      <c r="I5" s="60"/>
      <c r="J5" s="60"/>
      <c r="K5" s="60"/>
      <c r="L5" s="60"/>
      <c r="M5" s="60"/>
      <c r="N5" s="60"/>
      <c r="O5" s="60"/>
      <c r="P5" s="36"/>
    </row>
    <row r="6" spans="2:35" ht="33.75" customHeight="1" x14ac:dyDescent="0.35">
      <c r="B6" s="63" t="s">
        <v>81</v>
      </c>
      <c r="C6" s="72">
        <v>45951</v>
      </c>
      <c r="D6" s="60"/>
      <c r="E6" s="60"/>
      <c r="F6" s="60"/>
      <c r="G6" s="60"/>
      <c r="H6" s="60"/>
      <c r="I6" s="60"/>
      <c r="J6" s="60"/>
      <c r="K6" s="60"/>
      <c r="L6" s="60"/>
      <c r="M6" s="60"/>
      <c r="N6" s="60"/>
      <c r="O6" s="60"/>
      <c r="P6" s="36"/>
    </row>
    <row r="7" spans="2:35" ht="33.75" customHeight="1" x14ac:dyDescent="0.35">
      <c r="B7" s="63" t="s">
        <v>82</v>
      </c>
      <c r="C7" s="69"/>
      <c r="D7" s="60"/>
      <c r="E7" s="60"/>
      <c r="F7" s="60"/>
      <c r="G7" s="60"/>
      <c r="H7" s="60"/>
      <c r="I7" s="60"/>
      <c r="J7" s="60"/>
      <c r="K7" s="60"/>
      <c r="L7" s="60"/>
      <c r="M7" s="60"/>
      <c r="N7" s="60"/>
      <c r="O7" s="60"/>
      <c r="P7" s="36"/>
    </row>
    <row r="8" spans="2:35" x14ac:dyDescent="0.35">
      <c r="B8" s="37"/>
      <c r="C8" s="37"/>
      <c r="D8" s="61">
        <v>1</v>
      </c>
      <c r="E8" s="61">
        <f>IF(COUNT(E11)&lt;&gt;0,D8+1,D8)</f>
        <v>2</v>
      </c>
      <c r="F8" s="61">
        <f t="shared" ref="F8:O8" si="0">IF(COUNT(F11)&lt;&gt;0,E8+1,E8)</f>
        <v>3</v>
      </c>
      <c r="G8" s="61">
        <f t="shared" si="0"/>
        <v>4</v>
      </c>
      <c r="H8" s="61">
        <f t="shared" si="0"/>
        <v>4</v>
      </c>
      <c r="I8" s="61">
        <f t="shared" si="0"/>
        <v>4</v>
      </c>
      <c r="J8" s="61">
        <f t="shared" si="0"/>
        <v>4</v>
      </c>
      <c r="K8" s="61">
        <f t="shared" si="0"/>
        <v>4</v>
      </c>
      <c r="L8" s="61">
        <f t="shared" si="0"/>
        <v>4</v>
      </c>
      <c r="M8" s="61">
        <f t="shared" si="0"/>
        <v>4</v>
      </c>
      <c r="N8" s="61">
        <f t="shared" si="0"/>
        <v>4</v>
      </c>
      <c r="O8" s="61">
        <f t="shared" si="0"/>
        <v>4</v>
      </c>
      <c r="P8" s="62"/>
      <c r="AF8" s="39"/>
      <c r="AG8" s="39">
        <f>MAX($D8:$O8)</f>
        <v>4</v>
      </c>
      <c r="AH8" s="39"/>
      <c r="AI8" s="39"/>
    </row>
    <row r="9" spans="2:35" x14ac:dyDescent="0.35">
      <c r="B9" s="63">
        <v>2025</v>
      </c>
      <c r="C9" s="63" t="s">
        <v>83</v>
      </c>
      <c r="D9" s="77">
        <v>45962</v>
      </c>
      <c r="E9" s="64">
        <f t="shared" ref="E9:O9" si="1">DATE(YEAR(D9),MONTH(D9)+1,DAY(D9))</f>
        <v>45992</v>
      </c>
      <c r="F9" s="64">
        <f t="shared" si="1"/>
        <v>46023</v>
      </c>
      <c r="G9" s="64">
        <f t="shared" si="1"/>
        <v>46054</v>
      </c>
      <c r="H9" s="64">
        <f t="shared" si="1"/>
        <v>46082</v>
      </c>
      <c r="I9" s="64">
        <f t="shared" si="1"/>
        <v>46113</v>
      </c>
      <c r="J9" s="64">
        <f t="shared" si="1"/>
        <v>46143</v>
      </c>
      <c r="K9" s="64">
        <f t="shared" si="1"/>
        <v>46174</v>
      </c>
      <c r="L9" s="64">
        <f t="shared" si="1"/>
        <v>46204</v>
      </c>
      <c r="M9" s="64">
        <f t="shared" si="1"/>
        <v>46235</v>
      </c>
      <c r="N9" s="64">
        <f t="shared" si="1"/>
        <v>46266</v>
      </c>
      <c r="O9" s="64">
        <f t="shared" si="1"/>
        <v>46296</v>
      </c>
      <c r="P9" s="64" t="s">
        <v>48</v>
      </c>
      <c r="Q9" s="40"/>
      <c r="R9" s="40"/>
      <c r="S9" s="40"/>
      <c r="T9" s="40"/>
      <c r="U9" s="40"/>
      <c r="V9" s="40"/>
      <c r="W9" s="40"/>
      <c r="X9" s="40"/>
      <c r="Y9" s="40"/>
      <c r="Z9" s="40"/>
      <c r="AA9" s="40"/>
      <c r="AB9" s="40"/>
      <c r="AC9" s="40"/>
      <c r="AD9" s="40"/>
      <c r="AF9" s="41" t="s">
        <v>84</v>
      </c>
      <c r="AG9" s="42">
        <f>HLOOKUP(AG$8,$D$8:$P$14,2,0)</f>
        <v>46054</v>
      </c>
      <c r="AH9" s="42" t="s">
        <v>85</v>
      </c>
      <c r="AI9" s="43" t="s">
        <v>86</v>
      </c>
    </row>
    <row r="10" spans="2:35" ht="17.149999999999999" customHeight="1" x14ac:dyDescent="0.35">
      <c r="B10" s="65" t="s">
        <v>87</v>
      </c>
      <c r="C10" s="74">
        <f>AVERAGE(D10:O10)</f>
        <v>22333.333333333332</v>
      </c>
      <c r="D10" s="66">
        <v>15000</v>
      </c>
      <c r="E10" s="66">
        <v>18000</v>
      </c>
      <c r="F10" s="66">
        <f>E10+1000</f>
        <v>19000</v>
      </c>
      <c r="G10" s="66">
        <f t="shared" ref="G10:O10" si="2">F10+1000</f>
        <v>20000</v>
      </c>
      <c r="H10" s="66">
        <f t="shared" si="2"/>
        <v>21000</v>
      </c>
      <c r="I10" s="66">
        <f t="shared" si="2"/>
        <v>22000</v>
      </c>
      <c r="J10" s="66">
        <f t="shared" si="2"/>
        <v>23000</v>
      </c>
      <c r="K10" s="66">
        <f t="shared" si="2"/>
        <v>24000</v>
      </c>
      <c r="L10" s="66">
        <f t="shared" si="2"/>
        <v>25000</v>
      </c>
      <c r="M10" s="66">
        <f t="shared" si="2"/>
        <v>26000</v>
      </c>
      <c r="N10" s="66">
        <f t="shared" si="2"/>
        <v>27000</v>
      </c>
      <c r="O10" s="66">
        <f t="shared" si="2"/>
        <v>28000</v>
      </c>
      <c r="P10" s="78">
        <f>SUM(D10:O10)</f>
        <v>268000</v>
      </c>
      <c r="Q10" s="44"/>
      <c r="R10" s="44"/>
      <c r="S10" s="44"/>
      <c r="T10" s="44"/>
      <c r="U10" s="44"/>
      <c r="V10" s="44"/>
      <c r="W10" s="44"/>
      <c r="X10" s="44"/>
      <c r="Y10" s="44"/>
      <c r="Z10" s="44"/>
      <c r="AA10" s="44"/>
      <c r="AB10" s="44"/>
      <c r="AC10" s="44"/>
      <c r="AD10" s="44"/>
      <c r="AF10" s="39" t="str">
        <f>"Meta "&amp;PROPER(TEXT(AG9,"mmm"))</f>
        <v>Meta Fev</v>
      </c>
      <c r="AG10" s="45">
        <f>HLOOKUP(AG$8,$D$8:$P$14,3,0)</f>
        <v>20000</v>
      </c>
      <c r="AH10" s="43" t="s">
        <v>88</v>
      </c>
      <c r="AI10" s="45">
        <f>P10</f>
        <v>268000</v>
      </c>
    </row>
    <row r="11" spans="2:35" ht="17.149999999999999" customHeight="1" x14ac:dyDescent="0.35">
      <c r="B11" s="65" t="s">
        <v>89</v>
      </c>
      <c r="C11" s="74">
        <f>AVERAGE(D11:O11)</f>
        <v>18249.75</v>
      </c>
      <c r="D11" s="66">
        <v>16000</v>
      </c>
      <c r="E11" s="66">
        <v>17000</v>
      </c>
      <c r="F11" s="66">
        <v>20000</v>
      </c>
      <c r="G11" s="66">
        <v>19999</v>
      </c>
      <c r="H11" s="66"/>
      <c r="I11" s="66"/>
      <c r="J11" s="66"/>
      <c r="K11" s="66"/>
      <c r="L11" s="66"/>
      <c r="M11" s="66"/>
      <c r="N11" s="66"/>
      <c r="O11" s="66"/>
      <c r="P11" s="78">
        <f>SUM(D11:O11)</f>
        <v>72999</v>
      </c>
      <c r="Q11" s="44"/>
      <c r="R11" s="44"/>
      <c r="S11" s="44"/>
      <c r="T11" s="44"/>
      <c r="U11" s="44"/>
      <c r="V11" s="44"/>
      <c r="W11" s="44"/>
      <c r="X11" s="44"/>
      <c r="Y11" s="44"/>
      <c r="Z11" s="44"/>
      <c r="AA11" s="44"/>
      <c r="AB11" s="44"/>
      <c r="AC11" s="44"/>
      <c r="AD11" s="44"/>
      <c r="AF11" s="39" t="str">
        <f>"Real "&amp;PROPER(TEXT(AG9,"mmm"))</f>
        <v>Real Fev</v>
      </c>
      <c r="AG11" s="45">
        <f>HLOOKUP(AG$8,$D$8:$P$14,4,0)</f>
        <v>19999</v>
      </c>
      <c r="AH11" s="45" t="s">
        <v>90</v>
      </c>
      <c r="AI11" s="45">
        <f>P11</f>
        <v>72999</v>
      </c>
    </row>
    <row r="12" spans="2:35" hidden="1" x14ac:dyDescent="0.35">
      <c r="B12" s="67" t="s">
        <v>91</v>
      </c>
      <c r="C12" s="75" t="s">
        <v>92</v>
      </c>
      <c r="D12" s="66" t="str">
        <f t="shared" ref="D12:O12" si="3">IF(D11&lt;D10,D11,"")</f>
        <v/>
      </c>
      <c r="E12" s="66">
        <f t="shared" si="3"/>
        <v>17000</v>
      </c>
      <c r="F12" s="66" t="str">
        <f t="shared" si="3"/>
        <v/>
      </c>
      <c r="G12" s="66">
        <f t="shared" si="3"/>
        <v>19999</v>
      </c>
      <c r="H12" s="66">
        <f t="shared" si="3"/>
        <v>0</v>
      </c>
      <c r="I12" s="66">
        <f t="shared" si="3"/>
        <v>0</v>
      </c>
      <c r="J12" s="66">
        <f t="shared" si="3"/>
        <v>0</v>
      </c>
      <c r="K12" s="66">
        <f t="shared" si="3"/>
        <v>0</v>
      </c>
      <c r="L12" s="66">
        <f t="shared" si="3"/>
        <v>0</v>
      </c>
      <c r="M12" s="66">
        <f t="shared" si="3"/>
        <v>0</v>
      </c>
      <c r="N12" s="66">
        <f t="shared" si="3"/>
        <v>0</v>
      </c>
      <c r="O12" s="66">
        <f t="shared" si="3"/>
        <v>0</v>
      </c>
      <c r="P12" s="66"/>
      <c r="AF12" s="39" t="s">
        <v>91</v>
      </c>
      <c r="AG12" s="45"/>
      <c r="AH12" s="45"/>
      <c r="AI12" s="45">
        <f>P12</f>
        <v>0</v>
      </c>
    </row>
    <row r="13" spans="2:35" hidden="1" x14ac:dyDescent="0.35">
      <c r="B13" s="67" t="s">
        <v>93</v>
      </c>
      <c r="C13" s="75"/>
      <c r="D13" s="66"/>
      <c r="E13" s="66"/>
      <c r="F13" s="66"/>
      <c r="G13" s="66"/>
      <c r="H13" s="66"/>
      <c r="I13" s="66"/>
      <c r="J13" s="66"/>
      <c r="K13" s="66"/>
      <c r="L13" s="66"/>
      <c r="M13" s="66"/>
      <c r="N13" s="66"/>
      <c r="O13" s="66"/>
      <c r="P13" s="66"/>
      <c r="AF13" s="39" t="s">
        <v>93</v>
      </c>
      <c r="AG13" s="45"/>
      <c r="AH13" s="45"/>
      <c r="AI13" s="45">
        <f>P13</f>
        <v>0</v>
      </c>
    </row>
    <row r="14" spans="2:35" ht="17.149999999999999" customHeight="1" x14ac:dyDescent="0.55000000000000004">
      <c r="B14" s="65" t="s">
        <v>94</v>
      </c>
      <c r="C14" s="76">
        <f t="shared" ref="C14:P14" si="4">C11-C10</f>
        <v>-4083.5833333333321</v>
      </c>
      <c r="D14" s="66">
        <f t="shared" si="4"/>
        <v>1000</v>
      </c>
      <c r="E14" s="66">
        <f t="shared" si="4"/>
        <v>-1000</v>
      </c>
      <c r="F14" s="66">
        <f t="shared" si="4"/>
        <v>1000</v>
      </c>
      <c r="G14" s="66">
        <f t="shared" si="4"/>
        <v>-1</v>
      </c>
      <c r="H14" s="66">
        <f t="shared" si="4"/>
        <v>-21000</v>
      </c>
      <c r="I14" s="66">
        <f t="shared" si="4"/>
        <v>-22000</v>
      </c>
      <c r="J14" s="66">
        <f t="shared" si="4"/>
        <v>-23000</v>
      </c>
      <c r="K14" s="66">
        <f t="shared" si="4"/>
        <v>-24000</v>
      </c>
      <c r="L14" s="66">
        <f t="shared" si="4"/>
        <v>-25000</v>
      </c>
      <c r="M14" s="66">
        <f t="shared" si="4"/>
        <v>-26000</v>
      </c>
      <c r="N14" s="66">
        <f t="shared" si="4"/>
        <v>-27000</v>
      </c>
      <c r="O14" s="66">
        <f t="shared" si="4"/>
        <v>-28000</v>
      </c>
      <c r="P14" s="66">
        <f t="shared" si="4"/>
        <v>-195001</v>
      </c>
      <c r="Q14" s="46"/>
      <c r="R14" s="46"/>
      <c r="S14" s="46"/>
      <c r="T14" s="46"/>
      <c r="U14" s="46"/>
      <c r="V14" s="46"/>
      <c r="W14" s="46"/>
      <c r="X14" s="46"/>
      <c r="Y14" s="46"/>
      <c r="Z14" s="46"/>
      <c r="AA14" s="46"/>
      <c r="AB14" s="46"/>
      <c r="AC14" s="46"/>
      <c r="AD14" s="46"/>
      <c r="AF14" s="39" t="s">
        <v>95</v>
      </c>
      <c r="AG14" s="47">
        <f>HLOOKUP(AG$8,$D$8:$P$14,7,0)</f>
        <v>-1</v>
      </c>
      <c r="AH14" s="45"/>
      <c r="AI14" s="45">
        <f>P14</f>
        <v>-195001</v>
      </c>
    </row>
    <row r="15" spans="2:35" x14ac:dyDescent="0.35">
      <c r="AF15" s="39"/>
      <c r="AG15" s="39"/>
      <c r="AH15" s="39"/>
      <c r="AI15" s="39"/>
    </row>
    <row r="16" spans="2:35" x14ac:dyDescent="0.35">
      <c r="B16" s="73"/>
      <c r="C16" s="73"/>
      <c r="D16" s="73"/>
      <c r="E16" s="73"/>
      <c r="F16" s="73"/>
      <c r="G16" s="73"/>
      <c r="H16" s="73"/>
      <c r="I16" s="73"/>
      <c r="J16" s="73"/>
      <c r="K16" s="73"/>
      <c r="L16" s="73"/>
      <c r="M16" s="73"/>
      <c r="N16" s="73"/>
      <c r="O16" s="73"/>
      <c r="P16" s="73"/>
      <c r="AF16" s="39" t="s">
        <v>97</v>
      </c>
      <c r="AG16" s="39">
        <f>IF(AG14&lt;0,1,0)</f>
        <v>1</v>
      </c>
      <c r="AH16" s="39"/>
      <c r="AI16" s="39"/>
    </row>
    <row r="18" spans="2:35" ht="35.25" customHeight="1" x14ac:dyDescent="0.35">
      <c r="B18" s="63" t="s">
        <v>79</v>
      </c>
      <c r="C18" s="70" t="s">
        <v>102</v>
      </c>
      <c r="D18" s="8"/>
      <c r="E18" s="8"/>
      <c r="F18" s="8"/>
      <c r="G18" s="8"/>
      <c r="H18" s="8"/>
      <c r="I18" s="8"/>
      <c r="J18" s="8"/>
      <c r="K18" s="8"/>
      <c r="L18" s="8"/>
      <c r="M18" s="8"/>
      <c r="N18" s="8"/>
      <c r="O18" s="8"/>
    </row>
    <row r="19" spans="2:35" ht="35.25" customHeight="1" x14ac:dyDescent="0.35">
      <c r="B19" s="63" t="s">
        <v>80</v>
      </c>
      <c r="C19" s="71" t="s">
        <v>1060</v>
      </c>
      <c r="D19" s="8"/>
      <c r="E19" s="8"/>
      <c r="F19" s="8"/>
      <c r="G19" s="8"/>
      <c r="H19" s="8"/>
      <c r="I19" s="8"/>
      <c r="J19" s="8"/>
      <c r="K19" s="8"/>
      <c r="L19" s="8"/>
      <c r="M19" s="8"/>
      <c r="N19" s="8"/>
      <c r="O19" s="8"/>
    </row>
    <row r="20" spans="2:35" ht="35.25" customHeight="1" x14ac:dyDescent="0.35">
      <c r="B20" s="63" t="s">
        <v>81</v>
      </c>
      <c r="C20" s="72">
        <v>45951</v>
      </c>
      <c r="D20" s="8"/>
      <c r="E20" s="8"/>
      <c r="F20" s="8"/>
      <c r="G20" s="8"/>
      <c r="H20" s="8"/>
      <c r="I20" s="8"/>
      <c r="J20" s="8"/>
      <c r="K20" s="8"/>
      <c r="L20" s="8"/>
      <c r="M20" s="8"/>
      <c r="N20" s="8"/>
      <c r="O20" s="8"/>
    </row>
    <row r="21" spans="2:35" ht="35.25" customHeight="1" x14ac:dyDescent="0.35">
      <c r="B21" s="63" t="s">
        <v>82</v>
      </c>
      <c r="C21" s="69"/>
      <c r="D21" s="8"/>
      <c r="E21" s="8"/>
      <c r="F21" s="8"/>
      <c r="G21" s="8"/>
      <c r="H21" s="8"/>
      <c r="I21" s="8"/>
      <c r="J21" s="8"/>
      <c r="K21" s="8"/>
      <c r="L21" s="8"/>
      <c r="M21" s="8"/>
      <c r="N21" s="8"/>
      <c r="O21" s="8"/>
    </row>
    <row r="22" spans="2:35" x14ac:dyDescent="0.35">
      <c r="B22" s="8"/>
      <c r="C22" s="8"/>
      <c r="D22" s="37">
        <v>1</v>
      </c>
      <c r="E22" s="37">
        <f>IF(COUNT(E25)&lt;&gt;0,D22+1,D22)</f>
        <v>1</v>
      </c>
      <c r="F22" s="37">
        <f t="shared" ref="F22:O22" si="5">IF(COUNT(F25)&lt;&gt;0,E22+1,E22)</f>
        <v>1</v>
      </c>
      <c r="G22" s="37">
        <f t="shared" si="5"/>
        <v>1</v>
      </c>
      <c r="H22" s="37">
        <f t="shared" si="5"/>
        <v>1</v>
      </c>
      <c r="I22" s="37">
        <f t="shared" si="5"/>
        <v>1</v>
      </c>
      <c r="J22" s="37">
        <f t="shared" si="5"/>
        <v>1</v>
      </c>
      <c r="K22" s="37">
        <f t="shared" si="5"/>
        <v>1</v>
      </c>
      <c r="L22" s="37">
        <f t="shared" si="5"/>
        <v>1</v>
      </c>
      <c r="M22" s="37">
        <f t="shared" si="5"/>
        <v>1</v>
      </c>
      <c r="N22" s="37">
        <f t="shared" si="5"/>
        <v>1</v>
      </c>
      <c r="O22" s="37">
        <f t="shared" si="5"/>
        <v>1</v>
      </c>
      <c r="P22" s="38"/>
      <c r="AF22" s="39"/>
      <c r="AG22" s="39">
        <f>MAX($D22:$O22)</f>
        <v>1</v>
      </c>
      <c r="AH22" s="39"/>
      <c r="AI22" s="39"/>
    </row>
    <row r="23" spans="2:35" x14ac:dyDescent="0.35">
      <c r="B23" s="63">
        <v>2025</v>
      </c>
      <c r="C23" s="63" t="s">
        <v>83</v>
      </c>
      <c r="D23" s="77">
        <f>D9</f>
        <v>45962</v>
      </c>
      <c r="E23" s="64">
        <f t="shared" ref="E23:O23" si="6">DATE(YEAR(D23),MONTH(D23)+1,DAY(D23))</f>
        <v>45992</v>
      </c>
      <c r="F23" s="64">
        <f t="shared" si="6"/>
        <v>46023</v>
      </c>
      <c r="G23" s="64">
        <f t="shared" si="6"/>
        <v>46054</v>
      </c>
      <c r="H23" s="64">
        <f t="shared" si="6"/>
        <v>46082</v>
      </c>
      <c r="I23" s="64">
        <f t="shared" si="6"/>
        <v>46113</v>
      </c>
      <c r="J23" s="64">
        <f t="shared" si="6"/>
        <v>46143</v>
      </c>
      <c r="K23" s="64">
        <f t="shared" si="6"/>
        <v>46174</v>
      </c>
      <c r="L23" s="64">
        <f t="shared" si="6"/>
        <v>46204</v>
      </c>
      <c r="M23" s="64">
        <f t="shared" si="6"/>
        <v>46235</v>
      </c>
      <c r="N23" s="64">
        <f t="shared" si="6"/>
        <v>46266</v>
      </c>
      <c r="O23" s="64">
        <f t="shared" si="6"/>
        <v>46296</v>
      </c>
      <c r="P23" s="64" t="s">
        <v>48</v>
      </c>
      <c r="AF23" s="41" t="s">
        <v>84</v>
      </c>
      <c r="AG23" s="42">
        <f>HLOOKUP(AG$22,$D$22:$P$28,2,0)</f>
        <v>45962</v>
      </c>
      <c r="AH23" s="42" t="s">
        <v>85</v>
      </c>
      <c r="AI23" s="43" t="s">
        <v>86</v>
      </c>
    </row>
    <row r="24" spans="2:35" ht="18.649999999999999" customHeight="1" x14ac:dyDescent="0.35">
      <c r="B24" s="65" t="s">
        <v>87</v>
      </c>
      <c r="C24" s="74">
        <f>AVERAGE(D24:O24)</f>
        <v>17866.666666666668</v>
      </c>
      <c r="D24" s="66">
        <f>80%*D10</f>
        <v>12000</v>
      </c>
      <c r="E24" s="66">
        <f t="shared" ref="E24:O24" si="7">80%*E10</f>
        <v>14400</v>
      </c>
      <c r="F24" s="66">
        <f t="shared" si="7"/>
        <v>15200</v>
      </c>
      <c r="G24" s="66">
        <f t="shared" si="7"/>
        <v>16000</v>
      </c>
      <c r="H24" s="66">
        <f t="shared" si="7"/>
        <v>16800</v>
      </c>
      <c r="I24" s="66">
        <f t="shared" si="7"/>
        <v>17600</v>
      </c>
      <c r="J24" s="66">
        <f t="shared" si="7"/>
        <v>18400</v>
      </c>
      <c r="K24" s="66">
        <f t="shared" si="7"/>
        <v>19200</v>
      </c>
      <c r="L24" s="66">
        <f t="shared" si="7"/>
        <v>20000</v>
      </c>
      <c r="M24" s="66">
        <f t="shared" si="7"/>
        <v>20800</v>
      </c>
      <c r="N24" s="66">
        <f t="shared" si="7"/>
        <v>21600</v>
      </c>
      <c r="O24" s="66">
        <f t="shared" si="7"/>
        <v>22400</v>
      </c>
      <c r="P24" s="78">
        <f>SUM(D24:O24)</f>
        <v>214400</v>
      </c>
      <c r="Q24" s="48"/>
      <c r="R24" s="48"/>
      <c r="S24" s="48"/>
      <c r="T24" s="48"/>
      <c r="U24" s="48"/>
      <c r="V24" s="48"/>
      <c r="W24" s="48"/>
      <c r="X24" s="48"/>
      <c r="Y24" s="48"/>
      <c r="Z24" s="48"/>
      <c r="AA24" s="48"/>
      <c r="AB24" s="48"/>
      <c r="AC24" s="48"/>
      <c r="AD24" s="48"/>
      <c r="AF24" s="39" t="str">
        <f>"Meta "&amp;PROPER(TEXT(AG23,"mmm"))</f>
        <v>Meta Nov</v>
      </c>
      <c r="AG24" s="45">
        <f>HLOOKUP(AG$22,$D$22:$P$28,3,0)</f>
        <v>12000</v>
      </c>
      <c r="AH24" s="43" t="s">
        <v>88</v>
      </c>
      <c r="AI24" s="45">
        <f>P24</f>
        <v>214400</v>
      </c>
    </row>
    <row r="25" spans="2:35" ht="18.649999999999999" customHeight="1" x14ac:dyDescent="0.35">
      <c r="B25" s="65" t="s">
        <v>89</v>
      </c>
      <c r="C25" s="74" t="e">
        <f>AVERAGE(D25:O25)</f>
        <v>#DIV/0!</v>
      </c>
      <c r="D25" s="66"/>
      <c r="E25" s="66"/>
      <c r="F25" s="66"/>
      <c r="G25" s="66"/>
      <c r="H25" s="66"/>
      <c r="I25" s="66"/>
      <c r="J25" s="66"/>
      <c r="K25" s="66"/>
      <c r="L25" s="66"/>
      <c r="M25" s="66"/>
      <c r="N25" s="66"/>
      <c r="O25" s="66"/>
      <c r="P25" s="78">
        <f>SUM(D25:O25)</f>
        <v>0</v>
      </c>
      <c r="Q25" s="48"/>
      <c r="R25" s="48"/>
      <c r="S25" s="48"/>
      <c r="T25" s="48"/>
      <c r="U25" s="48"/>
      <c r="V25" s="48"/>
      <c r="W25" s="48"/>
      <c r="X25" s="48"/>
      <c r="Y25" s="48"/>
      <c r="Z25" s="48"/>
      <c r="AA25" s="48"/>
      <c r="AB25" s="48"/>
      <c r="AC25" s="48"/>
      <c r="AD25" s="48"/>
      <c r="AF25" s="39" t="str">
        <f>"Real "&amp;PROPER(TEXT(AG23,"mmm"))</f>
        <v>Real Nov</v>
      </c>
      <c r="AG25" s="45">
        <f>HLOOKUP(AG$22,$D$22:$P$28,4,0)</f>
        <v>0</v>
      </c>
      <c r="AH25" s="45" t="s">
        <v>90</v>
      </c>
      <c r="AI25" s="45">
        <f>P25</f>
        <v>0</v>
      </c>
    </row>
    <row r="26" spans="2:35" hidden="1" x14ac:dyDescent="0.35">
      <c r="B26" s="67" t="s">
        <v>91</v>
      </c>
      <c r="C26" s="75" t="s">
        <v>92</v>
      </c>
      <c r="D26" s="66">
        <f t="shared" ref="D26:N26" si="8">IF(D25&lt;D24,D25,"")</f>
        <v>0</v>
      </c>
      <c r="E26" s="66">
        <f t="shared" si="8"/>
        <v>0</v>
      </c>
      <c r="F26" s="66">
        <f t="shared" si="8"/>
        <v>0</v>
      </c>
      <c r="G26" s="66">
        <f t="shared" si="8"/>
        <v>0</v>
      </c>
      <c r="H26" s="66">
        <f t="shared" si="8"/>
        <v>0</v>
      </c>
      <c r="I26" s="66">
        <f t="shared" si="8"/>
        <v>0</v>
      </c>
      <c r="J26" s="66">
        <f t="shared" si="8"/>
        <v>0</v>
      </c>
      <c r="K26" s="66">
        <f t="shared" si="8"/>
        <v>0</v>
      </c>
      <c r="L26" s="66">
        <f t="shared" si="8"/>
        <v>0</v>
      </c>
      <c r="M26" s="66">
        <f t="shared" si="8"/>
        <v>0</v>
      </c>
      <c r="N26" s="66">
        <f t="shared" si="8"/>
        <v>0</v>
      </c>
      <c r="O26" s="66">
        <f>IF(O25&lt;O24,O25,"")</f>
        <v>0</v>
      </c>
      <c r="P26" s="66"/>
      <c r="Q26" s="48"/>
      <c r="R26" s="48"/>
      <c r="S26" s="48"/>
      <c r="T26" s="48"/>
      <c r="U26" s="48"/>
      <c r="V26" s="48"/>
      <c r="W26" s="48"/>
      <c r="X26" s="48"/>
      <c r="Y26" s="48"/>
      <c r="Z26" s="48"/>
      <c r="AA26" s="48"/>
      <c r="AB26" s="48"/>
      <c r="AC26" s="48"/>
      <c r="AD26" s="48"/>
      <c r="AF26" s="39" t="s">
        <v>91</v>
      </c>
      <c r="AG26" s="45"/>
      <c r="AH26" s="45"/>
      <c r="AI26" s="45">
        <f>P26</f>
        <v>0</v>
      </c>
    </row>
    <row r="27" spans="2:35" hidden="1" x14ac:dyDescent="0.35">
      <c r="B27" s="67" t="s">
        <v>93</v>
      </c>
      <c r="C27" s="75"/>
      <c r="D27" s="66"/>
      <c r="E27" s="66"/>
      <c r="F27" s="66"/>
      <c r="G27" s="66"/>
      <c r="H27" s="66"/>
      <c r="I27" s="66"/>
      <c r="J27" s="66"/>
      <c r="K27" s="66"/>
      <c r="L27" s="66"/>
      <c r="M27" s="66"/>
      <c r="N27" s="66"/>
      <c r="O27" s="66"/>
      <c r="P27" s="66"/>
      <c r="Q27" s="48"/>
      <c r="R27" s="48"/>
      <c r="S27" s="48"/>
      <c r="T27" s="48"/>
      <c r="U27" s="48"/>
      <c r="V27" s="48"/>
      <c r="W27" s="48"/>
      <c r="X27" s="48"/>
      <c r="Y27" s="48"/>
      <c r="Z27" s="48"/>
      <c r="AA27" s="48"/>
      <c r="AB27" s="48"/>
      <c r="AC27" s="48"/>
      <c r="AD27" s="48"/>
      <c r="AF27" s="39" t="s">
        <v>93</v>
      </c>
      <c r="AG27" s="45"/>
      <c r="AH27" s="45"/>
      <c r="AI27" s="45">
        <f>P27</f>
        <v>0</v>
      </c>
    </row>
    <row r="28" spans="2:35" ht="18.649999999999999" customHeight="1" x14ac:dyDescent="0.55000000000000004">
      <c r="B28" s="65" t="s">
        <v>94</v>
      </c>
      <c r="C28" s="76" t="e">
        <f t="shared" ref="C28:N28" si="9">C25-C24</f>
        <v>#DIV/0!</v>
      </c>
      <c r="D28" s="66">
        <f>D25-D24</f>
        <v>-12000</v>
      </c>
      <c r="E28" s="66">
        <f t="shared" si="9"/>
        <v>-14400</v>
      </c>
      <c r="F28" s="66">
        <f t="shared" si="9"/>
        <v>-15200</v>
      </c>
      <c r="G28" s="66">
        <f t="shared" si="9"/>
        <v>-16000</v>
      </c>
      <c r="H28" s="66">
        <f t="shared" si="9"/>
        <v>-16800</v>
      </c>
      <c r="I28" s="66">
        <f t="shared" si="9"/>
        <v>-17600</v>
      </c>
      <c r="J28" s="66">
        <f t="shared" si="9"/>
        <v>-18400</v>
      </c>
      <c r="K28" s="66">
        <f t="shared" si="9"/>
        <v>-19200</v>
      </c>
      <c r="L28" s="66">
        <f t="shared" si="9"/>
        <v>-20000</v>
      </c>
      <c r="M28" s="66">
        <f t="shared" si="9"/>
        <v>-20800</v>
      </c>
      <c r="N28" s="66">
        <f t="shared" si="9"/>
        <v>-21600</v>
      </c>
      <c r="O28" s="66">
        <f>O25-O24</f>
        <v>-22400</v>
      </c>
      <c r="P28" s="66">
        <f>P25-P24</f>
        <v>-214400</v>
      </c>
      <c r="Q28" s="49"/>
      <c r="R28" s="49"/>
      <c r="S28" s="49"/>
      <c r="T28" s="49"/>
      <c r="U28" s="49"/>
      <c r="V28" s="49"/>
      <c r="W28" s="49"/>
      <c r="X28" s="49"/>
      <c r="Y28" s="49"/>
      <c r="Z28" s="49"/>
      <c r="AA28" s="49"/>
      <c r="AB28" s="49"/>
      <c r="AC28" s="49"/>
      <c r="AD28" s="49"/>
      <c r="AF28" s="39" t="s">
        <v>95</v>
      </c>
      <c r="AG28" s="47">
        <f>HLOOKUP(AG$22,$D$22:$P$28,7,0)</f>
        <v>-12000</v>
      </c>
      <c r="AH28" s="45"/>
      <c r="AI28" s="45">
        <f>P28</f>
        <v>-214400</v>
      </c>
    </row>
    <row r="29" spans="2:35" x14ac:dyDescent="0.35">
      <c r="AF29" s="39"/>
      <c r="AG29" s="39"/>
      <c r="AH29" s="39"/>
      <c r="AI29" s="39"/>
    </row>
    <row r="30" spans="2:35" x14ac:dyDescent="0.35">
      <c r="B30" s="79"/>
      <c r="C30" s="79"/>
      <c r="D30" s="79"/>
      <c r="E30" s="79"/>
      <c r="F30" s="79"/>
      <c r="G30" s="79"/>
      <c r="H30" s="79"/>
      <c r="I30" s="79"/>
      <c r="J30" s="79"/>
      <c r="K30" s="79"/>
      <c r="L30" s="79"/>
      <c r="M30" s="79"/>
      <c r="N30" s="79"/>
      <c r="O30" s="79"/>
      <c r="P30" s="79"/>
      <c r="AF30" s="39" t="s">
        <v>97</v>
      </c>
      <c r="AG30" s="39">
        <f>IF(AG28&lt;0,1,0)</f>
        <v>1</v>
      </c>
      <c r="AH30" s="39"/>
      <c r="AI30" s="39"/>
    </row>
    <row r="32" spans="2:35" ht="35.25" customHeight="1" x14ac:dyDescent="0.35">
      <c r="B32" s="63" t="s">
        <v>79</v>
      </c>
      <c r="C32" s="68" t="s">
        <v>103</v>
      </c>
      <c r="D32" s="8"/>
      <c r="E32" s="8"/>
      <c r="F32" s="8"/>
      <c r="G32" s="8"/>
      <c r="H32" s="8"/>
      <c r="I32" s="8"/>
      <c r="J32" s="8"/>
      <c r="K32" s="8"/>
      <c r="L32" s="8"/>
      <c r="M32" s="8"/>
      <c r="N32" s="8"/>
      <c r="O32" s="8"/>
    </row>
    <row r="33" spans="2:35" ht="35.25" customHeight="1" x14ac:dyDescent="0.35">
      <c r="B33" s="63" t="s">
        <v>80</v>
      </c>
      <c r="C33" s="71" t="s">
        <v>1060</v>
      </c>
      <c r="D33" s="8"/>
      <c r="E33" s="8"/>
      <c r="F33" s="8"/>
      <c r="G33" s="8"/>
      <c r="H33" s="8"/>
      <c r="I33" s="8"/>
      <c r="J33" s="8"/>
      <c r="K33" s="8"/>
      <c r="L33" s="8"/>
      <c r="M33" s="8"/>
      <c r="N33" s="8"/>
      <c r="O33" s="8"/>
    </row>
    <row r="34" spans="2:35" ht="35.25" customHeight="1" x14ac:dyDescent="0.35">
      <c r="B34" s="63" t="s">
        <v>81</v>
      </c>
      <c r="C34" s="72">
        <v>45951</v>
      </c>
      <c r="D34" s="8"/>
      <c r="E34" s="8"/>
      <c r="F34" s="8"/>
      <c r="G34" s="8"/>
      <c r="H34" s="8"/>
      <c r="I34" s="8"/>
      <c r="J34" s="8"/>
      <c r="K34" s="8"/>
      <c r="L34" s="8"/>
      <c r="M34" s="8"/>
      <c r="N34" s="8"/>
      <c r="O34" s="8"/>
    </row>
    <row r="35" spans="2:35" ht="35.25" customHeight="1" x14ac:dyDescent="0.35">
      <c r="B35" s="63" t="s">
        <v>82</v>
      </c>
      <c r="C35" s="69"/>
      <c r="D35" s="8"/>
      <c r="E35" s="8"/>
      <c r="F35" s="8"/>
      <c r="G35" s="8"/>
      <c r="H35" s="8"/>
      <c r="I35" s="8"/>
      <c r="J35" s="8"/>
      <c r="K35" s="8"/>
      <c r="L35" s="8"/>
      <c r="M35" s="8"/>
      <c r="N35" s="8"/>
      <c r="O35" s="8"/>
    </row>
    <row r="36" spans="2:35" ht="15.75" customHeight="1" x14ac:dyDescent="0.35">
      <c r="B36" s="8"/>
      <c r="C36" s="8"/>
      <c r="D36" s="37">
        <v>1</v>
      </c>
      <c r="E36" s="37">
        <f>IF(COUNT(E39)&lt;&gt;0,D36+1,D36)</f>
        <v>1</v>
      </c>
      <c r="F36" s="37">
        <f t="shared" ref="F36:O36" si="10">IF(COUNT(F39)&lt;&gt;0,E36+1,E36)</f>
        <v>1</v>
      </c>
      <c r="G36" s="37">
        <f t="shared" si="10"/>
        <v>1</v>
      </c>
      <c r="H36" s="37">
        <f t="shared" si="10"/>
        <v>1</v>
      </c>
      <c r="I36" s="37">
        <f t="shared" si="10"/>
        <v>1</v>
      </c>
      <c r="J36" s="37">
        <f t="shared" si="10"/>
        <v>1</v>
      </c>
      <c r="K36" s="37">
        <f t="shared" si="10"/>
        <v>1</v>
      </c>
      <c r="L36" s="37">
        <f t="shared" si="10"/>
        <v>1</v>
      </c>
      <c r="M36" s="37">
        <f t="shared" si="10"/>
        <v>1</v>
      </c>
      <c r="N36" s="37">
        <f t="shared" si="10"/>
        <v>1</v>
      </c>
      <c r="O36" s="37">
        <f t="shared" si="10"/>
        <v>1</v>
      </c>
      <c r="P36" s="38"/>
      <c r="AF36" s="39"/>
      <c r="AG36" s="39">
        <f>MAX($D36:$O36)</f>
        <v>1</v>
      </c>
      <c r="AH36" s="39"/>
      <c r="AI36" s="39"/>
    </row>
    <row r="37" spans="2:35" x14ac:dyDescent="0.35">
      <c r="B37" s="63">
        <v>2025</v>
      </c>
      <c r="C37" s="63" t="s">
        <v>83</v>
      </c>
      <c r="D37" s="77">
        <f>D9</f>
        <v>45962</v>
      </c>
      <c r="E37" s="64">
        <f t="shared" ref="E37:O37" si="11">DATE(YEAR(D37),MONTH(D37)+1,DAY(D37))</f>
        <v>45992</v>
      </c>
      <c r="F37" s="64">
        <f t="shared" si="11"/>
        <v>46023</v>
      </c>
      <c r="G37" s="64">
        <f t="shared" si="11"/>
        <v>46054</v>
      </c>
      <c r="H37" s="64">
        <f t="shared" si="11"/>
        <v>46082</v>
      </c>
      <c r="I37" s="64">
        <f t="shared" si="11"/>
        <v>46113</v>
      </c>
      <c r="J37" s="64">
        <f t="shared" si="11"/>
        <v>46143</v>
      </c>
      <c r="K37" s="64">
        <f t="shared" si="11"/>
        <v>46174</v>
      </c>
      <c r="L37" s="64">
        <f t="shared" si="11"/>
        <v>46204</v>
      </c>
      <c r="M37" s="64">
        <f t="shared" si="11"/>
        <v>46235</v>
      </c>
      <c r="N37" s="64">
        <f t="shared" si="11"/>
        <v>46266</v>
      </c>
      <c r="O37" s="64">
        <f t="shared" si="11"/>
        <v>46296</v>
      </c>
      <c r="P37" s="64" t="s">
        <v>48</v>
      </c>
      <c r="Q37" s="50"/>
      <c r="R37" s="50"/>
      <c r="S37" s="50"/>
      <c r="T37" s="50"/>
      <c r="U37" s="50"/>
      <c r="V37" s="50"/>
      <c r="W37" s="50"/>
      <c r="X37" s="50"/>
      <c r="Y37" s="50"/>
      <c r="Z37" s="50"/>
      <c r="AA37" s="50"/>
      <c r="AB37" s="50"/>
      <c r="AC37" s="50"/>
      <c r="AD37" s="50"/>
      <c r="AF37" s="41" t="s">
        <v>84</v>
      </c>
      <c r="AG37" s="42">
        <f>HLOOKUP(AG$36,$D$36:$P$42,2,0)</f>
        <v>45962</v>
      </c>
      <c r="AH37" s="42" t="s">
        <v>85</v>
      </c>
      <c r="AI37" s="43" t="s">
        <v>86</v>
      </c>
    </row>
    <row r="38" spans="2:35" ht="17.5" customHeight="1" x14ac:dyDescent="0.35">
      <c r="B38" s="65" t="s">
        <v>87</v>
      </c>
      <c r="C38" s="74">
        <f>AVERAGE(D38:O38)</f>
        <v>19250</v>
      </c>
      <c r="D38" s="66">
        <v>16000</v>
      </c>
      <c r="E38" s="66">
        <v>16000</v>
      </c>
      <c r="F38" s="66">
        <v>16000</v>
      </c>
      <c r="G38" s="66">
        <v>19000</v>
      </c>
      <c r="H38" s="66">
        <v>19000</v>
      </c>
      <c r="I38" s="66">
        <v>19000</v>
      </c>
      <c r="J38" s="66">
        <v>19000</v>
      </c>
      <c r="K38" s="66">
        <v>19000</v>
      </c>
      <c r="L38" s="66">
        <v>22000</v>
      </c>
      <c r="M38" s="66">
        <v>22000</v>
      </c>
      <c r="N38" s="66">
        <v>22000</v>
      </c>
      <c r="O38" s="66">
        <v>22000</v>
      </c>
      <c r="P38" s="78">
        <f>SUM(D38:O38)</f>
        <v>231000</v>
      </c>
      <c r="Q38" s="49"/>
      <c r="R38" s="49"/>
      <c r="S38" s="49"/>
      <c r="T38" s="49"/>
      <c r="U38" s="49"/>
      <c r="V38" s="49"/>
      <c r="W38" s="49"/>
      <c r="X38" s="49"/>
      <c r="Y38" s="49"/>
      <c r="Z38" s="49"/>
      <c r="AA38" s="49"/>
      <c r="AB38" s="49"/>
      <c r="AC38" s="49"/>
      <c r="AD38" s="49"/>
      <c r="AF38" s="39" t="str">
        <f>"Meta "&amp;PROPER(TEXT(AG37,"mmm"))</f>
        <v>Meta Nov</v>
      </c>
      <c r="AG38" s="45">
        <f>HLOOKUP(AG$36,$D$36:$P$42,3,0)</f>
        <v>16000</v>
      </c>
      <c r="AH38" s="51" t="s">
        <v>88</v>
      </c>
      <c r="AI38" s="45">
        <f>P38</f>
        <v>231000</v>
      </c>
    </row>
    <row r="39" spans="2:35" ht="17.5" customHeight="1" x14ac:dyDescent="0.35">
      <c r="B39" s="65" t="s">
        <v>89</v>
      </c>
      <c r="C39" s="74" t="e">
        <f>AVERAGE(D39:O39)</f>
        <v>#DIV/0!</v>
      </c>
      <c r="D39" s="66"/>
      <c r="E39" s="66"/>
      <c r="F39" s="66"/>
      <c r="G39" s="66"/>
      <c r="H39" s="66"/>
      <c r="I39" s="66"/>
      <c r="J39" s="66"/>
      <c r="K39" s="66"/>
      <c r="L39" s="66"/>
      <c r="M39" s="66"/>
      <c r="N39" s="66"/>
      <c r="O39" s="66"/>
      <c r="P39" s="78">
        <f>SUM(D39:O39)</f>
        <v>0</v>
      </c>
      <c r="Q39" s="49"/>
      <c r="R39" s="49"/>
      <c r="S39" s="49"/>
      <c r="T39" s="49"/>
      <c r="U39" s="49"/>
      <c r="V39" s="49"/>
      <c r="W39" s="49"/>
      <c r="X39" s="49"/>
      <c r="Y39" s="49"/>
      <c r="Z39" s="49"/>
      <c r="AA39" s="49"/>
      <c r="AB39" s="49"/>
      <c r="AC39" s="49"/>
      <c r="AD39" s="49"/>
      <c r="AF39" s="39" t="str">
        <f>"Real "&amp;PROPER(TEXT(AG37,"mmm"))</f>
        <v>Real Nov</v>
      </c>
      <c r="AG39" s="45">
        <f>HLOOKUP(AG$36,$D$36:$P$42,4,0)</f>
        <v>0</v>
      </c>
      <c r="AH39" s="45" t="s">
        <v>90</v>
      </c>
      <c r="AI39" s="45">
        <f>P39</f>
        <v>0</v>
      </c>
    </row>
    <row r="40" spans="2:35" hidden="1" x14ac:dyDescent="0.35">
      <c r="B40" s="67" t="s">
        <v>91</v>
      </c>
      <c r="C40" s="75" t="s">
        <v>92</v>
      </c>
      <c r="D40" s="66" t="str">
        <f>IF(D39&gt;D38,D39,"")</f>
        <v/>
      </c>
      <c r="E40" s="66" t="str">
        <f t="shared" ref="E40:O40" si="12">IF(E39&gt;E38,E39,"")</f>
        <v/>
      </c>
      <c r="F40" s="66" t="str">
        <f t="shared" si="12"/>
        <v/>
      </c>
      <c r="G40" s="66" t="str">
        <f t="shared" si="12"/>
        <v/>
      </c>
      <c r="H40" s="66" t="str">
        <f t="shared" si="12"/>
        <v/>
      </c>
      <c r="I40" s="66" t="str">
        <f t="shared" si="12"/>
        <v/>
      </c>
      <c r="J40" s="66" t="str">
        <f t="shared" si="12"/>
        <v/>
      </c>
      <c r="K40" s="66" t="str">
        <f t="shared" si="12"/>
        <v/>
      </c>
      <c r="L40" s="66" t="str">
        <f t="shared" si="12"/>
        <v/>
      </c>
      <c r="M40" s="66" t="str">
        <f t="shared" si="12"/>
        <v/>
      </c>
      <c r="N40" s="66" t="str">
        <f t="shared" si="12"/>
        <v/>
      </c>
      <c r="O40" s="66" t="str">
        <f t="shared" si="12"/>
        <v/>
      </c>
      <c r="P40" s="66"/>
      <c r="Q40" s="52"/>
      <c r="R40" s="52"/>
      <c r="S40" s="52"/>
      <c r="T40" s="52"/>
      <c r="U40" s="52"/>
      <c r="V40" s="52"/>
      <c r="W40" s="52"/>
      <c r="X40" s="52"/>
      <c r="Y40" s="52"/>
      <c r="Z40" s="52"/>
      <c r="AA40" s="52"/>
      <c r="AB40" s="52"/>
      <c r="AC40" s="52"/>
      <c r="AD40" s="52"/>
      <c r="AF40" s="39" t="s">
        <v>91</v>
      </c>
      <c r="AG40" s="45"/>
      <c r="AH40" s="45"/>
      <c r="AI40" s="45">
        <f>P40</f>
        <v>0</v>
      </c>
    </row>
    <row r="41" spans="2:35" hidden="1" x14ac:dyDescent="0.35">
      <c r="B41" s="67" t="s">
        <v>93</v>
      </c>
      <c r="C41" s="75"/>
      <c r="D41" s="66"/>
      <c r="E41" s="66"/>
      <c r="F41" s="66"/>
      <c r="G41" s="66"/>
      <c r="H41" s="66"/>
      <c r="I41" s="66"/>
      <c r="J41" s="66"/>
      <c r="K41" s="66"/>
      <c r="L41" s="66"/>
      <c r="M41" s="66"/>
      <c r="N41" s="66"/>
      <c r="O41" s="66"/>
      <c r="P41" s="66"/>
      <c r="Q41" s="52"/>
      <c r="R41" s="52"/>
      <c r="S41" s="52"/>
      <c r="T41" s="52"/>
      <c r="U41" s="52"/>
      <c r="V41" s="52"/>
      <c r="W41" s="52"/>
      <c r="X41" s="52"/>
      <c r="Y41" s="52"/>
      <c r="Z41" s="52"/>
      <c r="AA41" s="52"/>
      <c r="AB41" s="52"/>
      <c r="AC41" s="52"/>
      <c r="AD41" s="52"/>
      <c r="AF41" s="39" t="s">
        <v>93</v>
      </c>
      <c r="AG41" s="45"/>
      <c r="AH41" s="45"/>
      <c r="AI41" s="45">
        <f>P41</f>
        <v>0</v>
      </c>
    </row>
    <row r="42" spans="2:35" ht="17.5" customHeight="1" x14ac:dyDescent="0.55000000000000004">
      <c r="B42" s="65" t="s">
        <v>94</v>
      </c>
      <c r="C42" s="76" t="e">
        <f t="shared" ref="C42:P42" si="13">C39-C38</f>
        <v>#DIV/0!</v>
      </c>
      <c r="D42" s="66">
        <f t="shared" si="13"/>
        <v>-16000</v>
      </c>
      <c r="E42" s="66">
        <f t="shared" si="13"/>
        <v>-16000</v>
      </c>
      <c r="F42" s="66">
        <f t="shared" si="13"/>
        <v>-16000</v>
      </c>
      <c r="G42" s="66">
        <f t="shared" si="13"/>
        <v>-19000</v>
      </c>
      <c r="H42" s="66">
        <f t="shared" si="13"/>
        <v>-19000</v>
      </c>
      <c r="I42" s="66">
        <f t="shared" si="13"/>
        <v>-19000</v>
      </c>
      <c r="J42" s="66">
        <f t="shared" si="13"/>
        <v>-19000</v>
      </c>
      <c r="K42" s="66">
        <f t="shared" si="13"/>
        <v>-19000</v>
      </c>
      <c r="L42" s="66">
        <f t="shared" si="13"/>
        <v>-22000</v>
      </c>
      <c r="M42" s="66">
        <f t="shared" si="13"/>
        <v>-22000</v>
      </c>
      <c r="N42" s="66">
        <f t="shared" si="13"/>
        <v>-22000</v>
      </c>
      <c r="O42" s="66">
        <f t="shared" si="13"/>
        <v>-22000</v>
      </c>
      <c r="P42" s="66">
        <f t="shared" si="13"/>
        <v>-231000</v>
      </c>
      <c r="Q42" s="49"/>
      <c r="R42" s="49"/>
      <c r="S42" s="49"/>
      <c r="T42" s="49"/>
      <c r="U42" s="49"/>
      <c r="V42" s="49"/>
      <c r="W42" s="49"/>
      <c r="X42" s="49"/>
      <c r="Y42" s="49"/>
      <c r="Z42" s="49"/>
      <c r="AA42" s="49"/>
      <c r="AB42" s="49"/>
      <c r="AC42" s="49"/>
      <c r="AD42" s="49"/>
      <c r="AF42" s="39" t="s">
        <v>95</v>
      </c>
      <c r="AG42" s="47">
        <f>HLOOKUP(AG$36,$D$36:$P$42,7,0)</f>
        <v>-16000</v>
      </c>
      <c r="AH42" s="45"/>
      <c r="AI42" s="45">
        <f>P42</f>
        <v>-231000</v>
      </c>
    </row>
    <row r="43" spans="2:35" x14ac:dyDescent="0.35">
      <c r="AF43" s="39"/>
      <c r="AG43" s="39"/>
      <c r="AH43" s="39"/>
      <c r="AI43" s="39"/>
    </row>
    <row r="44" spans="2:35" x14ac:dyDescent="0.35">
      <c r="AF44" s="39" t="s">
        <v>96</v>
      </c>
      <c r="AG44" s="39">
        <f>IF(AG42&lt;=0,1,0)</f>
        <v>1</v>
      </c>
      <c r="AH44" s="39"/>
      <c r="AI44" s="39"/>
    </row>
    <row r="45" spans="2:35" x14ac:dyDescent="0.35">
      <c r="AF45" s="39" t="s">
        <v>97</v>
      </c>
      <c r="AG45" s="39">
        <f>IF(AG42&gt;0,1,0)</f>
        <v>0</v>
      </c>
      <c r="AH45" s="39"/>
      <c r="AI45" s="39"/>
    </row>
  </sheetData>
  <mergeCells count="1">
    <mergeCell ref="C2:P2"/>
  </mergeCells>
  <conditionalFormatting sqref="C14:AD14">
    <cfRule type="iconSet" priority="23">
      <iconSet>
        <cfvo type="percent" val="0"/>
        <cfvo type="num" val="-0.99999899999999997"/>
        <cfvo type="num" val="0"/>
      </iconSet>
    </cfRule>
  </conditionalFormatting>
  <conditionalFormatting sqref="C28:AD28">
    <cfRule type="iconSet" priority="25">
      <iconSet>
        <cfvo type="percent" val="0"/>
        <cfvo type="num" val="-0.99999899999999997"/>
        <cfvo type="num" val="0"/>
      </iconSet>
    </cfRule>
  </conditionalFormatting>
  <conditionalFormatting sqref="C42:AD42">
    <cfRule type="iconSet" priority="27">
      <iconSet reverse="1">
        <cfvo type="percent" val="0"/>
        <cfvo type="num" val="-0.99999899999999997"/>
        <cfvo type="num" val="0"/>
      </iconSet>
    </cfRule>
  </conditionalFormatting>
  <conditionalFormatting sqref="AG14">
    <cfRule type="cellIs" dxfId="83" priority="5" operator="lessThan">
      <formula>0</formula>
    </cfRule>
    <cfRule type="cellIs" dxfId="82" priority="6" operator="greaterThanOrEqual">
      <formula>0</formula>
    </cfRule>
  </conditionalFormatting>
  <conditionalFormatting sqref="AG28">
    <cfRule type="cellIs" dxfId="81" priority="3" operator="lessThan">
      <formula>0</formula>
    </cfRule>
    <cfRule type="cellIs" dxfId="80" priority="4" operator="greaterThanOrEqual">
      <formula>0</formula>
    </cfRule>
  </conditionalFormatting>
  <conditionalFormatting sqref="AG42">
    <cfRule type="cellIs" dxfId="79" priority="1" operator="lessThan">
      <formula>0</formula>
    </cfRule>
    <cfRule type="cellIs" dxfId="78" priority="2" operator="greaterThanOrEqual">
      <formula>0</formula>
    </cfRule>
  </conditionalFormatting>
  <hyperlinks>
    <hyperlink ref="B2" location="PAINEL!A1" display="&lt;&lt; VOLTAR AO PAINEL DE CONTROLE" xr:uid="{78F0773A-5643-4533-A044-AA8C17C794D1}"/>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48A0-91F6-4492-B11B-B8751FDEEF35}">
  <sheetPr>
    <tabColor theme="0" tint="-0.499984740745262"/>
  </sheetPr>
  <dimension ref="A1:V32"/>
  <sheetViews>
    <sheetView showGridLines="0" zoomScale="85" zoomScaleNormal="85" workbookViewId="0">
      <pane ySplit="4" topLeftCell="A5" activePane="bottomLeft" state="frozen"/>
      <selection activeCell="B2" sqref="B2"/>
      <selection pane="bottomLeft" activeCell="J18" sqref="J18"/>
    </sheetView>
  </sheetViews>
  <sheetFormatPr defaultColWidth="0" defaultRowHeight="13" customHeight="1" zeroHeight="1" x14ac:dyDescent="0.35"/>
  <cols>
    <col min="1" max="1" width="1.453125" style="25" customWidth="1"/>
    <col min="2" max="2" width="1.453125" style="24" customWidth="1"/>
    <col min="3" max="3" width="5" style="35" customWidth="1"/>
    <col min="4" max="4" width="39.81640625" style="25" customWidth="1"/>
    <col min="5" max="5" width="32.81640625" style="25" customWidth="1"/>
    <col min="6" max="6" width="24.54296875" style="25" customWidth="1"/>
    <col min="7" max="7" width="14.54296875" style="25" customWidth="1"/>
    <col min="8" max="18" width="13.1796875" style="25" customWidth="1"/>
    <col min="19" max="19" width="8.81640625" style="24" customWidth="1"/>
    <col min="20" max="22" width="0" style="25" hidden="1" customWidth="1"/>
    <col min="23" max="16384" width="8.81640625" style="25" hidden="1"/>
  </cols>
  <sheetData>
    <row r="1" spans="3:20" s="24" customFormat="1" ht="6.75" customHeight="1" x14ac:dyDescent="0.35">
      <c r="C1" s="23"/>
    </row>
    <row r="2" spans="3:20" s="24" customFormat="1" ht="48" customHeight="1" x14ac:dyDescent="0.35">
      <c r="C2" s="26"/>
      <c r="D2" s="98" t="s">
        <v>147</v>
      </c>
      <c r="E2" s="402" t="s">
        <v>54</v>
      </c>
      <c r="F2" s="403"/>
      <c r="G2" s="403"/>
      <c r="H2" s="403"/>
      <c r="I2" s="403"/>
      <c r="J2" s="403"/>
      <c r="K2" s="403"/>
      <c r="L2" s="403"/>
      <c r="M2" s="403"/>
      <c r="N2" s="403"/>
      <c r="O2" s="403"/>
      <c r="P2" s="403"/>
      <c r="Q2" s="403"/>
      <c r="R2" s="404"/>
      <c r="T2" s="25"/>
    </row>
    <row r="3" spans="3:20" s="24" customFormat="1" ht="2.5" customHeight="1" x14ac:dyDescent="0.35">
      <c r="C3" s="23"/>
    </row>
    <row r="4" spans="3:20" s="24" customFormat="1" ht="37.5" customHeight="1" x14ac:dyDescent="0.35">
      <c r="C4" s="26" t="s">
        <v>55</v>
      </c>
      <c r="D4" s="27" t="s">
        <v>56</v>
      </c>
      <c r="E4" s="27" t="s">
        <v>57</v>
      </c>
      <c r="F4" s="358" t="s">
        <v>58</v>
      </c>
      <c r="G4" s="28">
        <v>47757</v>
      </c>
      <c r="H4" s="29">
        <f t="shared" ref="H4:K4" si="0">DATE(YEAR(G4),MONTH(G4)+1,DAY(G4))</f>
        <v>47788</v>
      </c>
      <c r="I4" s="29">
        <f t="shared" si="0"/>
        <v>47818</v>
      </c>
      <c r="J4" s="29">
        <f t="shared" si="0"/>
        <v>47849</v>
      </c>
      <c r="K4" s="29">
        <f t="shared" si="0"/>
        <v>47880</v>
      </c>
      <c r="L4" s="29">
        <f>DATE(YEAR(K4),MONTH(K4)+1,DAY(K4))</f>
        <v>47908</v>
      </c>
      <c r="M4" s="29">
        <f t="shared" ref="M4:R4" si="1">DATE(YEAR(L4),MONTH(L4)+1,DAY(L4))</f>
        <v>47939</v>
      </c>
      <c r="N4" s="29">
        <f t="shared" si="1"/>
        <v>47969</v>
      </c>
      <c r="O4" s="29">
        <f t="shared" si="1"/>
        <v>48000</v>
      </c>
      <c r="P4" s="29">
        <f t="shared" si="1"/>
        <v>48030</v>
      </c>
      <c r="Q4" s="29">
        <f t="shared" si="1"/>
        <v>48061</v>
      </c>
      <c r="R4" s="29">
        <f t="shared" si="1"/>
        <v>48092</v>
      </c>
      <c r="T4" s="25"/>
    </row>
    <row r="5" spans="3:20" ht="34.5" customHeight="1" x14ac:dyDescent="0.35">
      <c r="C5" s="30">
        <v>1</v>
      </c>
      <c r="D5" s="31" t="s">
        <v>59</v>
      </c>
      <c r="E5" s="32" t="s">
        <v>60</v>
      </c>
      <c r="F5" s="33">
        <v>15000</v>
      </c>
      <c r="G5" s="33">
        <v>1000000</v>
      </c>
      <c r="H5" s="33">
        <v>1000000</v>
      </c>
      <c r="I5" s="33">
        <v>1000000</v>
      </c>
      <c r="J5" s="33">
        <v>1000000</v>
      </c>
      <c r="K5" s="33">
        <v>1000000</v>
      </c>
      <c r="L5" s="33">
        <v>1000000</v>
      </c>
      <c r="M5" s="33">
        <v>1000000</v>
      </c>
      <c r="N5" s="33">
        <v>1000000</v>
      </c>
      <c r="O5" s="33">
        <v>1000000</v>
      </c>
      <c r="P5" s="33">
        <v>1000000</v>
      </c>
      <c r="Q5" s="33">
        <v>1000000</v>
      </c>
      <c r="R5" s="33">
        <v>1000000</v>
      </c>
    </row>
    <row r="6" spans="3:20" ht="34.5" customHeight="1" x14ac:dyDescent="0.35">
      <c r="C6" s="30">
        <v>2</v>
      </c>
      <c r="D6" s="31" t="s">
        <v>61</v>
      </c>
      <c r="E6" s="32" t="s">
        <v>62</v>
      </c>
      <c r="F6" s="374" t="s">
        <v>1064</v>
      </c>
      <c r="G6" s="33"/>
      <c r="H6" s="33"/>
      <c r="I6" s="33"/>
      <c r="J6" s="33"/>
      <c r="K6" s="33"/>
      <c r="L6" s="33"/>
      <c r="M6" s="33"/>
      <c r="N6" s="33"/>
      <c r="O6" s="33"/>
      <c r="P6" s="33"/>
      <c r="Q6" s="33"/>
      <c r="R6" s="33"/>
    </row>
    <row r="7" spans="3:20" ht="34.5" customHeight="1" x14ac:dyDescent="0.35">
      <c r="C7" s="30">
        <v>3</v>
      </c>
      <c r="D7" s="31" t="s">
        <v>63</v>
      </c>
      <c r="E7" s="32" t="s">
        <v>64</v>
      </c>
      <c r="F7" s="374" t="s">
        <v>1064</v>
      </c>
      <c r="G7" s="33"/>
      <c r="H7" s="33"/>
      <c r="I7" s="33"/>
      <c r="J7" s="33"/>
      <c r="K7" s="33"/>
      <c r="L7" s="33"/>
      <c r="M7" s="33"/>
      <c r="N7" s="33"/>
      <c r="O7" s="33"/>
      <c r="P7" s="33"/>
      <c r="Q7" s="33"/>
      <c r="R7" s="33"/>
    </row>
    <row r="8" spans="3:20" ht="34.5" customHeight="1" x14ac:dyDescent="0.35">
      <c r="C8" s="30">
        <v>4</v>
      </c>
      <c r="D8" s="31" t="s">
        <v>65</v>
      </c>
      <c r="E8" s="32" t="s">
        <v>66</v>
      </c>
      <c r="F8" s="33">
        <v>37000</v>
      </c>
      <c r="G8" s="33"/>
      <c r="H8" s="33"/>
      <c r="I8" s="33"/>
      <c r="J8" s="33"/>
      <c r="K8" s="33"/>
      <c r="L8" s="33"/>
      <c r="M8" s="33"/>
      <c r="N8" s="33"/>
      <c r="O8" s="33"/>
      <c r="P8" s="33"/>
      <c r="Q8" s="33"/>
      <c r="R8" s="33"/>
    </row>
    <row r="9" spans="3:20" ht="34.5" customHeight="1" x14ac:dyDescent="0.35">
      <c r="C9" s="30">
        <v>5</v>
      </c>
      <c r="D9" s="31" t="s">
        <v>67</v>
      </c>
      <c r="E9" s="32" t="s">
        <v>68</v>
      </c>
      <c r="F9" s="33">
        <v>11000</v>
      </c>
      <c r="G9" s="33"/>
      <c r="H9" s="33"/>
      <c r="I9" s="33"/>
      <c r="J9" s="33"/>
      <c r="K9" s="33"/>
      <c r="L9" s="33"/>
      <c r="M9" s="33"/>
      <c r="N9" s="33"/>
      <c r="O9" s="33"/>
      <c r="P9" s="33"/>
      <c r="Q9" s="33"/>
      <c r="R9" s="33"/>
    </row>
    <row r="10" spans="3:20" ht="34.5" customHeight="1" x14ac:dyDescent="0.35">
      <c r="C10" s="30">
        <v>6</v>
      </c>
      <c r="D10" s="31" t="s">
        <v>69</v>
      </c>
      <c r="E10" s="32" t="s">
        <v>70</v>
      </c>
      <c r="F10" s="34">
        <v>5</v>
      </c>
      <c r="G10" s="34"/>
      <c r="H10" s="34"/>
      <c r="I10" s="34"/>
      <c r="J10" s="34"/>
      <c r="K10" s="34"/>
      <c r="L10" s="34"/>
      <c r="M10" s="34"/>
      <c r="N10" s="34"/>
      <c r="O10" s="34"/>
      <c r="P10" s="34"/>
      <c r="Q10" s="34"/>
      <c r="R10" s="34"/>
    </row>
    <row r="11" spans="3:20" ht="34.5" customHeight="1" x14ac:dyDescent="0.35">
      <c r="C11" s="30">
        <v>7</v>
      </c>
      <c r="D11" s="31" t="s">
        <v>71</v>
      </c>
      <c r="E11" s="32" t="s">
        <v>72</v>
      </c>
      <c r="F11" s="34">
        <v>12</v>
      </c>
      <c r="G11" s="34"/>
      <c r="H11" s="34"/>
      <c r="I11" s="34"/>
      <c r="J11" s="34"/>
      <c r="K11" s="34"/>
      <c r="L11" s="34"/>
      <c r="M11" s="34"/>
      <c r="N11" s="34"/>
      <c r="O11" s="34"/>
      <c r="P11" s="34"/>
      <c r="Q11" s="34"/>
      <c r="R11" s="34"/>
    </row>
    <row r="12" spans="3:20" ht="34.5" customHeight="1" x14ac:dyDescent="0.35">
      <c r="C12" s="30">
        <v>8</v>
      </c>
      <c r="D12" s="31" t="s">
        <v>73</v>
      </c>
      <c r="E12" s="32" t="s">
        <v>74</v>
      </c>
      <c r="F12" s="34">
        <v>4</v>
      </c>
      <c r="G12" s="34"/>
      <c r="H12" s="34"/>
      <c r="I12" s="34"/>
      <c r="J12" s="34"/>
      <c r="K12" s="34"/>
      <c r="L12" s="34"/>
      <c r="M12" s="34"/>
      <c r="N12" s="34"/>
      <c r="O12" s="34"/>
      <c r="P12" s="34"/>
      <c r="Q12" s="34"/>
      <c r="R12" s="34"/>
    </row>
    <row r="13" spans="3:20" ht="34.5" customHeight="1" x14ac:dyDescent="0.35">
      <c r="C13" s="30">
        <v>9</v>
      </c>
      <c r="D13" s="31" t="s">
        <v>75</v>
      </c>
      <c r="E13" s="32" t="s">
        <v>76</v>
      </c>
      <c r="F13" s="34">
        <v>7</v>
      </c>
      <c r="G13" s="34"/>
      <c r="H13" s="34"/>
      <c r="I13" s="34"/>
      <c r="J13" s="34"/>
      <c r="K13" s="34"/>
      <c r="L13" s="34"/>
      <c r="M13" s="34"/>
      <c r="N13" s="34"/>
      <c r="O13" s="34"/>
      <c r="P13" s="34"/>
      <c r="Q13" s="34"/>
      <c r="R13" s="34"/>
    </row>
    <row r="14" spans="3:20" ht="34.5" customHeight="1" x14ac:dyDescent="0.35">
      <c r="C14" s="30">
        <v>10</v>
      </c>
      <c r="D14" s="31" t="s">
        <v>77</v>
      </c>
      <c r="E14" s="32" t="s">
        <v>78</v>
      </c>
      <c r="F14" s="34">
        <v>5</v>
      </c>
      <c r="G14" s="34"/>
      <c r="H14" s="34"/>
      <c r="I14" s="34"/>
      <c r="J14" s="34"/>
      <c r="K14" s="34"/>
      <c r="L14" s="34"/>
      <c r="M14" s="34"/>
      <c r="N14" s="34"/>
      <c r="O14" s="34"/>
      <c r="P14" s="34"/>
      <c r="Q14" s="34"/>
      <c r="R14" s="34"/>
    </row>
    <row r="15" spans="3:20" s="24" customFormat="1" x14ac:dyDescent="0.35">
      <c r="C15" s="23"/>
    </row>
    <row r="16" spans="3:20" s="24" customFormat="1" x14ac:dyDescent="0.35">
      <c r="C16" s="23"/>
    </row>
    <row r="17" spans="3:3" s="24" customFormat="1" x14ac:dyDescent="0.35">
      <c r="C17" s="23"/>
    </row>
    <row r="18" spans="3:3" s="24" customFormat="1" x14ac:dyDescent="0.35">
      <c r="C18" s="23"/>
    </row>
    <row r="19" spans="3:3" s="24" customFormat="1" x14ac:dyDescent="0.35">
      <c r="C19" s="23"/>
    </row>
    <row r="20" spans="3:3" s="24" customFormat="1" x14ac:dyDescent="0.35">
      <c r="C20" s="23"/>
    </row>
    <row r="21" spans="3:3" s="24" customFormat="1" x14ac:dyDescent="0.35">
      <c r="C21" s="23"/>
    </row>
    <row r="22" spans="3:3" s="24" customFormat="1" x14ac:dyDescent="0.35">
      <c r="C22" s="23"/>
    </row>
    <row r="23" spans="3:3" s="24" customFormat="1" x14ac:dyDescent="0.35">
      <c r="C23" s="23"/>
    </row>
    <row r="24" spans="3:3" s="24" customFormat="1" x14ac:dyDescent="0.35">
      <c r="C24" s="23"/>
    </row>
    <row r="25" spans="3:3" s="24" customFormat="1" x14ac:dyDescent="0.35">
      <c r="C25" s="23"/>
    </row>
    <row r="26" spans="3:3" s="24" customFormat="1" x14ac:dyDescent="0.35">
      <c r="C26" s="23"/>
    </row>
    <row r="27" spans="3:3" s="24" customFormat="1" x14ac:dyDescent="0.35">
      <c r="C27" s="23"/>
    </row>
    <row r="28" spans="3:3" s="24" customFormat="1" x14ac:dyDescent="0.35">
      <c r="C28" s="23"/>
    </row>
    <row r="29" spans="3:3" s="24" customFormat="1" x14ac:dyDescent="0.35">
      <c r="C29" s="23"/>
    </row>
    <row r="30" spans="3:3" s="24" customFormat="1" x14ac:dyDescent="0.35">
      <c r="C30" s="23"/>
    </row>
    <row r="31" spans="3:3" s="24" customFormat="1" x14ac:dyDescent="0.35">
      <c r="C31" s="23"/>
    </row>
    <row r="32" spans="3:3" s="24" customFormat="1" x14ac:dyDescent="0.35">
      <c r="C32" s="23"/>
    </row>
  </sheetData>
  <mergeCells count="1">
    <mergeCell ref="E2:R2"/>
  </mergeCells>
  <dataValidations count="4">
    <dataValidation type="whole" allowBlank="1" showInputMessage="1" showErrorMessage="1" errorTitle="Atenção" error="Insira um valor numérico" sqref="G10:R12" xr:uid="{B30221E8-6742-43C5-9B7F-95A114BC5268}">
      <formula1>1</formula1>
      <formula2>100000000</formula2>
    </dataValidation>
    <dataValidation type="date" allowBlank="1" showInputMessage="1" showErrorMessage="1" errorTitle="Atenção" error="Insira uma data válida" sqref="G4" xr:uid="{921ABE56-3B81-45E9-874B-517A6FECE779}">
      <formula1>43466</formula1>
      <formula2>1132254</formula2>
    </dataValidation>
    <dataValidation type="decimal" allowBlank="1" showInputMessage="1" showErrorMessage="1" errorTitle="Atenção" error="Insira um valor numérico" sqref="G5:R9" xr:uid="{A0D34627-315F-44F2-8C17-A00283F5DB73}">
      <formula1>0</formula1>
      <formula2>100000000</formula2>
    </dataValidation>
    <dataValidation type="decimal" allowBlank="1" showInputMessage="1" showErrorMessage="1" errorTitle="Atenção" error="Digite um número de 1 a 10" sqref="G13:R14" xr:uid="{094888B8-2CF5-461A-A002-FC045B2F8861}">
      <formula1>0</formula1>
      <formula2>10</formula2>
    </dataValidation>
  </dataValidations>
  <hyperlinks>
    <hyperlink ref="D2" location="PAINEL!A1" display="&lt;&lt; VOLTAR AO PAINEL DE CONTROLE" xr:uid="{7B290E3E-A510-47CA-A16B-530D2D0720D0}"/>
  </hyperlinks>
  <pageMargins left="0.7" right="0.7" top="0.75" bottom="0.75" header="0.3" footer="0.3"/>
  <pageSetup orientation="portrait" r:id="rId1"/>
  <headerFooter>
    <oddHeader>&amp;L&amp;"Calibri"&amp;10&amp;K000000 CONFIDENCIAL&amp;1#_x000D_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C68C-FF76-4EC7-9507-0EC2B5429130}">
  <sheetPr codeName="Planilha10">
    <tabColor theme="0" tint="-4.9989318521683403E-2"/>
  </sheetPr>
  <dimension ref="A2:N18"/>
  <sheetViews>
    <sheetView showGridLines="0" zoomScale="50" zoomScaleNormal="50" workbookViewId="0">
      <selection activeCell="B2" sqref="B2"/>
    </sheetView>
  </sheetViews>
  <sheetFormatPr defaultColWidth="14.453125" defaultRowHeight="15.75" customHeight="1" x14ac:dyDescent="0.35"/>
  <cols>
    <col min="1" max="1" width="4.453125" style="3" customWidth="1"/>
    <col min="2" max="2" width="54.453125" customWidth="1"/>
    <col min="3" max="3" width="1.81640625" customWidth="1"/>
    <col min="4" max="4" width="64" customWidth="1"/>
    <col min="5" max="5" width="1.81640625" customWidth="1"/>
    <col min="6" max="6" width="84.54296875" customWidth="1"/>
    <col min="7" max="7" width="2" customWidth="1"/>
    <col min="8" max="8" width="107.1796875" customWidth="1"/>
    <col min="9" max="9" width="18.81640625" style="3" customWidth="1"/>
    <col min="10" max="10" width="2.81640625" style="3" bestFit="1" customWidth="1"/>
    <col min="11" max="11" width="1.453125" style="3" customWidth="1"/>
    <col min="12" max="12" width="21.1796875" style="3" customWidth="1"/>
    <col min="13" max="13" width="2.81640625" style="3" bestFit="1" customWidth="1"/>
    <col min="14" max="14" width="1.54296875" style="3" customWidth="1"/>
    <col min="15" max="16384" width="14.453125" style="3"/>
  </cols>
  <sheetData>
    <row r="2" spans="2:8" customFormat="1" ht="59.15" customHeight="1" x14ac:dyDescent="0.35">
      <c r="B2" s="99" t="s">
        <v>147</v>
      </c>
      <c r="D2" s="408" t="s">
        <v>120</v>
      </c>
      <c r="E2" s="409"/>
      <c r="F2" s="409"/>
      <c r="G2" s="409"/>
      <c r="H2" s="409"/>
    </row>
    <row r="3" spans="2:8" ht="6.65" customHeight="1" x14ac:dyDescent="0.35"/>
    <row r="4" spans="2:8" s="109" customFormat="1" ht="31" x14ac:dyDescent="0.7">
      <c r="B4" s="107" t="s">
        <v>149</v>
      </c>
      <c r="C4" s="108"/>
      <c r="D4" s="107" t="s">
        <v>150</v>
      </c>
      <c r="E4" s="108"/>
      <c r="F4" s="107" t="s">
        <v>151</v>
      </c>
      <c r="G4" s="108"/>
      <c r="H4" s="107" t="s">
        <v>152</v>
      </c>
    </row>
    <row r="5" spans="2:8" ht="6.75" customHeight="1" x14ac:dyDescent="0.35"/>
    <row r="6" spans="2:8" ht="57.65" customHeight="1" x14ac:dyDescent="1">
      <c r="B6" s="508" t="s">
        <v>1068</v>
      </c>
      <c r="C6" s="101"/>
      <c r="D6" s="405" t="s">
        <v>153</v>
      </c>
      <c r="F6" s="102"/>
      <c r="H6" s="103" t="s">
        <v>154</v>
      </c>
    </row>
    <row r="7" spans="2:8" ht="13" customHeight="1" x14ac:dyDescent="1">
      <c r="B7" s="509"/>
      <c r="C7" s="101"/>
      <c r="D7" s="406"/>
      <c r="F7" s="104"/>
      <c r="H7" s="104"/>
    </row>
    <row r="8" spans="2:8" ht="57.65" customHeight="1" x14ac:dyDescent="1">
      <c r="B8" s="509"/>
      <c r="C8" s="101"/>
      <c r="D8" s="406"/>
      <c r="F8" s="102"/>
      <c r="H8" s="103" t="s">
        <v>154</v>
      </c>
    </row>
    <row r="9" spans="2:8" ht="13" customHeight="1" x14ac:dyDescent="1">
      <c r="B9" s="509"/>
      <c r="C9" s="101"/>
      <c r="D9" s="406"/>
      <c r="F9" s="104"/>
      <c r="H9" s="104"/>
    </row>
    <row r="10" spans="2:8" ht="57.65" customHeight="1" x14ac:dyDescent="1">
      <c r="B10" s="509"/>
      <c r="C10" s="101"/>
      <c r="D10" s="406"/>
      <c r="F10" s="102"/>
      <c r="H10" s="103" t="s">
        <v>154</v>
      </c>
    </row>
    <row r="11" spans="2:8" ht="13" customHeight="1" x14ac:dyDescent="1">
      <c r="B11" s="509"/>
      <c r="C11" s="101"/>
      <c r="D11" s="406"/>
      <c r="F11" s="104"/>
      <c r="H11" s="104"/>
    </row>
    <row r="12" spans="2:8" ht="57.65" customHeight="1" x14ac:dyDescent="1">
      <c r="B12" s="509"/>
      <c r="C12" s="101"/>
      <c r="D12" s="406"/>
      <c r="F12" s="102"/>
      <c r="H12" s="103" t="s">
        <v>154</v>
      </c>
    </row>
    <row r="13" spans="2:8" ht="13" customHeight="1" x14ac:dyDescent="1">
      <c r="B13" s="509"/>
      <c r="C13" s="101"/>
      <c r="D13" s="406"/>
      <c r="F13" s="104"/>
      <c r="H13" s="104"/>
    </row>
    <row r="14" spans="2:8" ht="57.65" customHeight="1" x14ac:dyDescent="1">
      <c r="B14" s="509"/>
      <c r="C14" s="101"/>
      <c r="D14" s="406"/>
      <c r="F14" s="102"/>
      <c r="H14" s="103" t="s">
        <v>154</v>
      </c>
    </row>
    <row r="15" spans="2:8" ht="13" customHeight="1" x14ac:dyDescent="1">
      <c r="B15" s="509"/>
      <c r="C15" s="101"/>
      <c r="D15" s="406"/>
      <c r="F15" s="104"/>
      <c r="H15" s="104"/>
    </row>
    <row r="16" spans="2:8" ht="57.65" customHeight="1" x14ac:dyDescent="1">
      <c r="B16" s="509"/>
      <c r="C16" s="101"/>
      <c r="D16" s="406"/>
      <c r="F16" s="102"/>
      <c r="H16" s="103" t="s">
        <v>154</v>
      </c>
    </row>
    <row r="17" spans="1:14" ht="13" customHeight="1" x14ac:dyDescent="1">
      <c r="B17" s="510"/>
      <c r="C17" s="101"/>
      <c r="D17" s="407"/>
      <c r="F17" s="104"/>
      <c r="H17" s="104"/>
    </row>
    <row r="18" spans="1:14" s="105" customFormat="1" ht="14.5" x14ac:dyDescent="0.35">
      <c r="A18" s="3"/>
      <c r="B18"/>
      <c r="C18"/>
      <c r="D18"/>
      <c r="E18"/>
      <c r="F18"/>
      <c r="G18"/>
      <c r="H18"/>
      <c r="I18" s="3"/>
      <c r="J18" s="3"/>
      <c r="K18" s="3"/>
      <c r="L18" s="3"/>
      <c r="M18" s="3"/>
      <c r="N18" s="3"/>
    </row>
  </sheetData>
  <mergeCells count="3">
    <mergeCell ref="B6:B17"/>
    <mergeCell ref="D6:D17"/>
    <mergeCell ref="D2:H2"/>
  </mergeCells>
  <hyperlinks>
    <hyperlink ref="B2" location="PAINEL!A1" display="&lt;&lt; VOLTAR AO PAINEL DE CONTROLE" xr:uid="{2C1EC58D-B0DB-42F7-8C66-A3384E18A2C2}"/>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17F20-E60E-47C9-B02B-DDE0F0C32208}">
  <sheetPr>
    <tabColor theme="0" tint="-4.9989318521683403E-2"/>
  </sheetPr>
  <dimension ref="A1:Z1000"/>
  <sheetViews>
    <sheetView showGridLines="0" zoomScale="50" zoomScaleNormal="50" workbookViewId="0">
      <selection activeCell="C2" sqref="C2"/>
    </sheetView>
  </sheetViews>
  <sheetFormatPr defaultColWidth="14.453125" defaultRowHeight="14.5" x14ac:dyDescent="0.35"/>
  <cols>
    <col min="1" max="1" width="4.26953125" customWidth="1"/>
    <col min="2" max="2" width="7" customWidth="1"/>
    <col min="3" max="3" width="47.453125" customWidth="1"/>
    <col min="4" max="4" width="2.54296875" customWidth="1"/>
    <col min="5" max="5" width="7" customWidth="1"/>
    <col min="6" max="6" width="46.7265625" customWidth="1"/>
    <col min="7" max="7" width="1.7265625" customWidth="1"/>
    <col min="8" max="8" width="7" customWidth="1"/>
    <col min="9" max="9" width="46.7265625" customWidth="1"/>
    <col min="10" max="10" width="1.7265625" customWidth="1"/>
    <col min="11" max="11" width="0.7265625" customWidth="1"/>
    <col min="12" max="12" width="7" customWidth="1"/>
    <col min="13" max="13" width="51.453125" customWidth="1"/>
    <col min="14" max="14" width="2.26953125" customWidth="1"/>
    <col min="15" max="15" width="1.453125" hidden="1" customWidth="1"/>
    <col min="16" max="16" width="7" customWidth="1"/>
    <col min="17" max="17" width="46.7265625" customWidth="1"/>
    <col min="18" max="18" width="1.54296875" customWidth="1"/>
    <col min="19" max="19" width="46.7265625" customWidth="1"/>
    <col min="20" max="20" width="14.7265625" customWidth="1"/>
    <col min="21" max="21" width="1.7265625" customWidth="1"/>
    <col min="22" max="22" width="46.7265625" customWidth="1"/>
    <col min="23" max="23" width="14.7265625" customWidth="1"/>
  </cols>
  <sheetData>
    <row r="1" spans="1:26" ht="14.25" customHeight="1" x14ac:dyDescent="0.35">
      <c r="A1" s="363"/>
      <c r="B1" s="364"/>
      <c r="E1" s="364"/>
      <c r="H1" s="364"/>
      <c r="K1" s="363"/>
      <c r="L1" s="364"/>
      <c r="M1" s="363"/>
      <c r="N1" s="363"/>
      <c r="O1" s="363"/>
      <c r="P1" s="364"/>
      <c r="Q1" s="363"/>
      <c r="R1" s="363"/>
      <c r="S1" s="363"/>
      <c r="T1" s="363"/>
      <c r="U1" s="363"/>
      <c r="V1" s="363"/>
      <c r="W1" s="363"/>
      <c r="X1" s="363"/>
      <c r="Y1" s="363"/>
      <c r="Z1" s="363"/>
    </row>
    <row r="2" spans="1:26" ht="58.5" customHeight="1" x14ac:dyDescent="0.35">
      <c r="A2" s="363"/>
      <c r="B2" s="365" t="s">
        <v>55</v>
      </c>
      <c r="C2" s="514" t="s">
        <v>1007</v>
      </c>
      <c r="D2" s="410" t="s">
        <v>121</v>
      </c>
      <c r="E2" s="411"/>
      <c r="F2" s="411"/>
      <c r="G2" s="411"/>
      <c r="H2" s="411"/>
      <c r="I2" s="411"/>
      <c r="J2" s="411"/>
      <c r="K2" s="411"/>
      <c r="L2" s="411"/>
      <c r="M2" s="411"/>
      <c r="N2" s="411"/>
      <c r="O2" s="411"/>
      <c r="P2" s="411"/>
      <c r="Q2" s="411"/>
      <c r="R2" s="363"/>
      <c r="S2" s="363"/>
      <c r="T2" s="363"/>
      <c r="U2" s="363"/>
      <c r="V2" s="363"/>
      <c r="W2" s="363"/>
      <c r="X2" s="363"/>
      <c r="Y2" s="363"/>
      <c r="Z2" s="363"/>
    </row>
    <row r="3" spans="1:26" ht="15.75" customHeight="1" x14ac:dyDescent="0.35">
      <c r="A3" s="363"/>
      <c r="B3" s="364"/>
      <c r="E3" s="364"/>
      <c r="H3" s="364"/>
      <c r="K3" s="363"/>
      <c r="L3" s="364"/>
      <c r="M3" s="363"/>
      <c r="N3" s="363"/>
      <c r="O3" s="363"/>
      <c r="P3" s="364"/>
      <c r="Q3" s="363"/>
      <c r="R3" s="363"/>
      <c r="S3" s="363"/>
      <c r="T3" s="363"/>
      <c r="U3" s="363"/>
      <c r="V3" s="363"/>
      <c r="W3" s="363"/>
      <c r="X3" s="363"/>
      <c r="Y3" s="363"/>
      <c r="Z3" s="363"/>
    </row>
    <row r="4" spans="1:26" ht="78" customHeight="1" x14ac:dyDescent="0.8">
      <c r="A4" s="366"/>
      <c r="B4" s="365" t="s">
        <v>55</v>
      </c>
      <c r="C4" s="513" t="s">
        <v>1074</v>
      </c>
      <c r="D4" s="367"/>
      <c r="E4" s="365" t="s">
        <v>55</v>
      </c>
      <c r="F4" s="513" t="s">
        <v>1073</v>
      </c>
      <c r="G4" s="367"/>
      <c r="H4" s="365" t="s">
        <v>55</v>
      </c>
      <c r="I4" s="513" t="s">
        <v>1072</v>
      </c>
      <c r="J4" s="367"/>
      <c r="K4" s="366"/>
      <c r="L4" s="365" t="s">
        <v>55</v>
      </c>
      <c r="M4" s="513" t="s">
        <v>1071</v>
      </c>
      <c r="N4" s="366"/>
      <c r="O4" s="366"/>
      <c r="P4" s="365" t="s">
        <v>55</v>
      </c>
      <c r="Q4" s="513" t="s">
        <v>1070</v>
      </c>
      <c r="R4" s="363"/>
      <c r="S4" s="363"/>
      <c r="T4" s="363"/>
      <c r="U4" s="363"/>
      <c r="V4" s="363"/>
      <c r="W4" s="363"/>
      <c r="X4" s="366"/>
      <c r="Y4" s="366"/>
      <c r="Z4" s="366"/>
    </row>
    <row r="5" spans="1:26" ht="6.75" customHeight="1" x14ac:dyDescent="0.35">
      <c r="A5" s="363"/>
      <c r="B5" s="364"/>
      <c r="E5" s="364"/>
      <c r="H5" s="364"/>
      <c r="K5" s="363"/>
      <c r="L5" s="364"/>
      <c r="N5" s="363"/>
      <c r="O5" s="363"/>
      <c r="P5" s="364"/>
      <c r="R5" s="363"/>
      <c r="S5" s="363"/>
      <c r="T5" s="363"/>
      <c r="U5" s="363"/>
      <c r="V5" s="363"/>
      <c r="W5" s="363"/>
      <c r="X5" s="363"/>
      <c r="Y5" s="363"/>
      <c r="Z5" s="363"/>
    </row>
    <row r="6" spans="1:26" ht="36.75" customHeight="1" x14ac:dyDescent="0.35">
      <c r="A6" s="363"/>
      <c r="B6" s="365">
        <v>1</v>
      </c>
      <c r="C6" s="368" t="s">
        <v>1008</v>
      </c>
      <c r="E6" s="365">
        <v>1</v>
      </c>
      <c r="F6" s="368" t="s">
        <v>1008</v>
      </c>
      <c r="H6" s="365">
        <v>1</v>
      </c>
      <c r="I6" s="368" t="s">
        <v>1008</v>
      </c>
      <c r="K6" s="363"/>
      <c r="L6" s="365">
        <v>1</v>
      </c>
      <c r="M6" s="368" t="s">
        <v>1008</v>
      </c>
      <c r="N6" s="363"/>
      <c r="O6" s="363"/>
      <c r="P6" s="365">
        <v>1</v>
      </c>
      <c r="Q6" s="368" t="s">
        <v>1008</v>
      </c>
      <c r="R6" s="363"/>
      <c r="S6" s="363"/>
      <c r="T6" s="363"/>
      <c r="U6" s="363"/>
      <c r="V6" s="363"/>
      <c r="W6" s="363"/>
      <c r="X6" s="363"/>
      <c r="Y6" s="363"/>
      <c r="Z6" s="363"/>
    </row>
    <row r="7" spans="1:26" ht="36.75" customHeight="1" x14ac:dyDescent="0.35">
      <c r="A7" s="363"/>
      <c r="B7" s="365">
        <v>2</v>
      </c>
      <c r="C7" s="368" t="s">
        <v>1008</v>
      </c>
      <c r="E7" s="365">
        <v>2</v>
      </c>
      <c r="F7" s="368" t="s">
        <v>1008</v>
      </c>
      <c r="H7" s="365">
        <v>2</v>
      </c>
      <c r="I7" s="368" t="s">
        <v>1008</v>
      </c>
      <c r="K7" s="363"/>
      <c r="L7" s="365">
        <v>2</v>
      </c>
      <c r="M7" s="368" t="s">
        <v>1008</v>
      </c>
      <c r="N7" s="363"/>
      <c r="O7" s="363"/>
      <c r="P7" s="365">
        <v>2</v>
      </c>
      <c r="Q7" s="368" t="s">
        <v>1008</v>
      </c>
      <c r="R7" s="363"/>
      <c r="S7" s="363"/>
      <c r="T7" s="363"/>
      <c r="U7" s="363"/>
      <c r="V7" s="363"/>
      <c r="W7" s="363"/>
      <c r="X7" s="363"/>
      <c r="Y7" s="363"/>
      <c r="Z7" s="363"/>
    </row>
    <row r="8" spans="1:26" ht="36.75" customHeight="1" x14ac:dyDescent="0.35">
      <c r="A8" s="363"/>
      <c r="B8" s="365">
        <v>3</v>
      </c>
      <c r="C8" s="368" t="s">
        <v>1008</v>
      </c>
      <c r="E8" s="365">
        <v>3</v>
      </c>
      <c r="F8" s="368" t="s">
        <v>1008</v>
      </c>
      <c r="H8" s="365">
        <v>3</v>
      </c>
      <c r="I8" s="368" t="s">
        <v>1008</v>
      </c>
      <c r="K8" s="363"/>
      <c r="L8" s="365">
        <v>3</v>
      </c>
      <c r="M8" s="368" t="s">
        <v>1008</v>
      </c>
      <c r="N8" s="363"/>
      <c r="O8" s="363"/>
      <c r="P8" s="365">
        <v>3</v>
      </c>
      <c r="Q8" s="368" t="s">
        <v>1008</v>
      </c>
      <c r="R8" s="363"/>
      <c r="S8" s="363"/>
      <c r="T8" s="363"/>
      <c r="U8" s="363"/>
      <c r="V8" s="363"/>
      <c r="W8" s="363"/>
      <c r="X8" s="363"/>
      <c r="Y8" s="363"/>
      <c r="Z8" s="363"/>
    </row>
    <row r="9" spans="1:26" ht="36.75" customHeight="1" x14ac:dyDescent="0.35">
      <c r="A9" s="363"/>
      <c r="B9" s="365">
        <v>4</v>
      </c>
      <c r="C9" s="368" t="s">
        <v>1008</v>
      </c>
      <c r="E9" s="365">
        <v>4</v>
      </c>
      <c r="F9" s="368" t="s">
        <v>1008</v>
      </c>
      <c r="H9" s="365">
        <v>4</v>
      </c>
      <c r="I9" s="368" t="s">
        <v>1008</v>
      </c>
      <c r="K9" s="363"/>
      <c r="L9" s="365">
        <v>4</v>
      </c>
      <c r="M9" s="368" t="s">
        <v>1008</v>
      </c>
      <c r="N9" s="363"/>
      <c r="O9" s="363"/>
      <c r="P9" s="365">
        <v>4</v>
      </c>
      <c r="Q9" s="368" t="s">
        <v>1008</v>
      </c>
      <c r="R9" s="363"/>
      <c r="S9" s="363"/>
      <c r="T9" s="363"/>
      <c r="U9" s="363"/>
      <c r="V9" s="363"/>
      <c r="W9" s="363"/>
      <c r="X9" s="363"/>
      <c r="Y9" s="363"/>
      <c r="Z9" s="363"/>
    </row>
    <row r="10" spans="1:26" ht="36.75" customHeight="1" x14ac:dyDescent="0.35">
      <c r="A10" s="363"/>
      <c r="B10" s="365">
        <v>5</v>
      </c>
      <c r="C10" s="368" t="s">
        <v>1008</v>
      </c>
      <c r="E10" s="365">
        <v>5</v>
      </c>
      <c r="F10" s="368" t="s">
        <v>1008</v>
      </c>
      <c r="H10" s="365">
        <v>5</v>
      </c>
      <c r="I10" s="368" t="s">
        <v>1008</v>
      </c>
      <c r="K10" s="363"/>
      <c r="L10" s="365">
        <v>5</v>
      </c>
      <c r="M10" s="368" t="s">
        <v>1008</v>
      </c>
      <c r="N10" s="363"/>
      <c r="O10" s="363"/>
      <c r="P10" s="365">
        <v>5</v>
      </c>
      <c r="Q10" s="368" t="s">
        <v>1008</v>
      </c>
      <c r="R10" s="363"/>
      <c r="S10" s="363"/>
      <c r="T10" s="363"/>
      <c r="U10" s="363"/>
      <c r="V10" s="363"/>
      <c r="W10" s="363"/>
      <c r="X10" s="363"/>
      <c r="Y10" s="363"/>
      <c r="Z10" s="363"/>
    </row>
    <row r="11" spans="1:26" ht="36.75" customHeight="1" x14ac:dyDescent="0.35">
      <c r="A11" s="363"/>
      <c r="B11" s="365">
        <v>6</v>
      </c>
      <c r="C11" s="368" t="s">
        <v>1008</v>
      </c>
      <c r="E11" s="365">
        <v>6</v>
      </c>
      <c r="F11" s="368" t="s">
        <v>1008</v>
      </c>
      <c r="H11" s="365">
        <v>6</v>
      </c>
      <c r="I11" s="368" t="s">
        <v>1008</v>
      </c>
      <c r="K11" s="363"/>
      <c r="L11" s="365">
        <v>6</v>
      </c>
      <c r="M11" s="368" t="s">
        <v>1008</v>
      </c>
      <c r="N11" s="363"/>
      <c r="O11" s="363"/>
      <c r="P11" s="365">
        <v>6</v>
      </c>
      <c r="Q11" s="368" t="s">
        <v>1008</v>
      </c>
      <c r="R11" s="363"/>
      <c r="S11" s="363"/>
      <c r="T11" s="363"/>
      <c r="U11" s="363"/>
      <c r="V11" s="363"/>
      <c r="W11" s="363"/>
      <c r="X11" s="363"/>
      <c r="Y11" s="363"/>
      <c r="Z11" s="363"/>
    </row>
    <row r="12" spans="1:26" ht="36.75" customHeight="1" x14ac:dyDescent="0.35">
      <c r="A12" s="363"/>
      <c r="B12" s="365">
        <v>7</v>
      </c>
      <c r="C12" s="368" t="s">
        <v>1008</v>
      </c>
      <c r="E12" s="365">
        <v>7</v>
      </c>
      <c r="F12" s="368" t="s">
        <v>1008</v>
      </c>
      <c r="H12" s="365">
        <v>7</v>
      </c>
      <c r="I12" s="368" t="s">
        <v>1008</v>
      </c>
      <c r="K12" s="363"/>
      <c r="L12" s="365">
        <v>7</v>
      </c>
      <c r="M12" s="368" t="s">
        <v>1008</v>
      </c>
      <c r="N12" s="363"/>
      <c r="O12" s="363"/>
      <c r="P12" s="365">
        <v>7</v>
      </c>
      <c r="Q12" s="368" t="s">
        <v>1008</v>
      </c>
      <c r="R12" s="363"/>
      <c r="S12" s="363"/>
      <c r="T12" s="363"/>
      <c r="U12" s="363"/>
      <c r="V12" s="363"/>
      <c r="W12" s="363"/>
      <c r="X12" s="363"/>
      <c r="Y12" s="363"/>
      <c r="Z12" s="363"/>
    </row>
    <row r="13" spans="1:26" ht="36.75" customHeight="1" x14ac:dyDescent="0.35">
      <c r="A13" s="363"/>
      <c r="B13" s="365">
        <v>8</v>
      </c>
      <c r="C13" s="368" t="s">
        <v>1008</v>
      </c>
      <c r="E13" s="365">
        <v>8</v>
      </c>
      <c r="F13" s="368" t="s">
        <v>1008</v>
      </c>
      <c r="H13" s="365">
        <v>8</v>
      </c>
      <c r="I13" s="368" t="s">
        <v>1008</v>
      </c>
      <c r="K13" s="363"/>
      <c r="L13" s="365">
        <v>8</v>
      </c>
      <c r="M13" s="368" t="s">
        <v>1008</v>
      </c>
      <c r="N13" s="363"/>
      <c r="O13" s="363"/>
      <c r="P13" s="365">
        <v>8</v>
      </c>
      <c r="Q13" s="368" t="s">
        <v>1008</v>
      </c>
      <c r="R13" s="363"/>
      <c r="S13" s="363"/>
      <c r="T13" s="363"/>
      <c r="U13" s="363"/>
      <c r="V13" s="363"/>
      <c r="W13" s="363"/>
      <c r="X13" s="363"/>
      <c r="Y13" s="363"/>
      <c r="Z13" s="363"/>
    </row>
    <row r="14" spans="1:26" ht="36.75" customHeight="1" x14ac:dyDescent="0.35">
      <c r="A14" s="363"/>
      <c r="B14" s="365">
        <v>9</v>
      </c>
      <c r="C14" s="368" t="s">
        <v>1008</v>
      </c>
      <c r="E14" s="365">
        <v>9</v>
      </c>
      <c r="F14" s="368" t="s">
        <v>1008</v>
      </c>
      <c r="H14" s="365">
        <v>9</v>
      </c>
      <c r="I14" s="368" t="s">
        <v>1008</v>
      </c>
      <c r="K14" s="363"/>
      <c r="L14" s="365">
        <v>9</v>
      </c>
      <c r="M14" s="368" t="s">
        <v>1008</v>
      </c>
      <c r="N14" s="363"/>
      <c r="O14" s="363"/>
      <c r="P14" s="365">
        <v>9</v>
      </c>
      <c r="Q14" s="368" t="s">
        <v>1008</v>
      </c>
      <c r="R14" s="363"/>
      <c r="S14" s="363"/>
      <c r="T14" s="363"/>
      <c r="U14" s="363"/>
      <c r="V14" s="363"/>
      <c r="W14" s="363"/>
      <c r="X14" s="363"/>
      <c r="Y14" s="363"/>
      <c r="Z14" s="363"/>
    </row>
    <row r="15" spans="1:26" ht="36.75" customHeight="1" x14ac:dyDescent="0.35">
      <c r="A15" s="363"/>
      <c r="B15" s="365">
        <v>10</v>
      </c>
      <c r="C15" s="368" t="s">
        <v>1008</v>
      </c>
      <c r="E15" s="365">
        <v>10</v>
      </c>
      <c r="F15" s="368" t="s">
        <v>1008</v>
      </c>
      <c r="H15" s="365">
        <v>10</v>
      </c>
      <c r="I15" s="368" t="s">
        <v>1008</v>
      </c>
      <c r="K15" s="363"/>
      <c r="L15" s="365">
        <v>10</v>
      </c>
      <c r="M15" s="368" t="s">
        <v>1008</v>
      </c>
      <c r="N15" s="363"/>
      <c r="O15" s="363"/>
      <c r="P15" s="365">
        <v>10</v>
      </c>
      <c r="Q15" s="368" t="s">
        <v>1008</v>
      </c>
      <c r="R15" s="363"/>
      <c r="S15" s="363"/>
      <c r="T15" s="363"/>
      <c r="U15" s="369"/>
      <c r="V15" s="363"/>
      <c r="W15" s="363"/>
      <c r="X15" s="369"/>
      <c r="Y15" s="369"/>
      <c r="Z15" s="369"/>
    </row>
    <row r="16" spans="1:26" ht="15.75" customHeight="1" x14ac:dyDescent="0.35">
      <c r="A16" s="363"/>
      <c r="B16" s="364"/>
      <c r="E16" s="364"/>
      <c r="H16" s="364"/>
      <c r="K16" s="363"/>
      <c r="L16" s="364"/>
      <c r="M16" s="363"/>
      <c r="N16" s="363"/>
      <c r="O16" s="363"/>
      <c r="P16" s="364"/>
      <c r="Q16" s="363"/>
      <c r="R16" s="363"/>
      <c r="S16" s="363"/>
      <c r="T16" s="363"/>
      <c r="U16" s="363"/>
      <c r="V16" s="363"/>
      <c r="W16" s="363"/>
      <c r="X16" s="363"/>
      <c r="Y16" s="363"/>
      <c r="Z16" s="363"/>
    </row>
    <row r="17" spans="1:26" ht="15.75" customHeight="1" x14ac:dyDescent="0.35">
      <c r="A17" s="363"/>
      <c r="B17" s="364"/>
      <c r="E17" s="364"/>
      <c r="H17" s="364"/>
      <c r="K17" s="363"/>
      <c r="L17" s="364"/>
      <c r="M17" s="363"/>
      <c r="N17" s="363"/>
      <c r="O17" s="363"/>
      <c r="P17" s="364"/>
      <c r="Q17" s="363"/>
      <c r="R17" s="363"/>
      <c r="S17" s="363"/>
      <c r="T17" s="363"/>
      <c r="U17" s="363"/>
      <c r="V17" s="363"/>
      <c r="W17" s="363"/>
      <c r="X17" s="363"/>
      <c r="Y17" s="363"/>
      <c r="Z17" s="363"/>
    </row>
    <row r="18" spans="1:26" ht="15.75" customHeight="1" x14ac:dyDescent="0.35">
      <c r="A18" s="363"/>
      <c r="B18" s="364"/>
      <c r="E18" s="364"/>
      <c r="H18" s="364"/>
      <c r="K18" s="363"/>
      <c r="L18" s="364"/>
      <c r="M18" s="363"/>
      <c r="N18" s="363"/>
      <c r="O18" s="363"/>
      <c r="P18" s="364"/>
      <c r="Q18" s="363"/>
      <c r="R18" s="363"/>
      <c r="S18" s="363"/>
      <c r="T18" s="363"/>
      <c r="U18" s="363"/>
      <c r="V18" s="363"/>
      <c r="W18" s="363"/>
      <c r="X18" s="363"/>
      <c r="Y18" s="363"/>
      <c r="Z18" s="363"/>
    </row>
    <row r="19" spans="1:26" ht="15.75" customHeight="1" x14ac:dyDescent="0.35">
      <c r="A19" s="363"/>
      <c r="B19" s="364"/>
      <c r="E19" s="364"/>
      <c r="H19" s="364"/>
      <c r="K19" s="363"/>
      <c r="L19" s="364"/>
      <c r="M19" s="363"/>
      <c r="N19" s="363"/>
      <c r="O19" s="363"/>
      <c r="P19" s="364"/>
      <c r="Q19" s="363"/>
      <c r="R19" s="363"/>
      <c r="S19" s="363"/>
      <c r="T19" s="363"/>
      <c r="U19" s="363"/>
      <c r="V19" s="363"/>
      <c r="W19" s="363"/>
      <c r="X19" s="363"/>
      <c r="Y19" s="363"/>
      <c r="Z19" s="363"/>
    </row>
    <row r="20" spans="1:26" ht="15.75" customHeight="1" x14ac:dyDescent="0.35">
      <c r="A20" s="363"/>
      <c r="B20" s="364"/>
      <c r="E20" s="364"/>
      <c r="H20" s="364"/>
      <c r="K20" s="363"/>
      <c r="L20" s="364"/>
      <c r="M20" s="363"/>
      <c r="N20" s="363"/>
      <c r="O20" s="363"/>
      <c r="P20" s="364"/>
      <c r="Q20" s="363"/>
      <c r="R20" s="363"/>
      <c r="S20" s="363"/>
      <c r="T20" s="363"/>
      <c r="U20" s="363"/>
      <c r="V20" s="363"/>
      <c r="W20" s="363"/>
      <c r="X20" s="363"/>
      <c r="Y20" s="363"/>
      <c r="Z20" s="363"/>
    </row>
    <row r="21" spans="1:26" ht="15.75" customHeight="1" x14ac:dyDescent="0.35">
      <c r="A21" s="363"/>
      <c r="B21" s="364"/>
      <c r="E21" s="364"/>
      <c r="H21" s="364"/>
      <c r="K21" s="363"/>
      <c r="L21" s="364"/>
      <c r="M21" s="363"/>
      <c r="N21" s="363"/>
      <c r="O21" s="363"/>
      <c r="P21" s="364"/>
      <c r="Q21" s="363"/>
      <c r="R21" s="363"/>
      <c r="S21" s="363"/>
      <c r="T21" s="363"/>
      <c r="U21" s="363"/>
      <c r="V21" s="363"/>
      <c r="W21" s="363"/>
      <c r="X21" s="363"/>
      <c r="Y21" s="363"/>
      <c r="Z21" s="363"/>
    </row>
    <row r="22" spans="1:26" ht="15.75" customHeight="1" x14ac:dyDescent="0.35">
      <c r="A22" s="363"/>
      <c r="B22" s="364"/>
      <c r="E22" s="364"/>
      <c r="H22" s="364"/>
      <c r="K22" s="363"/>
      <c r="L22" s="364"/>
      <c r="M22" s="363"/>
      <c r="N22" s="363"/>
      <c r="O22" s="363"/>
      <c r="P22" s="364"/>
      <c r="Q22" s="363"/>
      <c r="R22" s="363"/>
      <c r="S22" s="363"/>
      <c r="T22" s="363"/>
      <c r="U22" s="363"/>
      <c r="V22" s="363"/>
      <c r="W22" s="363"/>
      <c r="X22" s="363"/>
      <c r="Y22" s="363"/>
      <c r="Z22" s="363"/>
    </row>
    <row r="23" spans="1:26" ht="15.75" customHeight="1" x14ac:dyDescent="0.35">
      <c r="A23" s="363"/>
      <c r="B23" s="364"/>
      <c r="E23" s="364"/>
      <c r="H23" s="364"/>
      <c r="K23" s="363"/>
      <c r="L23" s="364"/>
      <c r="M23" s="363"/>
      <c r="N23" s="363"/>
      <c r="O23" s="363"/>
      <c r="P23" s="364"/>
      <c r="Q23" s="363"/>
      <c r="R23" s="363"/>
      <c r="S23" s="363"/>
      <c r="T23" s="363"/>
      <c r="U23" s="363"/>
      <c r="V23" s="363"/>
      <c r="W23" s="363"/>
      <c r="X23" s="363"/>
      <c r="Y23" s="363"/>
      <c r="Z23" s="363"/>
    </row>
    <row r="24" spans="1:26" ht="15.75" customHeight="1" x14ac:dyDescent="0.35">
      <c r="A24" s="363"/>
      <c r="B24" s="364"/>
      <c r="E24" s="364"/>
      <c r="H24" s="364"/>
      <c r="K24" s="363"/>
      <c r="L24" s="364"/>
      <c r="M24" s="363"/>
      <c r="N24" s="363"/>
      <c r="O24" s="363"/>
      <c r="P24" s="364"/>
      <c r="Q24" s="363"/>
      <c r="R24" s="363"/>
      <c r="S24" s="363"/>
      <c r="T24" s="363"/>
      <c r="U24" s="363"/>
      <c r="V24" s="363"/>
      <c r="W24" s="363"/>
      <c r="X24" s="363"/>
      <c r="Y24" s="363"/>
      <c r="Z24" s="363"/>
    </row>
    <row r="25" spans="1:26" ht="15.75" customHeight="1" x14ac:dyDescent="0.35">
      <c r="A25" s="363"/>
      <c r="B25" s="364"/>
      <c r="E25" s="364"/>
      <c r="H25" s="364"/>
      <c r="K25" s="363"/>
      <c r="L25" s="364"/>
      <c r="M25" s="363"/>
      <c r="N25" s="363"/>
      <c r="O25" s="363"/>
      <c r="P25" s="364"/>
      <c r="Q25" s="363"/>
      <c r="R25" s="363"/>
      <c r="S25" s="363"/>
      <c r="T25" s="363"/>
      <c r="U25" s="363"/>
      <c r="V25" s="363"/>
      <c r="W25" s="363"/>
      <c r="X25" s="363"/>
      <c r="Y25" s="363"/>
      <c r="Z25" s="363"/>
    </row>
    <row r="26" spans="1:26" ht="15.75" customHeight="1" x14ac:dyDescent="0.35">
      <c r="A26" s="363"/>
      <c r="B26" s="364"/>
      <c r="E26" s="364"/>
      <c r="H26" s="364"/>
      <c r="K26" s="363"/>
      <c r="L26" s="364"/>
      <c r="M26" s="363"/>
      <c r="N26" s="363"/>
      <c r="O26" s="363"/>
      <c r="P26" s="364"/>
      <c r="Q26" s="363"/>
      <c r="R26" s="363"/>
      <c r="S26" s="363"/>
      <c r="T26" s="363"/>
      <c r="U26" s="363"/>
      <c r="V26" s="363"/>
      <c r="W26" s="363"/>
      <c r="X26" s="363"/>
      <c r="Y26" s="363"/>
      <c r="Z26" s="363"/>
    </row>
    <row r="27" spans="1:26" ht="15.75" customHeight="1" x14ac:dyDescent="0.35">
      <c r="A27" s="363"/>
      <c r="B27" s="364"/>
      <c r="E27" s="364"/>
      <c r="H27" s="364"/>
      <c r="K27" s="363"/>
      <c r="L27" s="364"/>
      <c r="M27" s="363"/>
      <c r="N27" s="363"/>
      <c r="O27" s="363"/>
      <c r="P27" s="364"/>
      <c r="Q27" s="363"/>
      <c r="R27" s="363"/>
      <c r="S27" s="363"/>
      <c r="T27" s="363"/>
      <c r="U27" s="363"/>
      <c r="V27" s="363"/>
      <c r="W27" s="363"/>
      <c r="X27" s="363"/>
      <c r="Y27" s="363"/>
      <c r="Z27" s="363"/>
    </row>
    <row r="28" spans="1:26" ht="15.75" customHeight="1" x14ac:dyDescent="0.35">
      <c r="A28" s="363"/>
      <c r="B28" s="364"/>
      <c r="E28" s="364"/>
      <c r="H28" s="364"/>
      <c r="K28" s="363"/>
      <c r="L28" s="364"/>
      <c r="M28" s="363"/>
      <c r="N28" s="363"/>
      <c r="O28" s="363"/>
      <c r="P28" s="364"/>
      <c r="Q28" s="363"/>
      <c r="R28" s="363"/>
      <c r="S28" s="363"/>
      <c r="T28" s="363"/>
      <c r="U28" s="363"/>
      <c r="V28" s="363"/>
      <c r="W28" s="363"/>
      <c r="X28" s="363"/>
      <c r="Y28" s="363"/>
      <c r="Z28" s="363"/>
    </row>
    <row r="29" spans="1:26" ht="15.75" customHeight="1" x14ac:dyDescent="0.35">
      <c r="A29" s="363"/>
      <c r="B29" s="364"/>
      <c r="E29" s="364"/>
      <c r="H29" s="364"/>
      <c r="K29" s="363"/>
      <c r="L29" s="364"/>
      <c r="M29" s="363"/>
      <c r="N29" s="363"/>
      <c r="O29" s="363"/>
      <c r="P29" s="364"/>
      <c r="Q29" s="363"/>
      <c r="R29" s="363"/>
      <c r="S29" s="363"/>
      <c r="T29" s="363"/>
      <c r="U29" s="363"/>
      <c r="V29" s="363"/>
      <c r="W29" s="363"/>
      <c r="X29" s="363"/>
      <c r="Y29" s="363"/>
      <c r="Z29" s="363"/>
    </row>
    <row r="30" spans="1:26" ht="15.75" customHeight="1" x14ac:dyDescent="0.35">
      <c r="A30" s="363"/>
      <c r="B30" s="364"/>
      <c r="E30" s="364"/>
      <c r="H30" s="364"/>
      <c r="K30" s="363"/>
      <c r="L30" s="364"/>
      <c r="M30" s="363"/>
      <c r="N30" s="363"/>
      <c r="O30" s="363"/>
      <c r="P30" s="364"/>
      <c r="Q30" s="363"/>
      <c r="R30" s="363"/>
      <c r="S30" s="363"/>
      <c r="T30" s="363"/>
      <c r="U30" s="363"/>
      <c r="V30" s="363"/>
      <c r="W30" s="363"/>
      <c r="X30" s="363"/>
      <c r="Y30" s="363"/>
      <c r="Z30" s="363"/>
    </row>
    <row r="31" spans="1:26" ht="15.75" customHeight="1" x14ac:dyDescent="0.35">
      <c r="A31" s="363"/>
      <c r="B31" s="364"/>
      <c r="E31" s="364"/>
      <c r="H31" s="364"/>
      <c r="K31" s="363"/>
      <c r="L31" s="364"/>
      <c r="M31" s="363"/>
      <c r="N31" s="363"/>
      <c r="O31" s="363"/>
      <c r="P31" s="364"/>
      <c r="Q31" s="363"/>
      <c r="R31" s="363"/>
      <c r="S31" s="363"/>
      <c r="T31" s="363"/>
      <c r="U31" s="363"/>
      <c r="V31" s="363"/>
      <c r="W31" s="363"/>
      <c r="X31" s="363"/>
      <c r="Y31" s="363"/>
      <c r="Z31" s="363"/>
    </row>
    <row r="32" spans="1:26" ht="15.75" customHeight="1" x14ac:dyDescent="0.35">
      <c r="A32" s="363"/>
      <c r="B32" s="364"/>
      <c r="E32" s="364"/>
      <c r="H32" s="364"/>
      <c r="K32" s="363"/>
      <c r="L32" s="364"/>
      <c r="M32" s="363"/>
      <c r="N32" s="363"/>
      <c r="O32" s="363"/>
      <c r="P32" s="364"/>
      <c r="Q32" s="363"/>
      <c r="R32" s="363"/>
      <c r="S32" s="363"/>
      <c r="T32" s="363"/>
      <c r="U32" s="363"/>
      <c r="V32" s="363"/>
      <c r="W32" s="363"/>
      <c r="X32" s="363"/>
      <c r="Y32" s="363"/>
      <c r="Z32" s="363"/>
    </row>
    <row r="33" spans="1:26" ht="15.75" customHeight="1" x14ac:dyDescent="0.35">
      <c r="A33" s="363"/>
      <c r="B33" s="364"/>
      <c r="E33" s="364"/>
      <c r="H33" s="364"/>
      <c r="K33" s="363"/>
      <c r="L33" s="364"/>
      <c r="M33" s="363"/>
      <c r="N33" s="363"/>
      <c r="O33" s="363"/>
      <c r="P33" s="364"/>
      <c r="Q33" s="363"/>
      <c r="R33" s="363"/>
      <c r="S33" s="363"/>
      <c r="T33" s="363"/>
      <c r="U33" s="363"/>
      <c r="V33" s="363"/>
      <c r="W33" s="363"/>
      <c r="X33" s="363"/>
      <c r="Y33" s="363"/>
      <c r="Z33" s="363"/>
    </row>
    <row r="34" spans="1:26" ht="15.75" customHeight="1" x14ac:dyDescent="0.35">
      <c r="A34" s="363"/>
      <c r="B34" s="364"/>
      <c r="E34" s="364"/>
      <c r="H34" s="364"/>
      <c r="K34" s="363"/>
      <c r="L34" s="364"/>
      <c r="M34" s="363"/>
      <c r="N34" s="363"/>
      <c r="O34" s="363"/>
      <c r="P34" s="364"/>
      <c r="Q34" s="363"/>
      <c r="R34" s="363"/>
      <c r="S34" s="363"/>
      <c r="T34" s="363"/>
      <c r="U34" s="363"/>
      <c r="V34" s="363"/>
      <c r="W34" s="363"/>
      <c r="X34" s="363"/>
      <c r="Y34" s="363"/>
      <c r="Z34" s="363"/>
    </row>
    <row r="35" spans="1:26" ht="15.75" customHeight="1" x14ac:dyDescent="0.35">
      <c r="A35" s="363"/>
      <c r="B35" s="364"/>
      <c r="E35" s="364"/>
      <c r="H35" s="364"/>
      <c r="K35" s="363"/>
      <c r="L35" s="364"/>
      <c r="M35" s="363"/>
      <c r="N35" s="363"/>
      <c r="O35" s="363"/>
      <c r="P35" s="364"/>
      <c r="Q35" s="363"/>
      <c r="R35" s="363"/>
      <c r="S35" s="363"/>
      <c r="T35" s="363"/>
      <c r="U35" s="363"/>
      <c r="V35" s="363"/>
      <c r="W35" s="363"/>
      <c r="X35" s="363"/>
      <c r="Y35" s="363"/>
      <c r="Z35" s="363"/>
    </row>
    <row r="36" spans="1:26" ht="15.75" customHeight="1" x14ac:dyDescent="0.35">
      <c r="A36" s="363"/>
      <c r="B36" s="364"/>
      <c r="E36" s="364"/>
      <c r="H36" s="364"/>
      <c r="K36" s="363"/>
      <c r="L36" s="364"/>
      <c r="M36" s="363"/>
      <c r="N36" s="363"/>
      <c r="O36" s="363"/>
      <c r="P36" s="364"/>
      <c r="Q36" s="363"/>
      <c r="R36" s="363"/>
      <c r="S36" s="363"/>
      <c r="T36" s="363"/>
      <c r="U36" s="363"/>
      <c r="V36" s="363"/>
      <c r="W36" s="363"/>
      <c r="X36" s="363"/>
      <c r="Y36" s="363"/>
      <c r="Z36" s="363"/>
    </row>
    <row r="37" spans="1:26" ht="15.75" customHeight="1" x14ac:dyDescent="0.35">
      <c r="A37" s="363"/>
      <c r="B37" s="364"/>
      <c r="E37" s="364"/>
      <c r="H37" s="364"/>
      <c r="K37" s="363"/>
      <c r="L37" s="364"/>
      <c r="M37" s="363"/>
      <c r="N37" s="363"/>
      <c r="O37" s="363"/>
      <c r="P37" s="364"/>
      <c r="Q37" s="363"/>
      <c r="R37" s="363"/>
      <c r="S37" s="363"/>
      <c r="T37" s="363"/>
      <c r="U37" s="363"/>
      <c r="V37" s="363"/>
      <c r="W37" s="363"/>
      <c r="X37" s="363"/>
      <c r="Y37" s="363"/>
      <c r="Z37" s="363"/>
    </row>
    <row r="38" spans="1:26" ht="15.75" customHeight="1" x14ac:dyDescent="0.35">
      <c r="A38" s="363"/>
      <c r="B38" s="364"/>
      <c r="E38" s="364"/>
      <c r="H38" s="364"/>
      <c r="K38" s="363"/>
      <c r="L38" s="364"/>
      <c r="M38" s="363"/>
      <c r="N38" s="363"/>
      <c r="O38" s="363"/>
      <c r="P38" s="364"/>
      <c r="Q38" s="363"/>
      <c r="R38" s="363"/>
      <c r="S38" s="363"/>
      <c r="T38" s="363"/>
      <c r="U38" s="363"/>
      <c r="V38" s="363"/>
      <c r="W38" s="363"/>
      <c r="X38" s="363"/>
      <c r="Y38" s="363"/>
      <c r="Z38" s="363"/>
    </row>
    <row r="39" spans="1:26" ht="15.75" customHeight="1" x14ac:dyDescent="0.35">
      <c r="A39" s="363"/>
      <c r="B39" s="364"/>
      <c r="E39" s="364"/>
      <c r="H39" s="364"/>
      <c r="K39" s="363"/>
      <c r="L39" s="364"/>
      <c r="M39" s="363"/>
      <c r="N39" s="363"/>
      <c r="O39" s="363"/>
      <c r="P39" s="364"/>
      <c r="Q39" s="363"/>
      <c r="R39" s="363"/>
      <c r="S39" s="363"/>
      <c r="T39" s="363"/>
      <c r="U39" s="363"/>
      <c r="V39" s="363"/>
      <c r="W39" s="363"/>
      <c r="X39" s="363"/>
      <c r="Y39" s="363"/>
      <c r="Z39" s="363"/>
    </row>
    <row r="40" spans="1:26" ht="15.75" customHeight="1" x14ac:dyDescent="0.35">
      <c r="A40" s="363"/>
      <c r="B40" s="364"/>
      <c r="E40" s="364"/>
      <c r="H40" s="364"/>
      <c r="K40" s="363"/>
      <c r="L40" s="364"/>
      <c r="M40" s="363"/>
      <c r="N40" s="363"/>
      <c r="O40" s="363"/>
      <c r="P40" s="364"/>
      <c r="Q40" s="363"/>
      <c r="R40" s="363"/>
      <c r="S40" s="363"/>
      <c r="T40" s="363"/>
      <c r="U40" s="363"/>
      <c r="V40" s="363"/>
      <c r="W40" s="363"/>
      <c r="X40" s="363"/>
      <c r="Y40" s="363"/>
      <c r="Z40" s="363"/>
    </row>
    <row r="41" spans="1:26" ht="15.75" customHeight="1" x14ac:dyDescent="0.35">
      <c r="A41" s="363"/>
      <c r="B41" s="364"/>
      <c r="E41" s="364"/>
      <c r="H41" s="364"/>
      <c r="K41" s="363"/>
      <c r="L41" s="364"/>
      <c r="M41" s="363"/>
      <c r="N41" s="363"/>
      <c r="O41" s="363"/>
      <c r="P41" s="364"/>
      <c r="Q41" s="363"/>
      <c r="R41" s="363"/>
      <c r="S41" s="363"/>
      <c r="T41" s="363"/>
      <c r="U41" s="363"/>
      <c r="V41" s="363"/>
      <c r="W41" s="363"/>
      <c r="X41" s="363"/>
      <c r="Y41" s="363"/>
      <c r="Z41" s="363"/>
    </row>
    <row r="42" spans="1:26" ht="15.75" customHeight="1" x14ac:dyDescent="0.35">
      <c r="A42" s="363"/>
      <c r="B42" s="364"/>
      <c r="E42" s="364"/>
      <c r="H42" s="364"/>
      <c r="K42" s="363"/>
      <c r="L42" s="364"/>
      <c r="M42" s="363"/>
      <c r="N42" s="363"/>
      <c r="O42" s="363"/>
      <c r="P42" s="364"/>
      <c r="Q42" s="363"/>
      <c r="R42" s="363"/>
      <c r="S42" s="363"/>
      <c r="T42" s="363"/>
      <c r="U42" s="363"/>
      <c r="V42" s="363"/>
      <c r="W42" s="363"/>
      <c r="X42" s="363"/>
      <c r="Y42" s="363"/>
      <c r="Z42" s="363"/>
    </row>
    <row r="43" spans="1:26" ht="15.75" customHeight="1" x14ac:dyDescent="0.35">
      <c r="A43" s="363"/>
      <c r="B43" s="364"/>
      <c r="E43" s="364"/>
      <c r="H43" s="364"/>
      <c r="K43" s="363"/>
      <c r="L43" s="364"/>
      <c r="M43" s="363"/>
      <c r="N43" s="363"/>
      <c r="O43" s="363"/>
      <c r="P43" s="364"/>
      <c r="Q43" s="363"/>
      <c r="R43" s="363"/>
      <c r="S43" s="363"/>
      <c r="T43" s="363"/>
      <c r="U43" s="363"/>
      <c r="V43" s="363"/>
      <c r="W43" s="363"/>
      <c r="X43" s="363"/>
      <c r="Y43" s="363"/>
      <c r="Z43" s="363"/>
    </row>
    <row r="44" spans="1:26" ht="15.75" customHeight="1" x14ac:dyDescent="0.35">
      <c r="A44" s="363"/>
      <c r="B44" s="364"/>
      <c r="E44" s="364"/>
      <c r="H44" s="364"/>
      <c r="K44" s="363"/>
      <c r="L44" s="364"/>
      <c r="M44" s="363"/>
      <c r="N44" s="363"/>
      <c r="O44" s="363"/>
      <c r="P44" s="364"/>
      <c r="Q44" s="363"/>
      <c r="R44" s="363"/>
      <c r="S44" s="363"/>
      <c r="T44" s="363"/>
      <c r="U44" s="363"/>
      <c r="V44" s="363"/>
      <c r="W44" s="363"/>
      <c r="X44" s="363"/>
      <c r="Y44" s="363"/>
      <c r="Z44" s="363"/>
    </row>
    <row r="45" spans="1:26" ht="15.75" customHeight="1" x14ac:dyDescent="0.35">
      <c r="A45" s="363"/>
      <c r="B45" s="364"/>
      <c r="E45" s="364"/>
      <c r="H45" s="364"/>
      <c r="K45" s="363"/>
      <c r="L45" s="364"/>
      <c r="M45" s="363"/>
      <c r="N45" s="363"/>
      <c r="O45" s="363"/>
      <c r="P45" s="364"/>
      <c r="Q45" s="363"/>
      <c r="R45" s="363"/>
      <c r="S45" s="363"/>
      <c r="T45" s="363"/>
      <c r="U45" s="363"/>
      <c r="V45" s="363"/>
      <c r="W45" s="363"/>
      <c r="X45" s="363"/>
      <c r="Y45" s="363"/>
      <c r="Z45" s="363"/>
    </row>
    <row r="46" spans="1:26" ht="15.75" customHeight="1" x14ac:dyDescent="0.35">
      <c r="A46" s="363"/>
      <c r="B46" s="364"/>
      <c r="E46" s="364"/>
      <c r="H46" s="364"/>
      <c r="K46" s="363"/>
      <c r="L46" s="364"/>
      <c r="M46" s="363"/>
      <c r="N46" s="363"/>
      <c r="O46" s="363"/>
      <c r="P46" s="364"/>
      <c r="Q46" s="363"/>
      <c r="R46" s="363"/>
      <c r="S46" s="363"/>
      <c r="T46" s="363"/>
      <c r="U46" s="363"/>
      <c r="V46" s="363"/>
      <c r="W46" s="363"/>
      <c r="X46" s="363"/>
      <c r="Y46" s="363"/>
      <c r="Z46" s="363"/>
    </row>
    <row r="47" spans="1:26" ht="15.75" customHeight="1" x14ac:dyDescent="0.35">
      <c r="A47" s="363"/>
      <c r="B47" s="364"/>
      <c r="E47" s="364"/>
      <c r="H47" s="364"/>
      <c r="K47" s="363"/>
      <c r="L47" s="364"/>
      <c r="M47" s="363"/>
      <c r="N47" s="363"/>
      <c r="O47" s="363"/>
      <c r="P47" s="364"/>
      <c r="Q47" s="363"/>
      <c r="R47" s="363"/>
      <c r="S47" s="363"/>
      <c r="T47" s="363"/>
      <c r="U47" s="363"/>
      <c r="V47" s="363"/>
      <c r="W47" s="363"/>
      <c r="X47" s="363"/>
      <c r="Y47" s="363"/>
      <c r="Z47" s="363"/>
    </row>
    <row r="48" spans="1:26" ht="15.75" customHeight="1" x14ac:dyDescent="0.35">
      <c r="A48" s="363"/>
      <c r="B48" s="364"/>
      <c r="E48" s="364"/>
      <c r="H48" s="364"/>
      <c r="K48" s="363"/>
      <c r="L48" s="364"/>
      <c r="M48" s="363"/>
      <c r="N48" s="363"/>
      <c r="O48" s="363"/>
      <c r="P48" s="364"/>
      <c r="Q48" s="363"/>
      <c r="R48" s="363"/>
      <c r="S48" s="363"/>
      <c r="T48" s="363"/>
      <c r="U48" s="363"/>
      <c r="V48" s="363"/>
      <c r="W48" s="363"/>
      <c r="X48" s="363"/>
      <c r="Y48" s="363"/>
      <c r="Z48" s="363"/>
    </row>
    <row r="49" spans="1:26" ht="15.75" customHeight="1" x14ac:dyDescent="0.35">
      <c r="A49" s="363"/>
      <c r="B49" s="364"/>
      <c r="E49" s="364"/>
      <c r="H49" s="364"/>
      <c r="K49" s="363"/>
      <c r="L49" s="364"/>
      <c r="M49" s="363"/>
      <c r="N49" s="363"/>
      <c r="O49" s="363"/>
      <c r="P49" s="364"/>
      <c r="Q49" s="363"/>
      <c r="R49" s="363"/>
      <c r="S49" s="363"/>
      <c r="T49" s="363"/>
      <c r="U49" s="363"/>
      <c r="V49" s="363"/>
      <c r="W49" s="363"/>
      <c r="X49" s="363"/>
      <c r="Y49" s="363"/>
      <c r="Z49" s="363"/>
    </row>
    <row r="50" spans="1:26" ht="15.75" customHeight="1" x14ac:dyDescent="0.35">
      <c r="A50" s="363"/>
      <c r="B50" s="364"/>
      <c r="E50" s="364"/>
      <c r="H50" s="364"/>
      <c r="K50" s="363"/>
      <c r="L50" s="364"/>
      <c r="M50" s="363"/>
      <c r="N50" s="363"/>
      <c r="O50" s="363"/>
      <c r="P50" s="364"/>
      <c r="Q50" s="363"/>
      <c r="R50" s="363"/>
      <c r="S50" s="363"/>
      <c r="T50" s="363"/>
      <c r="U50" s="363"/>
      <c r="V50" s="363"/>
      <c r="W50" s="363"/>
      <c r="X50" s="363"/>
      <c r="Y50" s="363"/>
      <c r="Z50" s="363"/>
    </row>
    <row r="51" spans="1:26" ht="15.75" customHeight="1" x14ac:dyDescent="0.35">
      <c r="A51" s="363"/>
      <c r="B51" s="364"/>
      <c r="E51" s="364"/>
      <c r="H51" s="364"/>
      <c r="K51" s="363"/>
      <c r="L51" s="364"/>
      <c r="M51" s="363"/>
      <c r="N51" s="363"/>
      <c r="O51" s="363"/>
      <c r="P51" s="364"/>
      <c r="Q51" s="363"/>
      <c r="R51" s="363"/>
      <c r="S51" s="363"/>
      <c r="T51" s="363"/>
      <c r="U51" s="363"/>
      <c r="V51" s="363"/>
      <c r="W51" s="363"/>
      <c r="X51" s="363"/>
      <c r="Y51" s="363"/>
      <c r="Z51" s="363"/>
    </row>
    <row r="52" spans="1:26" ht="15.75" customHeight="1" x14ac:dyDescent="0.35">
      <c r="A52" s="363"/>
      <c r="B52" s="364"/>
      <c r="E52" s="364"/>
      <c r="H52" s="364"/>
      <c r="K52" s="363"/>
      <c r="L52" s="364"/>
      <c r="M52" s="363"/>
      <c r="N52" s="363"/>
      <c r="O52" s="363"/>
      <c r="P52" s="364"/>
      <c r="Q52" s="363"/>
      <c r="R52" s="363"/>
      <c r="S52" s="363"/>
      <c r="T52" s="363"/>
      <c r="U52" s="363"/>
      <c r="V52" s="363"/>
      <c r="W52" s="363"/>
      <c r="X52" s="363"/>
      <c r="Y52" s="363"/>
      <c r="Z52" s="363"/>
    </row>
    <row r="53" spans="1:26" ht="15.75" customHeight="1" x14ac:dyDescent="0.35">
      <c r="A53" s="363"/>
      <c r="B53" s="364"/>
      <c r="E53" s="364"/>
      <c r="H53" s="364"/>
      <c r="K53" s="363"/>
      <c r="L53" s="364"/>
      <c r="M53" s="363"/>
      <c r="N53" s="363"/>
      <c r="O53" s="363"/>
      <c r="P53" s="364"/>
      <c r="Q53" s="363"/>
      <c r="R53" s="363"/>
      <c r="S53" s="363"/>
      <c r="T53" s="363"/>
      <c r="U53" s="363"/>
      <c r="V53" s="363"/>
      <c r="W53" s="363"/>
      <c r="X53" s="363"/>
      <c r="Y53" s="363"/>
      <c r="Z53" s="363"/>
    </row>
    <row r="54" spans="1:26" ht="15.75" customHeight="1" x14ac:dyDescent="0.35">
      <c r="A54" s="363"/>
      <c r="B54" s="364"/>
      <c r="E54" s="364"/>
      <c r="H54" s="364"/>
      <c r="K54" s="363"/>
      <c r="L54" s="364"/>
      <c r="M54" s="363"/>
      <c r="N54" s="363"/>
      <c r="O54" s="363"/>
      <c r="P54" s="364"/>
      <c r="Q54" s="363"/>
      <c r="R54" s="363"/>
      <c r="S54" s="363"/>
      <c r="T54" s="363"/>
      <c r="U54" s="363"/>
      <c r="V54" s="363"/>
      <c r="W54" s="363"/>
      <c r="X54" s="363"/>
      <c r="Y54" s="363"/>
      <c r="Z54" s="363"/>
    </row>
    <row r="55" spans="1:26" ht="15.75" customHeight="1" x14ac:dyDescent="0.35">
      <c r="A55" s="363"/>
      <c r="B55" s="364"/>
      <c r="E55" s="364"/>
      <c r="H55" s="364"/>
      <c r="K55" s="363"/>
      <c r="L55" s="364"/>
      <c r="M55" s="363"/>
      <c r="N55" s="363"/>
      <c r="O55" s="363"/>
      <c r="P55" s="364"/>
      <c r="Q55" s="363"/>
      <c r="R55" s="363"/>
      <c r="S55" s="363"/>
      <c r="T55" s="363"/>
      <c r="U55" s="363"/>
      <c r="V55" s="363"/>
      <c r="W55" s="363"/>
      <c r="X55" s="363"/>
      <c r="Y55" s="363"/>
      <c r="Z55" s="363"/>
    </row>
    <row r="56" spans="1:26" ht="15.75" customHeight="1" x14ac:dyDescent="0.35">
      <c r="A56" s="363"/>
      <c r="B56" s="364"/>
      <c r="E56" s="364"/>
      <c r="H56" s="364"/>
      <c r="K56" s="363"/>
      <c r="L56" s="364"/>
      <c r="M56" s="363"/>
      <c r="N56" s="363"/>
      <c r="O56" s="363"/>
      <c r="P56" s="364"/>
      <c r="Q56" s="363"/>
      <c r="R56" s="363"/>
      <c r="S56" s="363"/>
      <c r="T56" s="363"/>
      <c r="U56" s="363"/>
      <c r="V56" s="363"/>
      <c r="W56" s="363"/>
      <c r="X56" s="363"/>
      <c r="Y56" s="363"/>
      <c r="Z56" s="363"/>
    </row>
    <row r="57" spans="1:26" ht="15.75" customHeight="1" x14ac:dyDescent="0.35">
      <c r="A57" s="363"/>
      <c r="B57" s="364"/>
      <c r="E57" s="364"/>
      <c r="H57" s="364"/>
      <c r="K57" s="363"/>
      <c r="L57" s="364"/>
      <c r="M57" s="363"/>
      <c r="N57" s="363"/>
      <c r="O57" s="363"/>
      <c r="P57" s="364"/>
      <c r="Q57" s="363"/>
      <c r="R57" s="363"/>
      <c r="S57" s="363"/>
      <c r="T57" s="363"/>
      <c r="U57" s="363"/>
      <c r="V57" s="363"/>
      <c r="W57" s="363"/>
      <c r="X57" s="363"/>
      <c r="Y57" s="363"/>
      <c r="Z57" s="363"/>
    </row>
    <row r="58" spans="1:26" ht="15.75" customHeight="1" x14ac:dyDescent="0.35">
      <c r="A58" s="363"/>
      <c r="B58" s="364"/>
      <c r="E58" s="364"/>
      <c r="H58" s="364"/>
      <c r="K58" s="363"/>
      <c r="L58" s="364"/>
      <c r="M58" s="363"/>
      <c r="N58" s="363"/>
      <c r="O58" s="363"/>
      <c r="P58" s="364"/>
      <c r="Q58" s="363"/>
      <c r="R58" s="363"/>
      <c r="S58" s="363"/>
      <c r="T58" s="363"/>
      <c r="U58" s="363"/>
      <c r="V58" s="363"/>
      <c r="W58" s="363"/>
      <c r="X58" s="363"/>
      <c r="Y58" s="363"/>
      <c r="Z58" s="363"/>
    </row>
    <row r="59" spans="1:26" ht="15.75" customHeight="1" x14ac:dyDescent="0.35">
      <c r="A59" s="363"/>
      <c r="B59" s="364"/>
      <c r="E59" s="364"/>
      <c r="H59" s="364"/>
      <c r="K59" s="363"/>
      <c r="L59" s="364"/>
      <c r="M59" s="363"/>
      <c r="N59" s="363"/>
      <c r="O59" s="363"/>
      <c r="P59" s="364"/>
      <c r="Q59" s="363"/>
      <c r="R59" s="363"/>
      <c r="S59" s="363"/>
      <c r="T59" s="363"/>
      <c r="U59" s="363"/>
      <c r="V59" s="363"/>
      <c r="W59" s="363"/>
      <c r="X59" s="363"/>
      <c r="Y59" s="363"/>
      <c r="Z59" s="363"/>
    </row>
    <row r="60" spans="1:26" ht="15.75" customHeight="1" x14ac:dyDescent="0.35">
      <c r="A60" s="363"/>
      <c r="B60" s="364"/>
      <c r="E60" s="364"/>
      <c r="H60" s="364"/>
      <c r="K60" s="363"/>
      <c r="L60" s="364"/>
      <c r="M60" s="363"/>
      <c r="N60" s="363"/>
      <c r="O60" s="363"/>
      <c r="P60" s="364"/>
      <c r="Q60" s="363"/>
      <c r="R60" s="363"/>
      <c r="S60" s="363"/>
      <c r="T60" s="363"/>
      <c r="U60" s="363"/>
      <c r="V60" s="363"/>
      <c r="W60" s="363"/>
      <c r="X60" s="363"/>
      <c r="Y60" s="363"/>
      <c r="Z60" s="363"/>
    </row>
    <row r="61" spans="1:26" ht="15.75" customHeight="1" x14ac:dyDescent="0.35">
      <c r="A61" s="363"/>
      <c r="B61" s="364"/>
      <c r="E61" s="364"/>
      <c r="H61" s="364"/>
      <c r="K61" s="363"/>
      <c r="L61" s="364"/>
      <c r="M61" s="363"/>
      <c r="N61" s="363"/>
      <c r="O61" s="363"/>
      <c r="P61" s="364"/>
      <c r="Q61" s="363"/>
      <c r="R61" s="363"/>
      <c r="S61" s="363"/>
      <c r="T61" s="363"/>
      <c r="U61" s="363"/>
      <c r="V61" s="363"/>
      <c r="W61" s="363"/>
      <c r="X61" s="363"/>
      <c r="Y61" s="363"/>
      <c r="Z61" s="363"/>
    </row>
    <row r="62" spans="1:26" ht="15.75" customHeight="1" x14ac:dyDescent="0.35">
      <c r="A62" s="363"/>
      <c r="B62" s="364"/>
      <c r="E62" s="364"/>
      <c r="H62" s="364"/>
      <c r="K62" s="363"/>
      <c r="L62" s="364"/>
      <c r="M62" s="363"/>
      <c r="N62" s="363"/>
      <c r="O62" s="363"/>
      <c r="P62" s="364"/>
      <c r="Q62" s="363"/>
      <c r="R62" s="363"/>
      <c r="S62" s="363"/>
      <c r="T62" s="363"/>
      <c r="U62" s="363"/>
      <c r="V62" s="363"/>
      <c r="W62" s="363"/>
      <c r="X62" s="363"/>
      <c r="Y62" s="363"/>
      <c r="Z62" s="363"/>
    </row>
    <row r="63" spans="1:26" ht="15.75" customHeight="1" x14ac:dyDescent="0.35">
      <c r="A63" s="363"/>
      <c r="B63" s="364"/>
      <c r="E63" s="364"/>
      <c r="H63" s="364"/>
      <c r="K63" s="363"/>
      <c r="L63" s="364"/>
      <c r="M63" s="363"/>
      <c r="N63" s="363"/>
      <c r="O63" s="363"/>
      <c r="P63" s="364"/>
      <c r="Q63" s="363"/>
      <c r="R63" s="363"/>
      <c r="S63" s="363"/>
      <c r="T63" s="363"/>
      <c r="U63" s="363"/>
      <c r="V63" s="363"/>
      <c r="W63" s="363"/>
      <c r="X63" s="363"/>
      <c r="Y63" s="363"/>
      <c r="Z63" s="363"/>
    </row>
    <row r="64" spans="1:26" ht="15.75" customHeight="1" x14ac:dyDescent="0.35">
      <c r="A64" s="363"/>
      <c r="B64" s="364"/>
      <c r="E64" s="364"/>
      <c r="H64" s="364"/>
      <c r="K64" s="363"/>
      <c r="L64" s="364"/>
      <c r="M64" s="363"/>
      <c r="N64" s="363"/>
      <c r="O64" s="363"/>
      <c r="P64" s="364"/>
      <c r="Q64" s="363"/>
      <c r="R64" s="363"/>
      <c r="S64" s="363"/>
      <c r="T64" s="363"/>
      <c r="U64" s="363"/>
      <c r="V64" s="363"/>
      <c r="W64" s="363"/>
      <c r="X64" s="363"/>
      <c r="Y64" s="363"/>
      <c r="Z64" s="363"/>
    </row>
    <row r="65" spans="1:26" ht="15.75" customHeight="1" x14ac:dyDescent="0.35">
      <c r="A65" s="363"/>
      <c r="B65" s="364"/>
      <c r="E65" s="364"/>
      <c r="H65" s="364"/>
      <c r="K65" s="363"/>
      <c r="L65" s="364"/>
      <c r="M65" s="363"/>
      <c r="N65" s="363"/>
      <c r="O65" s="363"/>
      <c r="P65" s="364"/>
      <c r="Q65" s="363"/>
      <c r="R65" s="363"/>
      <c r="S65" s="363"/>
      <c r="T65" s="363"/>
      <c r="U65" s="363"/>
      <c r="V65" s="363"/>
      <c r="W65" s="363"/>
      <c r="X65" s="363"/>
      <c r="Y65" s="363"/>
      <c r="Z65" s="363"/>
    </row>
    <row r="66" spans="1:26" ht="15.75" customHeight="1" x14ac:dyDescent="0.35">
      <c r="A66" s="363"/>
      <c r="B66" s="364"/>
      <c r="E66" s="364"/>
      <c r="H66" s="364"/>
      <c r="K66" s="363"/>
      <c r="L66" s="364"/>
      <c r="M66" s="363"/>
      <c r="N66" s="363"/>
      <c r="O66" s="363"/>
      <c r="P66" s="364"/>
      <c r="Q66" s="363"/>
      <c r="R66" s="363"/>
      <c r="S66" s="363"/>
      <c r="T66" s="363"/>
      <c r="U66" s="363"/>
      <c r="V66" s="363"/>
      <c r="W66" s="363"/>
      <c r="X66" s="363"/>
      <c r="Y66" s="363"/>
      <c r="Z66" s="363"/>
    </row>
    <row r="67" spans="1:26" ht="15.75" customHeight="1" x14ac:dyDescent="0.35">
      <c r="A67" s="363"/>
      <c r="B67" s="364"/>
      <c r="E67" s="364"/>
      <c r="H67" s="364"/>
      <c r="K67" s="363"/>
      <c r="L67" s="364"/>
      <c r="M67" s="363"/>
      <c r="N67" s="363"/>
      <c r="O67" s="363"/>
      <c r="P67" s="364"/>
      <c r="Q67" s="363"/>
      <c r="R67" s="363"/>
      <c r="S67" s="363"/>
      <c r="T67" s="363"/>
      <c r="U67" s="363"/>
      <c r="V67" s="363"/>
      <c r="W67" s="363"/>
      <c r="X67" s="363"/>
      <c r="Y67" s="363"/>
      <c r="Z67" s="363"/>
    </row>
    <row r="68" spans="1:26" ht="15.75" customHeight="1" x14ac:dyDescent="0.35">
      <c r="A68" s="363"/>
      <c r="B68" s="364"/>
      <c r="E68" s="364"/>
      <c r="H68" s="364"/>
      <c r="K68" s="363"/>
      <c r="L68" s="364"/>
      <c r="M68" s="363"/>
      <c r="N68" s="363"/>
      <c r="O68" s="363"/>
      <c r="P68" s="364"/>
      <c r="Q68" s="363"/>
      <c r="R68" s="363"/>
      <c r="S68" s="363"/>
      <c r="T68" s="363"/>
      <c r="U68" s="363"/>
      <c r="V68" s="363"/>
      <c r="W68" s="363"/>
      <c r="X68" s="363"/>
      <c r="Y68" s="363"/>
      <c r="Z68" s="363"/>
    </row>
    <row r="69" spans="1:26" ht="15.75" customHeight="1" x14ac:dyDescent="0.35">
      <c r="A69" s="363"/>
      <c r="B69" s="364"/>
      <c r="E69" s="364"/>
      <c r="H69" s="364"/>
      <c r="K69" s="363"/>
      <c r="L69" s="364"/>
      <c r="M69" s="363"/>
      <c r="N69" s="363"/>
      <c r="O69" s="363"/>
      <c r="P69" s="364"/>
      <c r="Q69" s="363"/>
      <c r="R69" s="363"/>
      <c r="S69" s="363"/>
      <c r="T69" s="363"/>
      <c r="U69" s="363"/>
      <c r="V69" s="363"/>
      <c r="W69" s="363"/>
      <c r="X69" s="363"/>
      <c r="Y69" s="363"/>
      <c r="Z69" s="363"/>
    </row>
    <row r="70" spans="1:26" ht="15.75" customHeight="1" x14ac:dyDescent="0.35">
      <c r="A70" s="363"/>
      <c r="B70" s="364"/>
      <c r="E70" s="364"/>
      <c r="H70" s="364"/>
      <c r="K70" s="363"/>
      <c r="L70" s="364"/>
      <c r="M70" s="363"/>
      <c r="N70" s="363"/>
      <c r="O70" s="363"/>
      <c r="P70" s="364"/>
      <c r="Q70" s="363"/>
      <c r="R70" s="363"/>
      <c r="S70" s="363"/>
      <c r="T70" s="363"/>
      <c r="U70" s="363"/>
      <c r="V70" s="363"/>
      <c r="W70" s="363"/>
      <c r="X70" s="363"/>
      <c r="Y70" s="363"/>
      <c r="Z70" s="363"/>
    </row>
    <row r="71" spans="1:26" ht="15.75" customHeight="1" x14ac:dyDescent="0.35">
      <c r="A71" s="363"/>
      <c r="B71" s="364"/>
      <c r="E71" s="364"/>
      <c r="H71" s="364"/>
      <c r="K71" s="363"/>
      <c r="L71" s="364"/>
      <c r="M71" s="363"/>
      <c r="N71" s="363"/>
      <c r="O71" s="363"/>
      <c r="P71" s="364"/>
      <c r="Q71" s="363"/>
      <c r="R71" s="363"/>
      <c r="S71" s="363"/>
      <c r="T71" s="363"/>
      <c r="U71" s="363"/>
      <c r="V71" s="363"/>
      <c r="W71" s="363"/>
      <c r="X71" s="363"/>
      <c r="Y71" s="363"/>
      <c r="Z71" s="363"/>
    </row>
    <row r="72" spans="1:26" ht="15.75" customHeight="1" x14ac:dyDescent="0.35">
      <c r="A72" s="363"/>
      <c r="B72" s="364"/>
      <c r="E72" s="364"/>
      <c r="H72" s="364"/>
      <c r="K72" s="363"/>
      <c r="L72" s="364"/>
      <c r="M72" s="363"/>
      <c r="N72" s="363"/>
      <c r="O72" s="363"/>
      <c r="P72" s="364"/>
      <c r="Q72" s="363"/>
      <c r="R72" s="363"/>
      <c r="S72" s="363"/>
      <c r="T72" s="363"/>
      <c r="U72" s="363"/>
      <c r="V72" s="363"/>
      <c r="W72" s="363"/>
      <c r="X72" s="363"/>
      <c r="Y72" s="363"/>
      <c r="Z72" s="363"/>
    </row>
    <row r="73" spans="1:26" ht="15.75" customHeight="1" x14ac:dyDescent="0.35">
      <c r="A73" s="363"/>
      <c r="B73" s="364"/>
      <c r="E73" s="364"/>
      <c r="H73" s="364"/>
      <c r="K73" s="363"/>
      <c r="L73" s="364"/>
      <c r="M73" s="363"/>
      <c r="N73" s="363"/>
      <c r="O73" s="363"/>
      <c r="P73" s="364"/>
      <c r="Q73" s="363"/>
      <c r="R73" s="363"/>
      <c r="S73" s="363"/>
      <c r="T73" s="363"/>
      <c r="U73" s="363"/>
      <c r="V73" s="363"/>
      <c r="W73" s="363"/>
      <c r="X73" s="363"/>
      <c r="Y73" s="363"/>
      <c r="Z73" s="363"/>
    </row>
    <row r="74" spans="1:26" ht="15.75" customHeight="1" x14ac:dyDescent="0.35">
      <c r="A74" s="363"/>
      <c r="B74" s="364"/>
      <c r="E74" s="364"/>
      <c r="H74" s="364"/>
      <c r="K74" s="363"/>
      <c r="L74" s="364"/>
      <c r="M74" s="363"/>
      <c r="N74" s="363"/>
      <c r="O74" s="363"/>
      <c r="P74" s="364"/>
      <c r="Q74" s="363"/>
      <c r="R74" s="363"/>
      <c r="S74" s="363"/>
      <c r="T74" s="363"/>
      <c r="U74" s="363"/>
      <c r="V74" s="363"/>
      <c r="W74" s="363"/>
      <c r="X74" s="363"/>
      <c r="Y74" s="363"/>
      <c r="Z74" s="363"/>
    </row>
    <row r="75" spans="1:26" ht="15.75" customHeight="1" x14ac:dyDescent="0.35">
      <c r="A75" s="363"/>
      <c r="B75" s="364"/>
      <c r="E75" s="364"/>
      <c r="H75" s="364"/>
      <c r="K75" s="363"/>
      <c r="L75" s="364"/>
      <c r="M75" s="363"/>
      <c r="N75" s="363"/>
      <c r="O75" s="363"/>
      <c r="P75" s="364"/>
      <c r="Q75" s="363"/>
      <c r="R75" s="363"/>
      <c r="S75" s="363"/>
      <c r="T75" s="363"/>
      <c r="U75" s="363"/>
      <c r="V75" s="363"/>
      <c r="W75" s="363"/>
      <c r="X75" s="363"/>
      <c r="Y75" s="363"/>
      <c r="Z75" s="363"/>
    </row>
    <row r="76" spans="1:26" ht="15.75" customHeight="1" x14ac:dyDescent="0.35">
      <c r="A76" s="363"/>
      <c r="B76" s="364"/>
      <c r="E76" s="364"/>
      <c r="H76" s="364"/>
      <c r="K76" s="363"/>
      <c r="L76" s="364"/>
      <c r="M76" s="363"/>
      <c r="N76" s="363"/>
      <c r="O76" s="363"/>
      <c r="P76" s="364"/>
      <c r="Q76" s="363"/>
      <c r="R76" s="363"/>
      <c r="S76" s="363"/>
      <c r="T76" s="363"/>
      <c r="U76" s="363"/>
      <c r="V76" s="363"/>
      <c r="W76" s="363"/>
      <c r="X76" s="363"/>
      <c r="Y76" s="363"/>
      <c r="Z76" s="363"/>
    </row>
    <row r="77" spans="1:26" ht="15.75" customHeight="1" x14ac:dyDescent="0.35">
      <c r="A77" s="363"/>
      <c r="B77" s="364"/>
      <c r="E77" s="364"/>
      <c r="H77" s="364"/>
      <c r="K77" s="363"/>
      <c r="L77" s="364"/>
      <c r="M77" s="363"/>
      <c r="N77" s="363"/>
      <c r="O77" s="363"/>
      <c r="P77" s="364"/>
      <c r="Q77" s="363"/>
      <c r="R77" s="363"/>
      <c r="S77" s="363"/>
      <c r="T77" s="363"/>
      <c r="U77" s="363"/>
      <c r="V77" s="363"/>
      <c r="W77" s="363"/>
      <c r="X77" s="363"/>
      <c r="Y77" s="363"/>
      <c r="Z77" s="363"/>
    </row>
    <row r="78" spans="1:26" ht="15.75" customHeight="1" x14ac:dyDescent="0.35">
      <c r="A78" s="363"/>
      <c r="B78" s="364"/>
      <c r="E78" s="364"/>
      <c r="H78" s="364"/>
      <c r="K78" s="363"/>
      <c r="L78" s="364"/>
      <c r="M78" s="363"/>
      <c r="N78" s="363"/>
      <c r="O78" s="363"/>
      <c r="P78" s="364"/>
      <c r="Q78" s="363"/>
      <c r="R78" s="363"/>
      <c r="S78" s="363"/>
      <c r="T78" s="363"/>
      <c r="U78" s="363"/>
      <c r="V78" s="363"/>
      <c r="W78" s="363"/>
      <c r="X78" s="363"/>
      <c r="Y78" s="363"/>
      <c r="Z78" s="363"/>
    </row>
    <row r="79" spans="1:26" ht="15.75" customHeight="1" x14ac:dyDescent="0.35">
      <c r="A79" s="363"/>
      <c r="B79" s="364"/>
      <c r="E79" s="364"/>
      <c r="H79" s="364"/>
      <c r="K79" s="363"/>
      <c r="L79" s="364"/>
      <c r="M79" s="363"/>
      <c r="N79" s="363"/>
      <c r="O79" s="363"/>
      <c r="P79" s="364"/>
      <c r="Q79" s="363"/>
      <c r="R79" s="363"/>
      <c r="S79" s="363"/>
      <c r="T79" s="363"/>
      <c r="U79" s="363"/>
      <c r="V79" s="363"/>
      <c r="W79" s="363"/>
      <c r="X79" s="363"/>
      <c r="Y79" s="363"/>
      <c r="Z79" s="363"/>
    </row>
    <row r="80" spans="1:26" ht="15.75" customHeight="1" x14ac:dyDescent="0.35">
      <c r="A80" s="363"/>
      <c r="B80" s="364"/>
      <c r="E80" s="364"/>
      <c r="H80" s="364"/>
      <c r="K80" s="363"/>
      <c r="L80" s="364"/>
      <c r="M80" s="363"/>
      <c r="N80" s="363"/>
      <c r="O80" s="363"/>
      <c r="P80" s="364"/>
      <c r="Q80" s="363"/>
      <c r="R80" s="363"/>
      <c r="S80" s="363"/>
      <c r="T80" s="363"/>
      <c r="U80" s="363"/>
      <c r="V80" s="363"/>
      <c r="W80" s="363"/>
      <c r="X80" s="363"/>
      <c r="Y80" s="363"/>
      <c r="Z80" s="363"/>
    </row>
    <row r="81" spans="1:26" ht="15.75" customHeight="1" x14ac:dyDescent="0.35">
      <c r="A81" s="363"/>
      <c r="B81" s="364"/>
      <c r="E81" s="364"/>
      <c r="H81" s="364"/>
      <c r="K81" s="363"/>
      <c r="L81" s="364"/>
      <c r="M81" s="363"/>
      <c r="N81" s="363"/>
      <c r="O81" s="363"/>
      <c r="P81" s="364"/>
      <c r="Q81" s="363"/>
      <c r="R81" s="363"/>
      <c r="S81" s="363"/>
      <c r="T81" s="363"/>
      <c r="U81" s="363"/>
      <c r="V81" s="363"/>
      <c r="W81" s="363"/>
      <c r="X81" s="363"/>
      <c r="Y81" s="363"/>
      <c r="Z81" s="363"/>
    </row>
    <row r="82" spans="1:26" ht="15.75" customHeight="1" x14ac:dyDescent="0.35">
      <c r="A82" s="363"/>
      <c r="B82" s="364"/>
      <c r="E82" s="364"/>
      <c r="H82" s="364"/>
      <c r="K82" s="363"/>
      <c r="L82" s="364"/>
      <c r="M82" s="363"/>
      <c r="N82" s="363"/>
      <c r="O82" s="363"/>
      <c r="P82" s="364"/>
      <c r="Q82" s="363"/>
      <c r="R82" s="363"/>
      <c r="S82" s="363"/>
      <c r="T82" s="363"/>
      <c r="U82" s="363"/>
      <c r="V82" s="363"/>
      <c r="W82" s="363"/>
      <c r="X82" s="363"/>
      <c r="Y82" s="363"/>
      <c r="Z82" s="363"/>
    </row>
    <row r="83" spans="1:26" ht="15.75" customHeight="1" x14ac:dyDescent="0.35">
      <c r="A83" s="363"/>
      <c r="B83" s="364"/>
      <c r="E83" s="364"/>
      <c r="H83" s="364"/>
      <c r="K83" s="363"/>
      <c r="L83" s="364"/>
      <c r="M83" s="363"/>
      <c r="N83" s="363"/>
      <c r="O83" s="363"/>
      <c r="P83" s="364"/>
      <c r="Q83" s="363"/>
      <c r="R83" s="363"/>
      <c r="S83" s="363"/>
      <c r="T83" s="363"/>
      <c r="U83" s="363"/>
      <c r="V83" s="363"/>
      <c r="W83" s="363"/>
      <c r="X83" s="363"/>
      <c r="Y83" s="363"/>
      <c r="Z83" s="363"/>
    </row>
    <row r="84" spans="1:26" ht="15.75" customHeight="1" x14ac:dyDescent="0.35">
      <c r="A84" s="363"/>
      <c r="B84" s="364"/>
      <c r="E84" s="364"/>
      <c r="H84" s="364"/>
      <c r="K84" s="363"/>
      <c r="L84" s="364"/>
      <c r="M84" s="363"/>
      <c r="N84" s="363"/>
      <c r="O84" s="363"/>
      <c r="P84" s="364"/>
      <c r="Q84" s="363"/>
      <c r="R84" s="363"/>
      <c r="S84" s="363"/>
      <c r="T84" s="363"/>
      <c r="U84" s="363"/>
      <c r="V84" s="363"/>
      <c r="W84" s="363"/>
      <c r="X84" s="363"/>
      <c r="Y84" s="363"/>
      <c r="Z84" s="363"/>
    </row>
    <row r="85" spans="1:26" ht="15.75" customHeight="1" x14ac:dyDescent="0.35">
      <c r="A85" s="363"/>
      <c r="B85" s="364"/>
      <c r="E85" s="364"/>
      <c r="H85" s="364"/>
      <c r="K85" s="363"/>
      <c r="L85" s="364"/>
      <c r="M85" s="363"/>
      <c r="N85" s="363"/>
      <c r="O85" s="363"/>
      <c r="P85" s="364"/>
      <c r="Q85" s="363"/>
      <c r="R85" s="363"/>
      <c r="S85" s="363"/>
      <c r="T85" s="363"/>
      <c r="U85" s="363"/>
      <c r="V85" s="363"/>
      <c r="W85" s="363"/>
      <c r="X85" s="363"/>
      <c r="Y85" s="363"/>
      <c r="Z85" s="363"/>
    </row>
    <row r="86" spans="1:26" ht="15.75" customHeight="1" x14ac:dyDescent="0.35">
      <c r="A86" s="363"/>
      <c r="B86" s="364"/>
      <c r="E86" s="364"/>
      <c r="H86" s="364"/>
      <c r="K86" s="363"/>
      <c r="L86" s="364"/>
      <c r="M86" s="363"/>
      <c r="N86" s="363"/>
      <c r="O86" s="363"/>
      <c r="P86" s="364"/>
      <c r="Q86" s="363"/>
      <c r="R86" s="363"/>
      <c r="S86" s="363"/>
      <c r="T86" s="363"/>
      <c r="U86" s="363"/>
      <c r="V86" s="363"/>
      <c r="W86" s="363"/>
      <c r="X86" s="363"/>
      <c r="Y86" s="363"/>
      <c r="Z86" s="363"/>
    </row>
    <row r="87" spans="1:26" ht="15.75" customHeight="1" x14ac:dyDescent="0.35">
      <c r="A87" s="363"/>
      <c r="B87" s="364"/>
      <c r="E87" s="364"/>
      <c r="H87" s="364"/>
      <c r="K87" s="363"/>
      <c r="L87" s="364"/>
      <c r="M87" s="363"/>
      <c r="N87" s="363"/>
      <c r="O87" s="363"/>
      <c r="P87" s="364"/>
      <c r="Q87" s="363"/>
      <c r="R87" s="363"/>
      <c r="S87" s="363"/>
      <c r="T87" s="363"/>
      <c r="U87" s="363"/>
      <c r="V87" s="363"/>
      <c r="W87" s="363"/>
      <c r="X87" s="363"/>
      <c r="Y87" s="363"/>
      <c r="Z87" s="363"/>
    </row>
    <row r="88" spans="1:26" ht="15.75" customHeight="1" x14ac:dyDescent="0.35">
      <c r="A88" s="363"/>
      <c r="B88" s="364"/>
      <c r="E88" s="364"/>
      <c r="H88" s="364"/>
      <c r="K88" s="363"/>
      <c r="L88" s="364"/>
      <c r="M88" s="363"/>
      <c r="N88" s="363"/>
      <c r="O88" s="363"/>
      <c r="P88" s="364"/>
      <c r="Q88" s="363"/>
      <c r="R88" s="363"/>
      <c r="S88" s="363"/>
      <c r="T88" s="363"/>
      <c r="U88" s="363"/>
      <c r="V88" s="363"/>
      <c r="W88" s="363"/>
      <c r="X88" s="363"/>
      <c r="Y88" s="363"/>
      <c r="Z88" s="363"/>
    </row>
    <row r="89" spans="1:26" ht="15.75" customHeight="1" x14ac:dyDescent="0.35">
      <c r="A89" s="363"/>
      <c r="B89" s="364"/>
      <c r="E89" s="364"/>
      <c r="H89" s="364"/>
      <c r="K89" s="363"/>
      <c r="L89" s="364"/>
      <c r="M89" s="363"/>
      <c r="N89" s="363"/>
      <c r="O89" s="363"/>
      <c r="P89" s="364"/>
      <c r="Q89" s="363"/>
      <c r="R89" s="363"/>
      <c r="S89" s="363"/>
      <c r="T89" s="363"/>
      <c r="U89" s="363"/>
      <c r="V89" s="363"/>
      <c r="W89" s="363"/>
      <c r="X89" s="363"/>
      <c r="Y89" s="363"/>
      <c r="Z89" s="363"/>
    </row>
    <row r="90" spans="1:26" ht="15.75" customHeight="1" x14ac:dyDescent="0.35">
      <c r="A90" s="363"/>
      <c r="B90" s="364"/>
      <c r="E90" s="364"/>
      <c r="H90" s="364"/>
      <c r="K90" s="363"/>
      <c r="L90" s="364"/>
      <c r="M90" s="363"/>
      <c r="N90" s="363"/>
      <c r="O90" s="363"/>
      <c r="P90" s="364"/>
      <c r="Q90" s="363"/>
      <c r="R90" s="363"/>
      <c r="S90" s="363"/>
      <c r="T90" s="363"/>
      <c r="U90" s="363"/>
      <c r="V90" s="363"/>
      <c r="W90" s="363"/>
      <c r="X90" s="363"/>
      <c r="Y90" s="363"/>
      <c r="Z90" s="363"/>
    </row>
    <row r="91" spans="1:26" ht="15.75" customHeight="1" x14ac:dyDescent="0.35">
      <c r="A91" s="363"/>
      <c r="B91" s="364"/>
      <c r="E91" s="364"/>
      <c r="H91" s="364"/>
      <c r="K91" s="363"/>
      <c r="L91" s="364"/>
      <c r="M91" s="363"/>
      <c r="N91" s="363"/>
      <c r="O91" s="363"/>
      <c r="P91" s="364"/>
      <c r="Q91" s="363"/>
      <c r="R91" s="363"/>
      <c r="S91" s="363"/>
      <c r="T91" s="363"/>
      <c r="U91" s="363"/>
      <c r="V91" s="363"/>
      <c r="W91" s="363"/>
      <c r="X91" s="363"/>
      <c r="Y91" s="363"/>
      <c r="Z91" s="363"/>
    </row>
    <row r="92" spans="1:26" ht="15.75" customHeight="1" x14ac:dyDescent="0.35">
      <c r="A92" s="363"/>
      <c r="B92" s="364"/>
      <c r="E92" s="364"/>
      <c r="H92" s="364"/>
      <c r="K92" s="363"/>
      <c r="L92" s="364"/>
      <c r="M92" s="363"/>
      <c r="N92" s="363"/>
      <c r="O92" s="363"/>
      <c r="P92" s="364"/>
      <c r="Q92" s="363"/>
      <c r="R92" s="363"/>
      <c r="S92" s="363"/>
      <c r="T92" s="363"/>
      <c r="U92" s="363"/>
      <c r="V92" s="363"/>
      <c r="W92" s="363"/>
      <c r="X92" s="363"/>
      <c r="Y92" s="363"/>
      <c r="Z92" s="363"/>
    </row>
    <row r="93" spans="1:26" ht="15.75" customHeight="1" x14ac:dyDescent="0.35">
      <c r="A93" s="363"/>
      <c r="B93" s="364"/>
      <c r="E93" s="364"/>
      <c r="H93" s="364"/>
      <c r="K93" s="363"/>
      <c r="L93" s="364"/>
      <c r="M93" s="363"/>
      <c r="N93" s="363"/>
      <c r="O93" s="363"/>
      <c r="P93" s="364"/>
      <c r="Q93" s="363"/>
      <c r="R93" s="363"/>
      <c r="S93" s="363"/>
      <c r="T93" s="363"/>
      <c r="U93" s="363"/>
      <c r="V93" s="363"/>
      <c r="W93" s="363"/>
      <c r="X93" s="363"/>
      <c r="Y93" s="363"/>
      <c r="Z93" s="363"/>
    </row>
    <row r="94" spans="1:26" ht="15.75" customHeight="1" x14ac:dyDescent="0.35">
      <c r="A94" s="363"/>
      <c r="B94" s="364"/>
      <c r="E94" s="364"/>
      <c r="H94" s="364"/>
      <c r="K94" s="363"/>
      <c r="L94" s="364"/>
      <c r="M94" s="363"/>
      <c r="N94" s="363"/>
      <c r="O94" s="363"/>
      <c r="P94" s="364"/>
      <c r="Q94" s="363"/>
      <c r="R94" s="363"/>
      <c r="S94" s="363"/>
      <c r="T94" s="363"/>
      <c r="U94" s="363"/>
      <c r="V94" s="363"/>
      <c r="W94" s="363"/>
      <c r="X94" s="363"/>
      <c r="Y94" s="363"/>
      <c r="Z94" s="363"/>
    </row>
    <row r="95" spans="1:26" ht="15.75" customHeight="1" x14ac:dyDescent="0.35">
      <c r="A95" s="363"/>
      <c r="B95" s="364"/>
      <c r="E95" s="364"/>
      <c r="H95" s="364"/>
      <c r="K95" s="363"/>
      <c r="L95" s="364"/>
      <c r="M95" s="363"/>
      <c r="N95" s="363"/>
      <c r="O95" s="363"/>
      <c r="P95" s="364"/>
      <c r="Q95" s="363"/>
      <c r="R95" s="363"/>
      <c r="S95" s="363"/>
      <c r="T95" s="363"/>
      <c r="U95" s="363"/>
      <c r="V95" s="363"/>
      <c r="W95" s="363"/>
      <c r="X95" s="363"/>
      <c r="Y95" s="363"/>
      <c r="Z95" s="363"/>
    </row>
    <row r="96" spans="1:26" ht="15.75" customHeight="1" x14ac:dyDescent="0.35">
      <c r="A96" s="363"/>
      <c r="B96" s="364"/>
      <c r="E96" s="364"/>
      <c r="H96" s="364"/>
      <c r="K96" s="363"/>
      <c r="L96" s="364"/>
      <c r="M96" s="363"/>
      <c r="N96" s="363"/>
      <c r="O96" s="363"/>
      <c r="P96" s="364"/>
      <c r="Q96" s="363"/>
      <c r="R96" s="363"/>
      <c r="S96" s="363"/>
      <c r="T96" s="363"/>
      <c r="U96" s="363"/>
      <c r="V96" s="363"/>
      <c r="W96" s="363"/>
      <c r="X96" s="363"/>
      <c r="Y96" s="363"/>
      <c r="Z96" s="363"/>
    </row>
    <row r="97" spans="1:26" ht="15.75" customHeight="1" x14ac:dyDescent="0.35">
      <c r="A97" s="363"/>
      <c r="B97" s="364"/>
      <c r="E97" s="364"/>
      <c r="H97" s="364"/>
      <c r="K97" s="363"/>
      <c r="L97" s="364"/>
      <c r="M97" s="363"/>
      <c r="N97" s="363"/>
      <c r="O97" s="363"/>
      <c r="P97" s="364"/>
      <c r="Q97" s="363"/>
      <c r="R97" s="363"/>
      <c r="S97" s="363"/>
      <c r="T97" s="363"/>
      <c r="U97" s="363"/>
      <c r="V97" s="363"/>
      <c r="W97" s="363"/>
      <c r="X97" s="363"/>
      <c r="Y97" s="363"/>
      <c r="Z97" s="363"/>
    </row>
    <row r="98" spans="1:26" ht="15.75" customHeight="1" x14ac:dyDescent="0.35">
      <c r="A98" s="363"/>
      <c r="B98" s="364"/>
      <c r="E98" s="364"/>
      <c r="H98" s="364"/>
      <c r="K98" s="363"/>
      <c r="L98" s="364"/>
      <c r="M98" s="363"/>
      <c r="N98" s="363"/>
      <c r="O98" s="363"/>
      <c r="P98" s="364"/>
      <c r="Q98" s="363"/>
      <c r="R98" s="363"/>
      <c r="S98" s="363"/>
      <c r="T98" s="363"/>
      <c r="U98" s="363"/>
      <c r="V98" s="363"/>
      <c r="W98" s="363"/>
      <c r="X98" s="363"/>
      <c r="Y98" s="363"/>
      <c r="Z98" s="363"/>
    </row>
    <row r="99" spans="1:26" ht="15.75" customHeight="1" x14ac:dyDescent="0.35">
      <c r="A99" s="363"/>
      <c r="B99" s="364"/>
      <c r="E99" s="364"/>
      <c r="H99" s="364"/>
      <c r="K99" s="363"/>
      <c r="L99" s="364"/>
      <c r="M99" s="363"/>
      <c r="N99" s="363"/>
      <c r="O99" s="363"/>
      <c r="P99" s="364"/>
      <c r="Q99" s="363"/>
      <c r="R99" s="363"/>
      <c r="S99" s="363"/>
      <c r="T99" s="363"/>
      <c r="U99" s="363"/>
      <c r="V99" s="363"/>
      <c r="W99" s="363"/>
      <c r="X99" s="363"/>
      <c r="Y99" s="363"/>
      <c r="Z99" s="363"/>
    </row>
    <row r="100" spans="1:26" ht="15.75" customHeight="1" x14ac:dyDescent="0.35">
      <c r="A100" s="363"/>
      <c r="B100" s="364"/>
      <c r="E100" s="364"/>
      <c r="H100" s="364"/>
      <c r="K100" s="363"/>
      <c r="L100" s="364"/>
      <c r="M100" s="363"/>
      <c r="N100" s="363"/>
      <c r="O100" s="363"/>
      <c r="P100" s="364"/>
      <c r="Q100" s="363"/>
      <c r="R100" s="363"/>
      <c r="S100" s="363"/>
      <c r="T100" s="363"/>
      <c r="U100" s="363"/>
      <c r="V100" s="363"/>
      <c r="W100" s="363"/>
      <c r="X100" s="363"/>
      <c r="Y100" s="363"/>
      <c r="Z100" s="363"/>
    </row>
    <row r="101" spans="1:26" ht="15.75" customHeight="1" x14ac:dyDescent="0.35">
      <c r="A101" s="363"/>
      <c r="B101" s="364"/>
      <c r="E101" s="364"/>
      <c r="H101" s="364"/>
      <c r="K101" s="363"/>
      <c r="L101" s="364"/>
      <c r="M101" s="363"/>
      <c r="N101" s="363"/>
      <c r="O101" s="363"/>
      <c r="P101" s="364"/>
      <c r="Q101" s="363"/>
      <c r="R101" s="363"/>
      <c r="S101" s="363"/>
      <c r="T101" s="363"/>
      <c r="U101" s="363"/>
      <c r="V101" s="363"/>
      <c r="W101" s="363"/>
      <c r="X101" s="363"/>
      <c r="Y101" s="363"/>
      <c r="Z101" s="363"/>
    </row>
    <row r="102" spans="1:26" ht="15.75" customHeight="1" x14ac:dyDescent="0.35">
      <c r="A102" s="363"/>
      <c r="B102" s="364"/>
      <c r="E102" s="364"/>
      <c r="H102" s="364"/>
      <c r="K102" s="363"/>
      <c r="L102" s="364"/>
      <c r="M102" s="363"/>
      <c r="N102" s="363"/>
      <c r="O102" s="363"/>
      <c r="P102" s="364"/>
      <c r="Q102" s="363"/>
      <c r="R102" s="363"/>
      <c r="S102" s="363"/>
      <c r="T102" s="363"/>
      <c r="U102" s="363"/>
      <c r="V102" s="363"/>
      <c r="W102" s="363"/>
      <c r="X102" s="363"/>
      <c r="Y102" s="363"/>
      <c r="Z102" s="363"/>
    </row>
    <row r="103" spans="1:26" ht="15.75" customHeight="1" x14ac:dyDescent="0.35">
      <c r="A103" s="363"/>
      <c r="B103" s="364"/>
      <c r="E103" s="364"/>
      <c r="H103" s="364"/>
      <c r="K103" s="363"/>
      <c r="L103" s="364"/>
      <c r="M103" s="363"/>
      <c r="N103" s="363"/>
      <c r="O103" s="363"/>
      <c r="P103" s="364"/>
      <c r="Q103" s="363"/>
      <c r="R103" s="363"/>
      <c r="S103" s="363"/>
      <c r="T103" s="363"/>
      <c r="U103" s="363"/>
      <c r="V103" s="363"/>
      <c r="W103" s="363"/>
      <c r="X103" s="363"/>
      <c r="Y103" s="363"/>
      <c r="Z103" s="363"/>
    </row>
    <row r="104" spans="1:26" ht="15.75" customHeight="1" x14ac:dyDescent="0.35">
      <c r="A104" s="363"/>
      <c r="B104" s="364"/>
      <c r="E104" s="364"/>
      <c r="H104" s="364"/>
      <c r="K104" s="363"/>
      <c r="L104" s="364"/>
      <c r="M104" s="363"/>
      <c r="N104" s="363"/>
      <c r="O104" s="363"/>
      <c r="P104" s="364"/>
      <c r="Q104" s="363"/>
      <c r="R104" s="363"/>
      <c r="S104" s="363"/>
      <c r="T104" s="363"/>
      <c r="U104" s="363"/>
      <c r="V104" s="363"/>
      <c r="W104" s="363"/>
      <c r="X104" s="363"/>
      <c r="Y104" s="363"/>
      <c r="Z104" s="363"/>
    </row>
    <row r="105" spans="1:26" ht="15.75" customHeight="1" x14ac:dyDescent="0.35">
      <c r="A105" s="363"/>
      <c r="B105" s="364"/>
      <c r="E105" s="364"/>
      <c r="H105" s="364"/>
      <c r="K105" s="363"/>
      <c r="L105" s="364"/>
      <c r="M105" s="363"/>
      <c r="N105" s="363"/>
      <c r="O105" s="363"/>
      <c r="P105" s="364"/>
      <c r="Q105" s="363"/>
      <c r="R105" s="363"/>
      <c r="S105" s="363"/>
      <c r="T105" s="363"/>
      <c r="U105" s="363"/>
      <c r="V105" s="363"/>
      <c r="W105" s="363"/>
      <c r="X105" s="363"/>
      <c r="Y105" s="363"/>
      <c r="Z105" s="363"/>
    </row>
    <row r="106" spans="1:26" ht="15.75" customHeight="1" x14ac:dyDescent="0.35">
      <c r="A106" s="363"/>
      <c r="B106" s="364"/>
      <c r="E106" s="364"/>
      <c r="H106" s="364"/>
      <c r="K106" s="363"/>
      <c r="L106" s="364"/>
      <c r="M106" s="363"/>
      <c r="N106" s="363"/>
      <c r="O106" s="363"/>
      <c r="P106" s="364"/>
      <c r="Q106" s="363"/>
      <c r="R106" s="363"/>
      <c r="S106" s="363"/>
      <c r="T106" s="363"/>
      <c r="U106" s="363"/>
      <c r="V106" s="363"/>
      <c r="W106" s="363"/>
      <c r="X106" s="363"/>
      <c r="Y106" s="363"/>
      <c r="Z106" s="363"/>
    </row>
    <row r="107" spans="1:26" ht="15.75" customHeight="1" x14ac:dyDescent="0.35">
      <c r="A107" s="363"/>
      <c r="B107" s="364"/>
      <c r="E107" s="364"/>
      <c r="H107" s="364"/>
      <c r="K107" s="363"/>
      <c r="L107" s="364"/>
      <c r="M107" s="363"/>
      <c r="N107" s="363"/>
      <c r="O107" s="363"/>
      <c r="P107" s="364"/>
      <c r="Q107" s="363"/>
      <c r="R107" s="363"/>
      <c r="S107" s="363"/>
      <c r="T107" s="363"/>
      <c r="U107" s="363"/>
      <c r="V107" s="363"/>
      <c r="W107" s="363"/>
      <c r="X107" s="363"/>
      <c r="Y107" s="363"/>
      <c r="Z107" s="363"/>
    </row>
    <row r="108" spans="1:26" ht="15.75" customHeight="1" x14ac:dyDescent="0.35">
      <c r="A108" s="363"/>
      <c r="B108" s="364"/>
      <c r="E108" s="364"/>
      <c r="H108" s="364"/>
      <c r="K108" s="363"/>
      <c r="L108" s="364"/>
      <c r="M108" s="363"/>
      <c r="N108" s="363"/>
      <c r="O108" s="363"/>
      <c r="P108" s="364"/>
      <c r="Q108" s="363"/>
      <c r="R108" s="363"/>
      <c r="S108" s="363"/>
      <c r="T108" s="363"/>
      <c r="U108" s="363"/>
      <c r="V108" s="363"/>
      <c r="W108" s="363"/>
      <c r="X108" s="363"/>
      <c r="Y108" s="363"/>
      <c r="Z108" s="363"/>
    </row>
    <row r="109" spans="1:26" ht="15.75" customHeight="1" x14ac:dyDescent="0.35">
      <c r="A109" s="363"/>
      <c r="B109" s="364"/>
      <c r="E109" s="364"/>
      <c r="H109" s="364"/>
      <c r="K109" s="363"/>
      <c r="L109" s="364"/>
      <c r="M109" s="363"/>
      <c r="N109" s="363"/>
      <c r="O109" s="363"/>
      <c r="P109" s="364"/>
      <c r="Q109" s="363"/>
      <c r="R109" s="363"/>
      <c r="S109" s="363"/>
      <c r="T109" s="363"/>
      <c r="U109" s="363"/>
      <c r="V109" s="363"/>
      <c r="W109" s="363"/>
      <c r="X109" s="363"/>
      <c r="Y109" s="363"/>
      <c r="Z109" s="363"/>
    </row>
    <row r="110" spans="1:26" ht="15.75" customHeight="1" x14ac:dyDescent="0.35">
      <c r="A110" s="363"/>
      <c r="B110" s="364"/>
      <c r="E110" s="364"/>
      <c r="H110" s="364"/>
      <c r="K110" s="363"/>
      <c r="L110" s="364"/>
      <c r="M110" s="363"/>
      <c r="N110" s="363"/>
      <c r="O110" s="363"/>
      <c r="P110" s="364"/>
      <c r="Q110" s="363"/>
      <c r="R110" s="363"/>
      <c r="S110" s="363"/>
      <c r="T110" s="363"/>
      <c r="U110" s="363"/>
      <c r="V110" s="363"/>
      <c r="W110" s="363"/>
      <c r="X110" s="363"/>
      <c r="Y110" s="363"/>
      <c r="Z110" s="363"/>
    </row>
    <row r="111" spans="1:26" ht="15.75" customHeight="1" x14ac:dyDescent="0.35">
      <c r="A111" s="363"/>
      <c r="B111" s="364"/>
      <c r="E111" s="364"/>
      <c r="H111" s="364"/>
      <c r="K111" s="363"/>
      <c r="L111" s="364"/>
      <c r="M111" s="363"/>
      <c r="N111" s="363"/>
      <c r="O111" s="363"/>
      <c r="P111" s="364"/>
      <c r="Q111" s="363"/>
      <c r="R111" s="363"/>
      <c r="S111" s="363"/>
      <c r="T111" s="363"/>
      <c r="U111" s="363"/>
      <c r="V111" s="363"/>
      <c r="W111" s="363"/>
      <c r="X111" s="363"/>
      <c r="Y111" s="363"/>
      <c r="Z111" s="363"/>
    </row>
    <row r="112" spans="1:26" ht="15.75" customHeight="1" x14ac:dyDescent="0.35">
      <c r="A112" s="363"/>
      <c r="B112" s="364"/>
      <c r="E112" s="364"/>
      <c r="H112" s="364"/>
      <c r="K112" s="363"/>
      <c r="L112" s="364"/>
      <c r="M112" s="363"/>
      <c r="N112" s="363"/>
      <c r="O112" s="363"/>
      <c r="P112" s="364"/>
      <c r="Q112" s="363"/>
      <c r="R112" s="363"/>
      <c r="S112" s="363"/>
      <c r="T112" s="363"/>
      <c r="U112" s="363"/>
      <c r="V112" s="363"/>
      <c r="W112" s="363"/>
      <c r="X112" s="363"/>
      <c r="Y112" s="363"/>
      <c r="Z112" s="363"/>
    </row>
    <row r="113" spans="1:26" ht="15.75" customHeight="1" x14ac:dyDescent="0.35">
      <c r="A113" s="363"/>
      <c r="B113" s="364"/>
      <c r="E113" s="364"/>
      <c r="H113" s="364"/>
      <c r="K113" s="363"/>
      <c r="L113" s="364"/>
      <c r="M113" s="363"/>
      <c r="N113" s="363"/>
      <c r="O113" s="363"/>
      <c r="P113" s="364"/>
      <c r="Q113" s="363"/>
      <c r="R113" s="363"/>
      <c r="S113" s="363"/>
      <c r="T113" s="363"/>
      <c r="U113" s="363"/>
      <c r="V113" s="363"/>
      <c r="W113" s="363"/>
      <c r="X113" s="363"/>
      <c r="Y113" s="363"/>
      <c r="Z113" s="363"/>
    </row>
    <row r="114" spans="1:26" ht="15.75" customHeight="1" x14ac:dyDescent="0.35">
      <c r="A114" s="363"/>
      <c r="B114" s="364"/>
      <c r="E114" s="364"/>
      <c r="H114" s="364"/>
      <c r="K114" s="363"/>
      <c r="L114" s="364"/>
      <c r="M114" s="363"/>
      <c r="N114" s="363"/>
      <c r="O114" s="363"/>
      <c r="P114" s="364"/>
      <c r="Q114" s="363"/>
      <c r="R114" s="363"/>
      <c r="S114" s="363"/>
      <c r="T114" s="363"/>
      <c r="U114" s="363"/>
      <c r="V114" s="363"/>
      <c r="W114" s="363"/>
      <c r="X114" s="363"/>
      <c r="Y114" s="363"/>
      <c r="Z114" s="363"/>
    </row>
    <row r="115" spans="1:26" ht="15.75" customHeight="1" x14ac:dyDescent="0.35">
      <c r="A115" s="363"/>
      <c r="B115" s="364"/>
      <c r="E115" s="364"/>
      <c r="H115" s="364"/>
      <c r="K115" s="363"/>
      <c r="L115" s="364"/>
      <c r="M115" s="363"/>
      <c r="N115" s="363"/>
      <c r="O115" s="363"/>
      <c r="P115" s="364"/>
      <c r="Q115" s="363"/>
      <c r="R115" s="363"/>
      <c r="S115" s="363"/>
      <c r="T115" s="363"/>
      <c r="U115" s="363"/>
      <c r="V115" s="363"/>
      <c r="W115" s="363"/>
      <c r="X115" s="363"/>
      <c r="Y115" s="363"/>
      <c r="Z115" s="363"/>
    </row>
    <row r="116" spans="1:26" ht="15.75" customHeight="1" x14ac:dyDescent="0.35">
      <c r="A116" s="363"/>
      <c r="B116" s="364"/>
      <c r="E116" s="364"/>
      <c r="H116" s="364"/>
      <c r="K116" s="363"/>
      <c r="L116" s="364"/>
      <c r="M116" s="363"/>
      <c r="N116" s="363"/>
      <c r="O116" s="363"/>
      <c r="P116" s="364"/>
      <c r="Q116" s="363"/>
      <c r="R116" s="363"/>
      <c r="S116" s="363"/>
      <c r="T116" s="363"/>
      <c r="U116" s="363"/>
      <c r="V116" s="363"/>
      <c r="W116" s="363"/>
      <c r="X116" s="363"/>
      <c r="Y116" s="363"/>
      <c r="Z116" s="363"/>
    </row>
    <row r="117" spans="1:26" ht="15.75" customHeight="1" x14ac:dyDescent="0.35">
      <c r="A117" s="363"/>
      <c r="B117" s="364"/>
      <c r="E117" s="364"/>
      <c r="H117" s="364"/>
      <c r="K117" s="363"/>
      <c r="L117" s="364"/>
      <c r="M117" s="363"/>
      <c r="N117" s="363"/>
      <c r="O117" s="363"/>
      <c r="P117" s="364"/>
      <c r="Q117" s="363"/>
      <c r="R117" s="363"/>
      <c r="S117" s="363"/>
      <c r="T117" s="363"/>
      <c r="U117" s="363"/>
      <c r="V117" s="363"/>
      <c r="W117" s="363"/>
      <c r="X117" s="363"/>
      <c r="Y117" s="363"/>
      <c r="Z117" s="363"/>
    </row>
    <row r="118" spans="1:26" ht="15.75" customHeight="1" x14ac:dyDescent="0.35">
      <c r="A118" s="363"/>
      <c r="B118" s="364"/>
      <c r="E118" s="364"/>
      <c r="H118" s="364"/>
      <c r="K118" s="363"/>
      <c r="L118" s="364"/>
      <c r="M118" s="363"/>
      <c r="N118" s="363"/>
      <c r="O118" s="363"/>
      <c r="P118" s="364"/>
      <c r="Q118" s="363"/>
      <c r="R118" s="363"/>
      <c r="S118" s="363"/>
      <c r="T118" s="363"/>
      <c r="U118" s="363"/>
      <c r="V118" s="363"/>
      <c r="W118" s="363"/>
      <c r="X118" s="363"/>
      <c r="Y118" s="363"/>
      <c r="Z118" s="363"/>
    </row>
    <row r="119" spans="1:26" ht="15.75" customHeight="1" x14ac:dyDescent="0.35">
      <c r="A119" s="363"/>
      <c r="B119" s="364"/>
      <c r="E119" s="364"/>
      <c r="H119" s="364"/>
      <c r="K119" s="363"/>
      <c r="L119" s="364"/>
      <c r="M119" s="363"/>
      <c r="N119" s="363"/>
      <c r="O119" s="363"/>
      <c r="P119" s="364"/>
      <c r="Q119" s="363"/>
      <c r="R119" s="363"/>
      <c r="S119" s="363"/>
      <c r="T119" s="363"/>
      <c r="U119" s="363"/>
      <c r="V119" s="363"/>
      <c r="W119" s="363"/>
      <c r="X119" s="363"/>
      <c r="Y119" s="363"/>
      <c r="Z119" s="363"/>
    </row>
    <row r="120" spans="1:26" ht="15.75" customHeight="1" x14ac:dyDescent="0.35">
      <c r="A120" s="363"/>
      <c r="B120" s="364"/>
      <c r="E120" s="364"/>
      <c r="H120" s="364"/>
      <c r="K120" s="363"/>
      <c r="L120" s="364"/>
      <c r="M120" s="363"/>
      <c r="N120" s="363"/>
      <c r="O120" s="363"/>
      <c r="P120" s="364"/>
      <c r="Q120" s="363"/>
      <c r="R120" s="363"/>
      <c r="S120" s="363"/>
      <c r="T120" s="363"/>
      <c r="U120" s="363"/>
      <c r="V120" s="363"/>
      <c r="W120" s="363"/>
      <c r="X120" s="363"/>
      <c r="Y120" s="363"/>
      <c r="Z120" s="363"/>
    </row>
    <row r="121" spans="1:26" ht="15.75" customHeight="1" x14ac:dyDescent="0.35">
      <c r="A121" s="363"/>
      <c r="B121" s="364"/>
      <c r="E121" s="364"/>
      <c r="H121" s="364"/>
      <c r="K121" s="363"/>
      <c r="L121" s="364"/>
      <c r="M121" s="363"/>
      <c r="N121" s="363"/>
      <c r="O121" s="363"/>
      <c r="P121" s="364"/>
      <c r="Q121" s="363"/>
      <c r="R121" s="363"/>
      <c r="S121" s="363"/>
      <c r="T121" s="363"/>
      <c r="U121" s="363"/>
      <c r="V121" s="363"/>
      <c r="W121" s="363"/>
      <c r="X121" s="363"/>
      <c r="Y121" s="363"/>
      <c r="Z121" s="363"/>
    </row>
    <row r="122" spans="1:26" ht="15.75" customHeight="1" x14ac:dyDescent="0.35">
      <c r="A122" s="363"/>
      <c r="B122" s="364"/>
      <c r="E122" s="364"/>
      <c r="H122" s="364"/>
      <c r="K122" s="363"/>
      <c r="L122" s="364"/>
      <c r="M122" s="363"/>
      <c r="N122" s="363"/>
      <c r="O122" s="363"/>
      <c r="P122" s="364"/>
      <c r="Q122" s="363"/>
      <c r="R122" s="363"/>
      <c r="S122" s="363"/>
      <c r="T122" s="363"/>
      <c r="U122" s="363"/>
      <c r="V122" s="363"/>
      <c r="W122" s="363"/>
      <c r="X122" s="363"/>
      <c r="Y122" s="363"/>
      <c r="Z122" s="363"/>
    </row>
    <row r="123" spans="1:26" ht="15.75" customHeight="1" x14ac:dyDescent="0.35">
      <c r="A123" s="363"/>
      <c r="B123" s="364"/>
      <c r="E123" s="364"/>
      <c r="H123" s="364"/>
      <c r="K123" s="363"/>
      <c r="L123" s="364"/>
      <c r="M123" s="363"/>
      <c r="N123" s="363"/>
      <c r="O123" s="363"/>
      <c r="P123" s="364"/>
      <c r="Q123" s="363"/>
      <c r="R123" s="363"/>
      <c r="S123" s="363"/>
      <c r="T123" s="363"/>
      <c r="U123" s="363"/>
      <c r="V123" s="363"/>
      <c r="W123" s="363"/>
      <c r="X123" s="363"/>
      <c r="Y123" s="363"/>
      <c r="Z123" s="363"/>
    </row>
    <row r="124" spans="1:26" ht="15.75" customHeight="1" x14ac:dyDescent="0.35">
      <c r="A124" s="363"/>
      <c r="B124" s="364"/>
      <c r="E124" s="364"/>
      <c r="H124" s="364"/>
      <c r="K124" s="363"/>
      <c r="L124" s="364"/>
      <c r="M124" s="363"/>
      <c r="N124" s="363"/>
      <c r="O124" s="363"/>
      <c r="P124" s="364"/>
      <c r="Q124" s="363"/>
      <c r="R124" s="363"/>
      <c r="S124" s="363"/>
      <c r="T124" s="363"/>
      <c r="U124" s="363"/>
      <c r="V124" s="363"/>
      <c r="W124" s="363"/>
      <c r="X124" s="363"/>
      <c r="Y124" s="363"/>
      <c r="Z124" s="363"/>
    </row>
    <row r="125" spans="1:26" ht="15.75" customHeight="1" x14ac:dyDescent="0.35">
      <c r="A125" s="363"/>
      <c r="B125" s="364"/>
      <c r="E125" s="364"/>
      <c r="H125" s="364"/>
      <c r="K125" s="363"/>
      <c r="L125" s="364"/>
      <c r="M125" s="363"/>
      <c r="N125" s="363"/>
      <c r="O125" s="363"/>
      <c r="P125" s="364"/>
      <c r="Q125" s="363"/>
      <c r="R125" s="363"/>
      <c r="S125" s="363"/>
      <c r="T125" s="363"/>
      <c r="U125" s="363"/>
      <c r="V125" s="363"/>
      <c r="W125" s="363"/>
      <c r="X125" s="363"/>
      <c r="Y125" s="363"/>
      <c r="Z125" s="363"/>
    </row>
    <row r="126" spans="1:26" ht="15.75" customHeight="1" x14ac:dyDescent="0.35">
      <c r="A126" s="363"/>
      <c r="B126" s="364"/>
      <c r="E126" s="364"/>
      <c r="H126" s="364"/>
      <c r="K126" s="363"/>
      <c r="L126" s="364"/>
      <c r="M126" s="363"/>
      <c r="N126" s="363"/>
      <c r="O126" s="363"/>
      <c r="P126" s="364"/>
      <c r="Q126" s="363"/>
      <c r="R126" s="363"/>
      <c r="S126" s="363"/>
      <c r="T126" s="363"/>
      <c r="U126" s="363"/>
      <c r="V126" s="363"/>
      <c r="W126" s="363"/>
      <c r="X126" s="363"/>
      <c r="Y126" s="363"/>
      <c r="Z126" s="363"/>
    </row>
    <row r="127" spans="1:26" ht="15.75" customHeight="1" x14ac:dyDescent="0.35">
      <c r="A127" s="363"/>
      <c r="B127" s="364"/>
      <c r="E127" s="364"/>
      <c r="H127" s="364"/>
      <c r="K127" s="363"/>
      <c r="L127" s="364"/>
      <c r="M127" s="363"/>
      <c r="N127" s="363"/>
      <c r="O127" s="363"/>
      <c r="P127" s="364"/>
      <c r="Q127" s="363"/>
      <c r="R127" s="363"/>
      <c r="S127" s="363"/>
      <c r="T127" s="363"/>
      <c r="U127" s="363"/>
      <c r="V127" s="363"/>
      <c r="W127" s="363"/>
      <c r="X127" s="363"/>
      <c r="Y127" s="363"/>
      <c r="Z127" s="363"/>
    </row>
    <row r="128" spans="1:26" ht="15.75" customHeight="1" x14ac:dyDescent="0.35">
      <c r="A128" s="363"/>
      <c r="B128" s="364"/>
      <c r="E128" s="364"/>
      <c r="H128" s="364"/>
      <c r="K128" s="363"/>
      <c r="L128" s="364"/>
      <c r="M128" s="363"/>
      <c r="N128" s="363"/>
      <c r="O128" s="363"/>
      <c r="P128" s="364"/>
      <c r="Q128" s="363"/>
      <c r="R128" s="363"/>
      <c r="S128" s="363"/>
      <c r="T128" s="363"/>
      <c r="U128" s="363"/>
      <c r="V128" s="363"/>
      <c r="W128" s="363"/>
      <c r="X128" s="363"/>
      <c r="Y128" s="363"/>
      <c r="Z128" s="363"/>
    </row>
    <row r="129" spans="1:26" ht="15.75" customHeight="1" x14ac:dyDescent="0.35">
      <c r="A129" s="363"/>
      <c r="B129" s="364"/>
      <c r="E129" s="364"/>
      <c r="H129" s="364"/>
      <c r="K129" s="363"/>
      <c r="L129" s="364"/>
      <c r="M129" s="363"/>
      <c r="N129" s="363"/>
      <c r="O129" s="363"/>
      <c r="P129" s="364"/>
      <c r="Q129" s="363"/>
      <c r="R129" s="363"/>
      <c r="S129" s="363"/>
      <c r="T129" s="363"/>
      <c r="U129" s="363"/>
      <c r="V129" s="363"/>
      <c r="W129" s="363"/>
      <c r="X129" s="363"/>
      <c r="Y129" s="363"/>
      <c r="Z129" s="363"/>
    </row>
    <row r="130" spans="1:26" ht="15.75" customHeight="1" x14ac:dyDescent="0.35">
      <c r="A130" s="363"/>
      <c r="B130" s="364"/>
      <c r="E130" s="364"/>
      <c r="H130" s="364"/>
      <c r="K130" s="363"/>
      <c r="L130" s="364"/>
      <c r="M130" s="363"/>
      <c r="N130" s="363"/>
      <c r="O130" s="363"/>
      <c r="P130" s="364"/>
      <c r="Q130" s="363"/>
      <c r="R130" s="363"/>
      <c r="S130" s="363"/>
      <c r="T130" s="363"/>
      <c r="U130" s="363"/>
      <c r="V130" s="363"/>
      <c r="W130" s="363"/>
      <c r="X130" s="363"/>
      <c r="Y130" s="363"/>
      <c r="Z130" s="363"/>
    </row>
    <row r="131" spans="1:26" ht="15.75" customHeight="1" x14ac:dyDescent="0.35">
      <c r="A131" s="363"/>
      <c r="B131" s="364"/>
      <c r="E131" s="364"/>
      <c r="H131" s="364"/>
      <c r="K131" s="363"/>
      <c r="L131" s="364"/>
      <c r="M131" s="363"/>
      <c r="N131" s="363"/>
      <c r="O131" s="363"/>
      <c r="P131" s="364"/>
      <c r="Q131" s="363"/>
      <c r="R131" s="363"/>
      <c r="S131" s="363"/>
      <c r="T131" s="363"/>
      <c r="U131" s="363"/>
      <c r="V131" s="363"/>
      <c r="W131" s="363"/>
      <c r="X131" s="363"/>
      <c r="Y131" s="363"/>
      <c r="Z131" s="363"/>
    </row>
    <row r="132" spans="1:26" ht="15.75" customHeight="1" x14ac:dyDescent="0.35">
      <c r="A132" s="363"/>
      <c r="B132" s="364"/>
      <c r="E132" s="364"/>
      <c r="H132" s="364"/>
      <c r="K132" s="363"/>
      <c r="L132" s="364"/>
      <c r="M132" s="363"/>
      <c r="N132" s="363"/>
      <c r="O132" s="363"/>
      <c r="P132" s="364"/>
      <c r="Q132" s="363"/>
      <c r="R132" s="363"/>
      <c r="S132" s="363"/>
      <c r="T132" s="363"/>
      <c r="U132" s="363"/>
      <c r="V132" s="363"/>
      <c r="W132" s="363"/>
      <c r="X132" s="363"/>
      <c r="Y132" s="363"/>
      <c r="Z132" s="363"/>
    </row>
    <row r="133" spans="1:26" ht="15.75" customHeight="1" x14ac:dyDescent="0.35">
      <c r="A133" s="363"/>
      <c r="B133" s="364"/>
      <c r="E133" s="364"/>
      <c r="H133" s="364"/>
      <c r="K133" s="363"/>
      <c r="L133" s="364"/>
      <c r="M133" s="363"/>
      <c r="N133" s="363"/>
      <c r="O133" s="363"/>
      <c r="P133" s="364"/>
      <c r="Q133" s="363"/>
      <c r="R133" s="363"/>
      <c r="S133" s="363"/>
      <c r="T133" s="363"/>
      <c r="U133" s="363"/>
      <c r="V133" s="363"/>
      <c r="W133" s="363"/>
      <c r="X133" s="363"/>
      <c r="Y133" s="363"/>
      <c r="Z133" s="363"/>
    </row>
    <row r="134" spans="1:26" ht="15.75" customHeight="1" x14ac:dyDescent="0.35">
      <c r="A134" s="363"/>
      <c r="B134" s="364"/>
      <c r="E134" s="364"/>
      <c r="H134" s="364"/>
      <c r="K134" s="363"/>
      <c r="L134" s="364"/>
      <c r="M134" s="363"/>
      <c r="N134" s="363"/>
      <c r="O134" s="363"/>
      <c r="P134" s="364"/>
      <c r="Q134" s="363"/>
      <c r="R134" s="363"/>
      <c r="S134" s="363"/>
      <c r="T134" s="363"/>
      <c r="U134" s="363"/>
      <c r="V134" s="363"/>
      <c r="W134" s="363"/>
      <c r="X134" s="363"/>
      <c r="Y134" s="363"/>
      <c r="Z134" s="363"/>
    </row>
    <row r="135" spans="1:26" ht="15.75" customHeight="1" x14ac:dyDescent="0.35">
      <c r="A135" s="363"/>
      <c r="B135" s="364"/>
      <c r="E135" s="364"/>
      <c r="H135" s="364"/>
      <c r="K135" s="363"/>
      <c r="L135" s="364"/>
      <c r="M135" s="363"/>
      <c r="N135" s="363"/>
      <c r="O135" s="363"/>
      <c r="P135" s="364"/>
      <c r="Q135" s="363"/>
      <c r="R135" s="363"/>
      <c r="S135" s="363"/>
      <c r="T135" s="363"/>
      <c r="U135" s="363"/>
      <c r="V135" s="363"/>
      <c r="W135" s="363"/>
      <c r="X135" s="363"/>
      <c r="Y135" s="363"/>
      <c r="Z135" s="363"/>
    </row>
    <row r="136" spans="1:26" ht="15.75" customHeight="1" x14ac:dyDescent="0.35">
      <c r="A136" s="363"/>
      <c r="B136" s="364"/>
      <c r="E136" s="364"/>
      <c r="H136" s="364"/>
      <c r="K136" s="363"/>
      <c r="L136" s="364"/>
      <c r="M136" s="363"/>
      <c r="N136" s="363"/>
      <c r="O136" s="363"/>
      <c r="P136" s="364"/>
      <c r="Q136" s="363"/>
      <c r="R136" s="363"/>
      <c r="S136" s="363"/>
      <c r="T136" s="363"/>
      <c r="U136" s="363"/>
      <c r="V136" s="363"/>
      <c r="W136" s="363"/>
      <c r="X136" s="363"/>
      <c r="Y136" s="363"/>
      <c r="Z136" s="363"/>
    </row>
    <row r="137" spans="1:26" ht="15.75" customHeight="1" x14ac:dyDescent="0.35">
      <c r="A137" s="363"/>
      <c r="B137" s="364"/>
      <c r="E137" s="364"/>
      <c r="H137" s="364"/>
      <c r="K137" s="363"/>
      <c r="L137" s="364"/>
      <c r="M137" s="363"/>
      <c r="N137" s="363"/>
      <c r="O137" s="363"/>
      <c r="P137" s="364"/>
      <c r="Q137" s="363"/>
      <c r="R137" s="363"/>
      <c r="S137" s="363"/>
      <c r="T137" s="363"/>
      <c r="U137" s="363"/>
      <c r="V137" s="363"/>
      <c r="W137" s="363"/>
      <c r="X137" s="363"/>
      <c r="Y137" s="363"/>
      <c r="Z137" s="363"/>
    </row>
    <row r="138" spans="1:26" ht="15.75" customHeight="1" x14ac:dyDescent="0.35">
      <c r="A138" s="363"/>
      <c r="B138" s="364"/>
      <c r="E138" s="364"/>
      <c r="H138" s="364"/>
      <c r="K138" s="363"/>
      <c r="L138" s="364"/>
      <c r="M138" s="363"/>
      <c r="N138" s="363"/>
      <c r="O138" s="363"/>
      <c r="P138" s="364"/>
      <c r="Q138" s="363"/>
      <c r="R138" s="363"/>
      <c r="S138" s="363"/>
      <c r="T138" s="363"/>
      <c r="U138" s="363"/>
      <c r="V138" s="363"/>
      <c r="W138" s="363"/>
      <c r="X138" s="363"/>
      <c r="Y138" s="363"/>
      <c r="Z138" s="363"/>
    </row>
    <row r="139" spans="1:26" ht="15.75" customHeight="1" x14ac:dyDescent="0.35">
      <c r="A139" s="363"/>
      <c r="B139" s="364"/>
      <c r="E139" s="364"/>
      <c r="H139" s="364"/>
      <c r="K139" s="363"/>
      <c r="L139" s="364"/>
      <c r="M139" s="363"/>
      <c r="N139" s="363"/>
      <c r="O139" s="363"/>
      <c r="P139" s="364"/>
      <c r="Q139" s="363"/>
      <c r="R139" s="363"/>
      <c r="S139" s="363"/>
      <c r="T139" s="363"/>
      <c r="U139" s="363"/>
      <c r="V139" s="363"/>
      <c r="W139" s="363"/>
      <c r="X139" s="363"/>
      <c r="Y139" s="363"/>
      <c r="Z139" s="363"/>
    </row>
    <row r="140" spans="1:26" ht="15.75" customHeight="1" x14ac:dyDescent="0.35">
      <c r="A140" s="363"/>
      <c r="B140" s="364"/>
      <c r="E140" s="364"/>
      <c r="H140" s="364"/>
      <c r="K140" s="363"/>
      <c r="L140" s="364"/>
      <c r="M140" s="363"/>
      <c r="N140" s="363"/>
      <c r="O140" s="363"/>
      <c r="P140" s="364"/>
      <c r="Q140" s="363"/>
      <c r="R140" s="363"/>
      <c r="S140" s="363"/>
      <c r="T140" s="363"/>
      <c r="U140" s="363"/>
      <c r="V140" s="363"/>
      <c r="W140" s="363"/>
      <c r="X140" s="363"/>
      <c r="Y140" s="363"/>
      <c r="Z140" s="363"/>
    </row>
    <row r="141" spans="1:26" ht="15.75" customHeight="1" x14ac:dyDescent="0.35">
      <c r="A141" s="363"/>
      <c r="B141" s="364"/>
      <c r="E141" s="364"/>
      <c r="H141" s="364"/>
      <c r="K141" s="363"/>
      <c r="L141" s="364"/>
      <c r="M141" s="363"/>
      <c r="N141" s="363"/>
      <c r="O141" s="363"/>
      <c r="P141" s="364"/>
      <c r="Q141" s="363"/>
      <c r="R141" s="363"/>
      <c r="S141" s="363"/>
      <c r="T141" s="363"/>
      <c r="U141" s="363"/>
      <c r="V141" s="363"/>
      <c r="W141" s="363"/>
      <c r="X141" s="363"/>
      <c r="Y141" s="363"/>
      <c r="Z141" s="363"/>
    </row>
    <row r="142" spans="1:26" ht="15.75" customHeight="1" x14ac:dyDescent="0.35">
      <c r="A142" s="363"/>
      <c r="B142" s="364"/>
      <c r="E142" s="364"/>
      <c r="H142" s="364"/>
      <c r="K142" s="363"/>
      <c r="L142" s="364"/>
      <c r="M142" s="363"/>
      <c r="N142" s="363"/>
      <c r="O142" s="363"/>
      <c r="P142" s="364"/>
      <c r="Q142" s="363"/>
      <c r="R142" s="363"/>
      <c r="S142" s="363"/>
      <c r="T142" s="363"/>
      <c r="U142" s="363"/>
      <c r="V142" s="363"/>
      <c r="W142" s="363"/>
      <c r="X142" s="363"/>
      <c r="Y142" s="363"/>
      <c r="Z142" s="363"/>
    </row>
    <row r="143" spans="1:26" ht="15.75" customHeight="1" x14ac:dyDescent="0.35">
      <c r="A143" s="363"/>
      <c r="B143" s="364"/>
      <c r="E143" s="364"/>
      <c r="H143" s="364"/>
      <c r="K143" s="363"/>
      <c r="L143" s="364"/>
      <c r="M143" s="363"/>
      <c r="N143" s="363"/>
      <c r="O143" s="363"/>
      <c r="P143" s="364"/>
      <c r="Q143" s="363"/>
      <c r="R143" s="363"/>
      <c r="S143" s="363"/>
      <c r="T143" s="363"/>
      <c r="U143" s="363"/>
      <c r="V143" s="363"/>
      <c r="W143" s="363"/>
      <c r="X143" s="363"/>
      <c r="Y143" s="363"/>
      <c r="Z143" s="363"/>
    </row>
    <row r="144" spans="1:26" ht="15.75" customHeight="1" x14ac:dyDescent="0.35">
      <c r="A144" s="363"/>
      <c r="B144" s="364"/>
      <c r="E144" s="364"/>
      <c r="H144" s="364"/>
      <c r="K144" s="363"/>
      <c r="L144" s="364"/>
      <c r="M144" s="363"/>
      <c r="N144" s="363"/>
      <c r="O144" s="363"/>
      <c r="P144" s="364"/>
      <c r="Q144" s="363"/>
      <c r="R144" s="363"/>
      <c r="S144" s="363"/>
      <c r="T144" s="363"/>
      <c r="U144" s="363"/>
      <c r="V144" s="363"/>
      <c r="W144" s="363"/>
      <c r="X144" s="363"/>
      <c r="Y144" s="363"/>
      <c r="Z144" s="363"/>
    </row>
    <row r="145" spans="1:26" ht="15.75" customHeight="1" x14ac:dyDescent="0.35">
      <c r="A145" s="363"/>
      <c r="B145" s="364"/>
      <c r="E145" s="364"/>
      <c r="H145" s="364"/>
      <c r="K145" s="363"/>
      <c r="L145" s="364"/>
      <c r="M145" s="363"/>
      <c r="N145" s="363"/>
      <c r="O145" s="363"/>
      <c r="P145" s="364"/>
      <c r="Q145" s="363"/>
      <c r="R145" s="363"/>
      <c r="S145" s="363"/>
      <c r="T145" s="363"/>
      <c r="U145" s="363"/>
      <c r="V145" s="363"/>
      <c r="W145" s="363"/>
      <c r="X145" s="363"/>
      <c r="Y145" s="363"/>
      <c r="Z145" s="363"/>
    </row>
    <row r="146" spans="1:26" ht="15.75" customHeight="1" x14ac:dyDescent="0.35">
      <c r="A146" s="363"/>
      <c r="B146" s="364"/>
      <c r="E146" s="364"/>
      <c r="H146" s="364"/>
      <c r="K146" s="363"/>
      <c r="L146" s="364"/>
      <c r="M146" s="363"/>
      <c r="N146" s="363"/>
      <c r="O146" s="363"/>
      <c r="P146" s="364"/>
      <c r="Q146" s="363"/>
      <c r="R146" s="363"/>
      <c r="S146" s="363"/>
      <c r="T146" s="363"/>
      <c r="U146" s="363"/>
      <c r="V146" s="363"/>
      <c r="W146" s="363"/>
      <c r="X146" s="363"/>
      <c r="Y146" s="363"/>
      <c r="Z146" s="363"/>
    </row>
    <row r="147" spans="1:26" ht="15.75" customHeight="1" x14ac:dyDescent="0.35">
      <c r="A147" s="363"/>
      <c r="B147" s="364"/>
      <c r="E147" s="364"/>
      <c r="H147" s="364"/>
      <c r="K147" s="363"/>
      <c r="L147" s="364"/>
      <c r="M147" s="363"/>
      <c r="N147" s="363"/>
      <c r="O147" s="363"/>
      <c r="P147" s="364"/>
      <c r="Q147" s="363"/>
      <c r="R147" s="363"/>
      <c r="S147" s="363"/>
      <c r="T147" s="363"/>
      <c r="U147" s="363"/>
      <c r="V147" s="363"/>
      <c r="W147" s="363"/>
      <c r="X147" s="363"/>
      <c r="Y147" s="363"/>
      <c r="Z147" s="363"/>
    </row>
    <row r="148" spans="1:26" ht="15.75" customHeight="1" x14ac:dyDescent="0.35">
      <c r="A148" s="363"/>
      <c r="B148" s="364"/>
      <c r="E148" s="364"/>
      <c r="H148" s="364"/>
      <c r="K148" s="363"/>
      <c r="L148" s="364"/>
      <c r="M148" s="363"/>
      <c r="N148" s="363"/>
      <c r="O148" s="363"/>
      <c r="P148" s="364"/>
      <c r="Q148" s="363"/>
      <c r="R148" s="363"/>
      <c r="S148" s="363"/>
      <c r="T148" s="363"/>
      <c r="U148" s="363"/>
      <c r="V148" s="363"/>
      <c r="W148" s="363"/>
      <c r="X148" s="363"/>
      <c r="Y148" s="363"/>
      <c r="Z148" s="363"/>
    </row>
    <row r="149" spans="1:26" ht="15.75" customHeight="1" x14ac:dyDescent="0.35">
      <c r="A149" s="363"/>
      <c r="B149" s="364"/>
      <c r="E149" s="364"/>
      <c r="H149" s="364"/>
      <c r="K149" s="363"/>
      <c r="L149" s="364"/>
      <c r="M149" s="363"/>
      <c r="N149" s="363"/>
      <c r="O149" s="363"/>
      <c r="P149" s="364"/>
      <c r="Q149" s="363"/>
      <c r="R149" s="363"/>
      <c r="S149" s="363"/>
      <c r="T149" s="363"/>
      <c r="U149" s="363"/>
      <c r="V149" s="363"/>
      <c r="W149" s="363"/>
      <c r="X149" s="363"/>
      <c r="Y149" s="363"/>
      <c r="Z149" s="363"/>
    </row>
    <row r="150" spans="1:26" ht="15.75" customHeight="1" x14ac:dyDescent="0.35">
      <c r="A150" s="363"/>
      <c r="B150" s="364"/>
      <c r="E150" s="364"/>
      <c r="H150" s="364"/>
      <c r="K150" s="363"/>
      <c r="L150" s="364"/>
      <c r="M150" s="363"/>
      <c r="N150" s="363"/>
      <c r="O150" s="363"/>
      <c r="P150" s="364"/>
      <c r="Q150" s="363"/>
      <c r="R150" s="363"/>
      <c r="S150" s="363"/>
      <c r="T150" s="363"/>
      <c r="U150" s="363"/>
      <c r="V150" s="363"/>
      <c r="W150" s="363"/>
      <c r="X150" s="363"/>
      <c r="Y150" s="363"/>
      <c r="Z150" s="363"/>
    </row>
    <row r="151" spans="1:26" ht="15.75" customHeight="1" x14ac:dyDescent="0.35">
      <c r="A151" s="363"/>
      <c r="B151" s="364"/>
      <c r="E151" s="364"/>
      <c r="H151" s="364"/>
      <c r="K151" s="363"/>
      <c r="L151" s="364"/>
      <c r="M151" s="363"/>
      <c r="N151" s="363"/>
      <c r="O151" s="363"/>
      <c r="P151" s="364"/>
      <c r="Q151" s="363"/>
      <c r="R151" s="363"/>
      <c r="S151" s="363"/>
      <c r="T151" s="363"/>
      <c r="U151" s="363"/>
      <c r="V151" s="363"/>
      <c r="W151" s="363"/>
      <c r="X151" s="363"/>
      <c r="Y151" s="363"/>
      <c r="Z151" s="363"/>
    </row>
    <row r="152" spans="1:26" ht="15.75" customHeight="1" x14ac:dyDescent="0.35">
      <c r="A152" s="363"/>
      <c r="B152" s="364"/>
      <c r="E152" s="364"/>
      <c r="H152" s="364"/>
      <c r="K152" s="363"/>
      <c r="L152" s="364"/>
      <c r="M152" s="363"/>
      <c r="N152" s="363"/>
      <c r="O152" s="363"/>
      <c r="P152" s="364"/>
      <c r="Q152" s="363"/>
      <c r="R152" s="363"/>
      <c r="S152" s="363"/>
      <c r="T152" s="363"/>
      <c r="U152" s="363"/>
      <c r="V152" s="363"/>
      <c r="W152" s="363"/>
      <c r="X152" s="363"/>
      <c r="Y152" s="363"/>
      <c r="Z152" s="363"/>
    </row>
    <row r="153" spans="1:26" ht="15.75" customHeight="1" x14ac:dyDescent="0.35">
      <c r="A153" s="363"/>
      <c r="B153" s="364"/>
      <c r="E153" s="364"/>
      <c r="H153" s="364"/>
      <c r="K153" s="363"/>
      <c r="L153" s="364"/>
      <c r="M153" s="363"/>
      <c r="N153" s="363"/>
      <c r="O153" s="363"/>
      <c r="P153" s="364"/>
      <c r="Q153" s="363"/>
      <c r="R153" s="363"/>
      <c r="S153" s="363"/>
      <c r="T153" s="363"/>
      <c r="U153" s="363"/>
      <c r="V153" s="363"/>
      <c r="W153" s="363"/>
      <c r="X153" s="363"/>
      <c r="Y153" s="363"/>
      <c r="Z153" s="363"/>
    </row>
    <row r="154" spans="1:26" ht="15.75" customHeight="1" x14ac:dyDescent="0.35">
      <c r="A154" s="363"/>
      <c r="B154" s="364"/>
      <c r="E154" s="364"/>
      <c r="H154" s="364"/>
      <c r="K154" s="363"/>
      <c r="L154" s="364"/>
      <c r="M154" s="363"/>
      <c r="N154" s="363"/>
      <c r="O154" s="363"/>
      <c r="P154" s="364"/>
      <c r="Q154" s="363"/>
      <c r="R154" s="363"/>
      <c r="S154" s="363"/>
      <c r="T154" s="363"/>
      <c r="U154" s="363"/>
      <c r="V154" s="363"/>
      <c r="W154" s="363"/>
      <c r="X154" s="363"/>
      <c r="Y154" s="363"/>
      <c r="Z154" s="363"/>
    </row>
    <row r="155" spans="1:26" ht="15.75" customHeight="1" x14ac:dyDescent="0.35">
      <c r="A155" s="363"/>
      <c r="B155" s="364"/>
      <c r="E155" s="364"/>
      <c r="H155" s="364"/>
      <c r="K155" s="363"/>
      <c r="L155" s="364"/>
      <c r="M155" s="363"/>
      <c r="N155" s="363"/>
      <c r="O155" s="363"/>
      <c r="P155" s="364"/>
      <c r="Q155" s="363"/>
      <c r="R155" s="363"/>
      <c r="S155" s="363"/>
      <c r="T155" s="363"/>
      <c r="U155" s="363"/>
      <c r="V155" s="363"/>
      <c r="W155" s="363"/>
      <c r="X155" s="363"/>
      <c r="Y155" s="363"/>
      <c r="Z155" s="363"/>
    </row>
    <row r="156" spans="1:26" ht="15.75" customHeight="1" x14ac:dyDescent="0.35">
      <c r="A156" s="363"/>
      <c r="B156" s="364"/>
      <c r="E156" s="364"/>
      <c r="H156" s="364"/>
      <c r="K156" s="363"/>
      <c r="L156" s="364"/>
      <c r="M156" s="363"/>
      <c r="N156" s="363"/>
      <c r="O156" s="363"/>
      <c r="P156" s="364"/>
      <c r="Q156" s="363"/>
      <c r="R156" s="363"/>
      <c r="S156" s="363"/>
      <c r="T156" s="363"/>
      <c r="U156" s="363"/>
      <c r="V156" s="363"/>
      <c r="W156" s="363"/>
      <c r="X156" s="363"/>
      <c r="Y156" s="363"/>
      <c r="Z156" s="363"/>
    </row>
    <row r="157" spans="1:26" ht="15.75" customHeight="1" x14ac:dyDescent="0.35">
      <c r="A157" s="363"/>
      <c r="B157" s="364"/>
      <c r="E157" s="364"/>
      <c r="H157" s="364"/>
      <c r="K157" s="363"/>
      <c r="L157" s="364"/>
      <c r="M157" s="363"/>
      <c r="N157" s="363"/>
      <c r="O157" s="363"/>
      <c r="P157" s="364"/>
      <c r="Q157" s="363"/>
      <c r="R157" s="363"/>
      <c r="S157" s="363"/>
      <c r="T157" s="363"/>
      <c r="U157" s="363"/>
      <c r="V157" s="363"/>
      <c r="W157" s="363"/>
      <c r="X157" s="363"/>
      <c r="Y157" s="363"/>
      <c r="Z157" s="363"/>
    </row>
    <row r="158" spans="1:26" ht="15.75" customHeight="1" x14ac:dyDescent="0.35">
      <c r="A158" s="363"/>
      <c r="B158" s="364"/>
      <c r="E158" s="364"/>
      <c r="H158" s="364"/>
      <c r="K158" s="363"/>
      <c r="L158" s="364"/>
      <c r="M158" s="363"/>
      <c r="N158" s="363"/>
      <c r="O158" s="363"/>
      <c r="P158" s="364"/>
      <c r="Q158" s="363"/>
      <c r="R158" s="363"/>
      <c r="S158" s="363"/>
      <c r="T158" s="363"/>
      <c r="U158" s="363"/>
      <c r="V158" s="363"/>
      <c r="W158" s="363"/>
      <c r="X158" s="363"/>
      <c r="Y158" s="363"/>
      <c r="Z158" s="363"/>
    </row>
    <row r="159" spans="1:26" ht="15.75" customHeight="1" x14ac:dyDescent="0.35">
      <c r="A159" s="363"/>
      <c r="B159" s="364"/>
      <c r="E159" s="364"/>
      <c r="H159" s="364"/>
      <c r="K159" s="363"/>
      <c r="L159" s="364"/>
      <c r="M159" s="363"/>
      <c r="N159" s="363"/>
      <c r="O159" s="363"/>
      <c r="P159" s="364"/>
      <c r="Q159" s="363"/>
      <c r="R159" s="363"/>
      <c r="S159" s="363"/>
      <c r="T159" s="363"/>
      <c r="U159" s="363"/>
      <c r="V159" s="363"/>
      <c r="W159" s="363"/>
      <c r="X159" s="363"/>
      <c r="Y159" s="363"/>
      <c r="Z159" s="363"/>
    </row>
    <row r="160" spans="1:26" ht="15.75" customHeight="1" x14ac:dyDescent="0.35">
      <c r="A160" s="363"/>
      <c r="B160" s="364"/>
      <c r="E160" s="364"/>
      <c r="H160" s="364"/>
      <c r="K160" s="363"/>
      <c r="L160" s="364"/>
      <c r="M160" s="363"/>
      <c r="N160" s="363"/>
      <c r="O160" s="363"/>
      <c r="P160" s="364"/>
      <c r="Q160" s="363"/>
      <c r="R160" s="363"/>
      <c r="S160" s="363"/>
      <c r="T160" s="363"/>
      <c r="U160" s="363"/>
      <c r="V160" s="363"/>
      <c r="W160" s="363"/>
      <c r="X160" s="363"/>
      <c r="Y160" s="363"/>
      <c r="Z160" s="363"/>
    </row>
    <row r="161" spans="1:26" ht="15.75" customHeight="1" x14ac:dyDescent="0.35">
      <c r="A161" s="363"/>
      <c r="B161" s="364"/>
      <c r="E161" s="364"/>
      <c r="H161" s="364"/>
      <c r="K161" s="363"/>
      <c r="L161" s="364"/>
      <c r="M161" s="363"/>
      <c r="N161" s="363"/>
      <c r="O161" s="363"/>
      <c r="P161" s="364"/>
      <c r="Q161" s="363"/>
      <c r="R161" s="363"/>
      <c r="S161" s="363"/>
      <c r="T161" s="363"/>
      <c r="U161" s="363"/>
      <c r="V161" s="363"/>
      <c r="W161" s="363"/>
      <c r="X161" s="363"/>
      <c r="Y161" s="363"/>
      <c r="Z161" s="363"/>
    </row>
    <row r="162" spans="1:26" ht="15.75" customHeight="1" x14ac:dyDescent="0.35">
      <c r="A162" s="363"/>
      <c r="B162" s="364"/>
      <c r="E162" s="364"/>
      <c r="H162" s="364"/>
      <c r="K162" s="363"/>
      <c r="L162" s="364"/>
      <c r="M162" s="363"/>
      <c r="N162" s="363"/>
      <c r="O162" s="363"/>
      <c r="P162" s="364"/>
      <c r="Q162" s="363"/>
      <c r="R162" s="363"/>
      <c r="S162" s="363"/>
      <c r="T162" s="363"/>
      <c r="U162" s="363"/>
      <c r="V162" s="363"/>
      <c r="W162" s="363"/>
      <c r="X162" s="363"/>
      <c r="Y162" s="363"/>
      <c r="Z162" s="363"/>
    </row>
    <row r="163" spans="1:26" ht="15.75" customHeight="1" x14ac:dyDescent="0.35">
      <c r="A163" s="363"/>
      <c r="B163" s="364"/>
      <c r="E163" s="364"/>
      <c r="H163" s="364"/>
      <c r="K163" s="363"/>
      <c r="L163" s="364"/>
      <c r="M163" s="363"/>
      <c r="N163" s="363"/>
      <c r="O163" s="363"/>
      <c r="P163" s="364"/>
      <c r="Q163" s="363"/>
      <c r="R163" s="363"/>
      <c r="S163" s="363"/>
      <c r="T163" s="363"/>
      <c r="U163" s="363"/>
      <c r="V163" s="363"/>
      <c r="W163" s="363"/>
      <c r="X163" s="363"/>
      <c r="Y163" s="363"/>
      <c r="Z163" s="363"/>
    </row>
    <row r="164" spans="1:26" ht="15.75" customHeight="1" x14ac:dyDescent="0.35">
      <c r="A164" s="363"/>
      <c r="B164" s="364"/>
      <c r="E164" s="364"/>
      <c r="H164" s="364"/>
      <c r="K164" s="363"/>
      <c r="L164" s="364"/>
      <c r="M164" s="363"/>
      <c r="N164" s="363"/>
      <c r="O164" s="363"/>
      <c r="P164" s="364"/>
      <c r="Q164" s="363"/>
      <c r="R164" s="363"/>
      <c r="S164" s="363"/>
      <c r="T164" s="363"/>
      <c r="U164" s="363"/>
      <c r="V164" s="363"/>
      <c r="W164" s="363"/>
      <c r="X164" s="363"/>
      <c r="Y164" s="363"/>
      <c r="Z164" s="363"/>
    </row>
    <row r="165" spans="1:26" ht="15.75" customHeight="1" x14ac:dyDescent="0.35">
      <c r="A165" s="363"/>
      <c r="B165" s="364"/>
      <c r="E165" s="364"/>
      <c r="H165" s="364"/>
      <c r="K165" s="363"/>
      <c r="L165" s="364"/>
      <c r="M165" s="363"/>
      <c r="N165" s="363"/>
      <c r="O165" s="363"/>
      <c r="P165" s="364"/>
      <c r="Q165" s="363"/>
      <c r="R165" s="363"/>
      <c r="S165" s="363"/>
      <c r="T165" s="363"/>
      <c r="U165" s="363"/>
      <c r="V165" s="363"/>
      <c r="W165" s="363"/>
      <c r="X165" s="363"/>
      <c r="Y165" s="363"/>
      <c r="Z165" s="363"/>
    </row>
    <row r="166" spans="1:26" ht="15.75" customHeight="1" x14ac:dyDescent="0.35">
      <c r="A166" s="363"/>
      <c r="B166" s="364"/>
      <c r="E166" s="364"/>
      <c r="H166" s="364"/>
      <c r="K166" s="363"/>
      <c r="L166" s="364"/>
      <c r="M166" s="363"/>
      <c r="N166" s="363"/>
      <c r="O166" s="363"/>
      <c r="P166" s="364"/>
      <c r="Q166" s="363"/>
      <c r="R166" s="363"/>
      <c r="S166" s="363"/>
      <c r="T166" s="363"/>
      <c r="U166" s="363"/>
      <c r="V166" s="363"/>
      <c r="W166" s="363"/>
      <c r="X166" s="363"/>
      <c r="Y166" s="363"/>
      <c r="Z166" s="363"/>
    </row>
    <row r="167" spans="1:26" ht="15.75" customHeight="1" x14ac:dyDescent="0.35">
      <c r="A167" s="363"/>
      <c r="B167" s="364"/>
      <c r="E167" s="364"/>
      <c r="H167" s="364"/>
      <c r="K167" s="363"/>
      <c r="L167" s="364"/>
      <c r="M167" s="363"/>
      <c r="N167" s="363"/>
      <c r="O167" s="363"/>
      <c r="P167" s="364"/>
      <c r="Q167" s="363"/>
      <c r="R167" s="363"/>
      <c r="S167" s="363"/>
      <c r="T167" s="363"/>
      <c r="U167" s="363"/>
      <c r="V167" s="363"/>
      <c r="W167" s="363"/>
      <c r="X167" s="363"/>
      <c r="Y167" s="363"/>
      <c r="Z167" s="363"/>
    </row>
    <row r="168" spans="1:26" ht="15.75" customHeight="1" x14ac:dyDescent="0.35">
      <c r="A168" s="363"/>
      <c r="B168" s="364"/>
      <c r="E168" s="364"/>
      <c r="H168" s="364"/>
      <c r="K168" s="363"/>
      <c r="L168" s="364"/>
      <c r="M168" s="363"/>
      <c r="N168" s="363"/>
      <c r="O168" s="363"/>
      <c r="P168" s="364"/>
      <c r="Q168" s="363"/>
      <c r="R168" s="363"/>
      <c r="S168" s="363"/>
      <c r="T168" s="363"/>
      <c r="U168" s="363"/>
      <c r="V168" s="363"/>
      <c r="W168" s="363"/>
      <c r="X168" s="363"/>
      <c r="Y168" s="363"/>
      <c r="Z168" s="363"/>
    </row>
    <row r="169" spans="1:26" ht="15.75" customHeight="1" x14ac:dyDescent="0.35">
      <c r="A169" s="363"/>
      <c r="B169" s="364"/>
      <c r="E169" s="364"/>
      <c r="H169" s="364"/>
      <c r="K169" s="363"/>
      <c r="L169" s="364"/>
      <c r="M169" s="363"/>
      <c r="N169" s="363"/>
      <c r="O169" s="363"/>
      <c r="P169" s="364"/>
      <c r="Q169" s="363"/>
      <c r="R169" s="363"/>
      <c r="S169" s="363"/>
      <c r="T169" s="363"/>
      <c r="U169" s="363"/>
      <c r="V169" s="363"/>
      <c r="W169" s="363"/>
      <c r="X169" s="363"/>
      <c r="Y169" s="363"/>
      <c r="Z169" s="363"/>
    </row>
    <row r="170" spans="1:26" ht="15.75" customHeight="1" x14ac:dyDescent="0.35">
      <c r="A170" s="363"/>
      <c r="B170" s="364"/>
      <c r="E170" s="364"/>
      <c r="H170" s="364"/>
      <c r="K170" s="363"/>
      <c r="L170" s="364"/>
      <c r="M170" s="363"/>
      <c r="N170" s="363"/>
      <c r="O170" s="363"/>
      <c r="P170" s="364"/>
      <c r="Q170" s="363"/>
      <c r="R170" s="363"/>
      <c r="S170" s="363"/>
      <c r="T170" s="363"/>
      <c r="U170" s="363"/>
      <c r="V170" s="363"/>
      <c r="W170" s="363"/>
      <c r="X170" s="363"/>
      <c r="Y170" s="363"/>
      <c r="Z170" s="363"/>
    </row>
    <row r="171" spans="1:26" ht="15.75" customHeight="1" x14ac:dyDescent="0.35">
      <c r="A171" s="363"/>
      <c r="B171" s="364"/>
      <c r="E171" s="364"/>
      <c r="H171" s="364"/>
      <c r="K171" s="363"/>
      <c r="L171" s="364"/>
      <c r="M171" s="363"/>
      <c r="N171" s="363"/>
      <c r="O171" s="363"/>
      <c r="P171" s="364"/>
      <c r="Q171" s="363"/>
      <c r="R171" s="363"/>
      <c r="S171" s="363"/>
      <c r="T171" s="363"/>
      <c r="U171" s="363"/>
      <c r="V171" s="363"/>
      <c r="W171" s="363"/>
      <c r="X171" s="363"/>
      <c r="Y171" s="363"/>
      <c r="Z171" s="363"/>
    </row>
    <row r="172" spans="1:26" ht="15.75" customHeight="1" x14ac:dyDescent="0.35">
      <c r="A172" s="363"/>
      <c r="B172" s="364"/>
      <c r="E172" s="364"/>
      <c r="H172" s="364"/>
      <c r="K172" s="363"/>
      <c r="L172" s="364"/>
      <c r="M172" s="363"/>
      <c r="N172" s="363"/>
      <c r="O172" s="363"/>
      <c r="P172" s="364"/>
      <c r="Q172" s="363"/>
      <c r="R172" s="363"/>
      <c r="S172" s="363"/>
      <c r="T172" s="363"/>
      <c r="U172" s="363"/>
      <c r="V172" s="363"/>
      <c r="W172" s="363"/>
      <c r="X172" s="363"/>
      <c r="Y172" s="363"/>
      <c r="Z172" s="363"/>
    </row>
    <row r="173" spans="1:26" ht="15.75" customHeight="1" x14ac:dyDescent="0.35">
      <c r="A173" s="363"/>
      <c r="B173" s="364"/>
      <c r="E173" s="364"/>
      <c r="H173" s="364"/>
      <c r="K173" s="363"/>
      <c r="L173" s="364"/>
      <c r="M173" s="363"/>
      <c r="N173" s="363"/>
      <c r="O173" s="363"/>
      <c r="P173" s="364"/>
      <c r="Q173" s="363"/>
      <c r="R173" s="363"/>
      <c r="S173" s="363"/>
      <c r="T173" s="363"/>
      <c r="U173" s="363"/>
      <c r="V173" s="363"/>
      <c r="W173" s="363"/>
      <c r="X173" s="363"/>
      <c r="Y173" s="363"/>
      <c r="Z173" s="363"/>
    </row>
    <row r="174" spans="1:26" ht="15.75" customHeight="1" x14ac:dyDescent="0.35">
      <c r="A174" s="363"/>
      <c r="B174" s="364"/>
      <c r="E174" s="364"/>
      <c r="H174" s="364"/>
      <c r="K174" s="363"/>
      <c r="L174" s="364"/>
      <c r="M174" s="363"/>
      <c r="N174" s="363"/>
      <c r="O174" s="363"/>
      <c r="P174" s="364"/>
      <c r="Q174" s="363"/>
      <c r="R174" s="363"/>
      <c r="S174" s="363"/>
      <c r="T174" s="363"/>
      <c r="U174" s="363"/>
      <c r="V174" s="363"/>
      <c r="W174" s="363"/>
      <c r="X174" s="363"/>
      <c r="Y174" s="363"/>
      <c r="Z174" s="363"/>
    </row>
    <row r="175" spans="1:26" ht="15.75" customHeight="1" x14ac:dyDescent="0.35">
      <c r="A175" s="363"/>
      <c r="B175" s="364"/>
      <c r="E175" s="364"/>
      <c r="H175" s="364"/>
      <c r="K175" s="363"/>
      <c r="L175" s="364"/>
      <c r="M175" s="363"/>
      <c r="N175" s="363"/>
      <c r="O175" s="363"/>
      <c r="P175" s="364"/>
      <c r="Q175" s="363"/>
      <c r="R175" s="363"/>
      <c r="S175" s="363"/>
      <c r="T175" s="363"/>
      <c r="U175" s="363"/>
      <c r="V175" s="363"/>
      <c r="W175" s="363"/>
      <c r="X175" s="363"/>
      <c r="Y175" s="363"/>
      <c r="Z175" s="363"/>
    </row>
    <row r="176" spans="1:26" ht="15.75" customHeight="1" x14ac:dyDescent="0.35">
      <c r="A176" s="363"/>
      <c r="B176" s="364"/>
      <c r="E176" s="364"/>
      <c r="H176" s="364"/>
      <c r="K176" s="363"/>
      <c r="L176" s="364"/>
      <c r="M176" s="363"/>
      <c r="N176" s="363"/>
      <c r="O176" s="363"/>
      <c r="P176" s="364"/>
      <c r="Q176" s="363"/>
      <c r="R176" s="363"/>
      <c r="S176" s="363"/>
      <c r="T176" s="363"/>
      <c r="U176" s="363"/>
      <c r="V176" s="363"/>
      <c r="W176" s="363"/>
      <c r="X176" s="363"/>
      <c r="Y176" s="363"/>
      <c r="Z176" s="363"/>
    </row>
    <row r="177" spans="1:26" ht="15.75" customHeight="1" x14ac:dyDescent="0.35">
      <c r="A177" s="363"/>
      <c r="B177" s="364"/>
      <c r="E177" s="364"/>
      <c r="H177" s="364"/>
      <c r="K177" s="363"/>
      <c r="L177" s="364"/>
      <c r="M177" s="363"/>
      <c r="N177" s="363"/>
      <c r="O177" s="363"/>
      <c r="P177" s="364"/>
      <c r="Q177" s="363"/>
      <c r="R177" s="363"/>
      <c r="S177" s="363"/>
      <c r="T177" s="363"/>
      <c r="U177" s="363"/>
      <c r="V177" s="363"/>
      <c r="W177" s="363"/>
      <c r="X177" s="363"/>
      <c r="Y177" s="363"/>
      <c r="Z177" s="363"/>
    </row>
    <row r="178" spans="1:26" ht="15.75" customHeight="1" x14ac:dyDescent="0.35">
      <c r="A178" s="363"/>
      <c r="B178" s="364"/>
      <c r="E178" s="364"/>
      <c r="H178" s="364"/>
      <c r="K178" s="363"/>
      <c r="L178" s="364"/>
      <c r="M178" s="363"/>
      <c r="N178" s="363"/>
      <c r="O178" s="363"/>
      <c r="P178" s="364"/>
      <c r="Q178" s="363"/>
      <c r="R178" s="363"/>
      <c r="S178" s="363"/>
      <c r="T178" s="363"/>
      <c r="U178" s="363"/>
      <c r="V178" s="363"/>
      <c r="W178" s="363"/>
      <c r="X178" s="363"/>
      <c r="Y178" s="363"/>
      <c r="Z178" s="363"/>
    </row>
    <row r="179" spans="1:26" ht="15.75" customHeight="1" x14ac:dyDescent="0.35">
      <c r="A179" s="363"/>
      <c r="B179" s="364"/>
      <c r="E179" s="364"/>
      <c r="H179" s="364"/>
      <c r="K179" s="363"/>
      <c r="L179" s="364"/>
      <c r="M179" s="363"/>
      <c r="N179" s="363"/>
      <c r="O179" s="363"/>
      <c r="P179" s="364"/>
      <c r="Q179" s="363"/>
      <c r="R179" s="363"/>
      <c r="S179" s="363"/>
      <c r="T179" s="363"/>
      <c r="U179" s="363"/>
      <c r="V179" s="363"/>
      <c r="W179" s="363"/>
      <c r="X179" s="363"/>
      <c r="Y179" s="363"/>
      <c r="Z179" s="363"/>
    </row>
    <row r="180" spans="1:26" ht="15.75" customHeight="1" x14ac:dyDescent="0.35">
      <c r="A180" s="363"/>
      <c r="B180" s="364"/>
      <c r="E180" s="364"/>
      <c r="H180" s="364"/>
      <c r="K180" s="363"/>
      <c r="L180" s="364"/>
      <c r="M180" s="363"/>
      <c r="N180" s="363"/>
      <c r="O180" s="363"/>
      <c r="P180" s="364"/>
      <c r="Q180" s="363"/>
      <c r="R180" s="363"/>
      <c r="S180" s="363"/>
      <c r="T180" s="363"/>
      <c r="U180" s="363"/>
      <c r="V180" s="363"/>
      <c r="W180" s="363"/>
      <c r="X180" s="363"/>
      <c r="Y180" s="363"/>
      <c r="Z180" s="363"/>
    </row>
    <row r="181" spans="1:26" ht="15.75" customHeight="1" x14ac:dyDescent="0.35">
      <c r="A181" s="363"/>
      <c r="B181" s="364"/>
      <c r="E181" s="364"/>
      <c r="H181" s="364"/>
      <c r="K181" s="363"/>
      <c r="L181" s="364"/>
      <c r="M181" s="363"/>
      <c r="N181" s="363"/>
      <c r="O181" s="363"/>
      <c r="P181" s="364"/>
      <c r="Q181" s="363"/>
      <c r="R181" s="363"/>
      <c r="S181" s="363"/>
      <c r="T181" s="363"/>
      <c r="U181" s="363"/>
      <c r="V181" s="363"/>
      <c r="W181" s="363"/>
      <c r="X181" s="363"/>
      <c r="Y181" s="363"/>
      <c r="Z181" s="363"/>
    </row>
    <row r="182" spans="1:26" ht="15.75" customHeight="1" x14ac:dyDescent="0.35">
      <c r="A182" s="363"/>
      <c r="B182" s="364"/>
      <c r="E182" s="364"/>
      <c r="H182" s="364"/>
      <c r="K182" s="363"/>
      <c r="L182" s="364"/>
      <c r="M182" s="363"/>
      <c r="N182" s="363"/>
      <c r="O182" s="363"/>
      <c r="P182" s="364"/>
      <c r="Q182" s="363"/>
      <c r="R182" s="363"/>
      <c r="S182" s="363"/>
      <c r="T182" s="363"/>
      <c r="U182" s="363"/>
      <c r="V182" s="363"/>
      <c r="W182" s="363"/>
      <c r="X182" s="363"/>
      <c r="Y182" s="363"/>
      <c r="Z182" s="363"/>
    </row>
    <row r="183" spans="1:26" ht="15.75" customHeight="1" x14ac:dyDescent="0.35">
      <c r="A183" s="363"/>
      <c r="B183" s="364"/>
      <c r="E183" s="364"/>
      <c r="H183" s="364"/>
      <c r="K183" s="363"/>
      <c r="L183" s="364"/>
      <c r="M183" s="363"/>
      <c r="N183" s="363"/>
      <c r="O183" s="363"/>
      <c r="P183" s="364"/>
      <c r="Q183" s="363"/>
      <c r="R183" s="363"/>
      <c r="S183" s="363"/>
      <c r="T183" s="363"/>
      <c r="U183" s="363"/>
      <c r="V183" s="363"/>
      <c r="W183" s="363"/>
      <c r="X183" s="363"/>
      <c r="Y183" s="363"/>
      <c r="Z183" s="363"/>
    </row>
    <row r="184" spans="1:26" ht="15.75" customHeight="1" x14ac:dyDescent="0.35">
      <c r="A184" s="363"/>
      <c r="B184" s="364"/>
      <c r="E184" s="364"/>
      <c r="H184" s="364"/>
      <c r="K184" s="363"/>
      <c r="L184" s="364"/>
      <c r="M184" s="363"/>
      <c r="N184" s="363"/>
      <c r="O184" s="363"/>
      <c r="P184" s="364"/>
      <c r="Q184" s="363"/>
      <c r="R184" s="363"/>
      <c r="S184" s="363"/>
      <c r="T184" s="363"/>
      <c r="U184" s="363"/>
      <c r="V184" s="363"/>
      <c r="W184" s="363"/>
      <c r="X184" s="363"/>
      <c r="Y184" s="363"/>
      <c r="Z184" s="363"/>
    </row>
    <row r="185" spans="1:26" ht="15.75" customHeight="1" x14ac:dyDescent="0.35">
      <c r="A185" s="363"/>
      <c r="B185" s="364"/>
      <c r="E185" s="364"/>
      <c r="H185" s="364"/>
      <c r="K185" s="363"/>
      <c r="L185" s="364"/>
      <c r="M185" s="363"/>
      <c r="N185" s="363"/>
      <c r="O185" s="363"/>
      <c r="P185" s="364"/>
      <c r="Q185" s="363"/>
      <c r="R185" s="363"/>
      <c r="S185" s="363"/>
      <c r="T185" s="363"/>
      <c r="U185" s="363"/>
      <c r="V185" s="363"/>
      <c r="W185" s="363"/>
      <c r="X185" s="363"/>
      <c r="Y185" s="363"/>
      <c r="Z185" s="363"/>
    </row>
    <row r="186" spans="1:26" ht="15.75" customHeight="1" x14ac:dyDescent="0.35">
      <c r="A186" s="363"/>
      <c r="B186" s="364"/>
      <c r="E186" s="364"/>
      <c r="H186" s="364"/>
      <c r="K186" s="363"/>
      <c r="L186" s="364"/>
      <c r="M186" s="363"/>
      <c r="N186" s="363"/>
      <c r="O186" s="363"/>
      <c r="P186" s="364"/>
      <c r="Q186" s="363"/>
      <c r="R186" s="363"/>
      <c r="S186" s="363"/>
      <c r="T186" s="363"/>
      <c r="U186" s="363"/>
      <c r="V186" s="363"/>
      <c r="W186" s="363"/>
      <c r="X186" s="363"/>
      <c r="Y186" s="363"/>
      <c r="Z186" s="363"/>
    </row>
    <row r="187" spans="1:26" ht="15.75" customHeight="1" x14ac:dyDescent="0.35">
      <c r="A187" s="363"/>
      <c r="B187" s="364"/>
      <c r="E187" s="364"/>
      <c r="H187" s="364"/>
      <c r="K187" s="363"/>
      <c r="L187" s="364"/>
      <c r="M187" s="363"/>
      <c r="N187" s="363"/>
      <c r="O187" s="363"/>
      <c r="P187" s="364"/>
      <c r="Q187" s="363"/>
      <c r="R187" s="363"/>
      <c r="S187" s="363"/>
      <c r="T187" s="363"/>
      <c r="U187" s="363"/>
      <c r="V187" s="363"/>
      <c r="W187" s="363"/>
      <c r="X187" s="363"/>
      <c r="Y187" s="363"/>
      <c r="Z187" s="363"/>
    </row>
    <row r="188" spans="1:26" ht="15.75" customHeight="1" x14ac:dyDescent="0.35">
      <c r="A188" s="363"/>
      <c r="B188" s="364"/>
      <c r="E188" s="364"/>
      <c r="H188" s="364"/>
      <c r="K188" s="363"/>
      <c r="L188" s="364"/>
      <c r="M188" s="363"/>
      <c r="N188" s="363"/>
      <c r="O188" s="363"/>
      <c r="P188" s="364"/>
      <c r="Q188" s="363"/>
      <c r="R188" s="363"/>
      <c r="S188" s="363"/>
      <c r="T188" s="363"/>
      <c r="U188" s="363"/>
      <c r="V188" s="363"/>
      <c r="W188" s="363"/>
      <c r="X188" s="363"/>
      <c r="Y188" s="363"/>
      <c r="Z188" s="363"/>
    </row>
    <row r="189" spans="1:26" ht="15.75" customHeight="1" x14ac:dyDescent="0.35">
      <c r="A189" s="363"/>
      <c r="B189" s="364"/>
      <c r="E189" s="364"/>
      <c r="H189" s="364"/>
      <c r="K189" s="363"/>
      <c r="L189" s="364"/>
      <c r="M189" s="363"/>
      <c r="N189" s="363"/>
      <c r="O189" s="363"/>
      <c r="P189" s="364"/>
      <c r="Q189" s="363"/>
      <c r="R189" s="363"/>
      <c r="S189" s="363"/>
      <c r="T189" s="363"/>
      <c r="U189" s="363"/>
      <c r="V189" s="363"/>
      <c r="W189" s="363"/>
      <c r="X189" s="363"/>
      <c r="Y189" s="363"/>
      <c r="Z189" s="363"/>
    </row>
    <row r="190" spans="1:26" ht="15.75" customHeight="1" x14ac:dyDescent="0.35">
      <c r="A190" s="363"/>
      <c r="B190" s="364"/>
      <c r="E190" s="364"/>
      <c r="H190" s="364"/>
      <c r="K190" s="363"/>
      <c r="L190" s="364"/>
      <c r="M190" s="363"/>
      <c r="N190" s="363"/>
      <c r="O190" s="363"/>
      <c r="P190" s="364"/>
      <c r="Q190" s="363"/>
      <c r="R190" s="363"/>
      <c r="S190" s="363"/>
      <c r="T190" s="363"/>
      <c r="U190" s="363"/>
      <c r="V190" s="363"/>
      <c r="W190" s="363"/>
      <c r="X190" s="363"/>
      <c r="Y190" s="363"/>
      <c r="Z190" s="363"/>
    </row>
    <row r="191" spans="1:26" ht="15.75" customHeight="1" x14ac:dyDescent="0.35">
      <c r="A191" s="363"/>
      <c r="B191" s="364"/>
      <c r="E191" s="364"/>
      <c r="H191" s="364"/>
      <c r="K191" s="363"/>
      <c r="L191" s="364"/>
      <c r="M191" s="363"/>
      <c r="N191" s="363"/>
      <c r="O191" s="363"/>
      <c r="P191" s="364"/>
      <c r="Q191" s="363"/>
      <c r="R191" s="363"/>
      <c r="S191" s="363"/>
      <c r="T191" s="363"/>
      <c r="U191" s="363"/>
      <c r="V191" s="363"/>
      <c r="W191" s="363"/>
      <c r="X191" s="363"/>
      <c r="Y191" s="363"/>
      <c r="Z191" s="363"/>
    </row>
    <row r="192" spans="1:26" ht="15.75" customHeight="1" x14ac:dyDescent="0.35">
      <c r="A192" s="363"/>
      <c r="B192" s="364"/>
      <c r="E192" s="364"/>
      <c r="H192" s="364"/>
      <c r="K192" s="363"/>
      <c r="L192" s="364"/>
      <c r="M192" s="363"/>
      <c r="N192" s="363"/>
      <c r="O192" s="363"/>
      <c r="P192" s="364"/>
      <c r="Q192" s="363"/>
      <c r="R192" s="363"/>
      <c r="S192" s="363"/>
      <c r="T192" s="363"/>
      <c r="U192" s="363"/>
      <c r="V192" s="363"/>
      <c r="W192" s="363"/>
      <c r="X192" s="363"/>
      <c r="Y192" s="363"/>
      <c r="Z192" s="363"/>
    </row>
    <row r="193" spans="1:26" ht="15.75" customHeight="1" x14ac:dyDescent="0.35">
      <c r="A193" s="363"/>
      <c r="B193" s="364"/>
      <c r="E193" s="364"/>
      <c r="H193" s="364"/>
      <c r="K193" s="363"/>
      <c r="L193" s="364"/>
      <c r="M193" s="363"/>
      <c r="N193" s="363"/>
      <c r="O193" s="363"/>
      <c r="P193" s="364"/>
      <c r="Q193" s="363"/>
      <c r="R193" s="363"/>
      <c r="S193" s="363"/>
      <c r="T193" s="363"/>
      <c r="U193" s="363"/>
      <c r="V193" s="363"/>
      <c r="W193" s="363"/>
      <c r="X193" s="363"/>
      <c r="Y193" s="363"/>
      <c r="Z193" s="363"/>
    </row>
    <row r="194" spans="1:26" ht="15.75" customHeight="1" x14ac:dyDescent="0.35">
      <c r="A194" s="363"/>
      <c r="B194" s="364"/>
      <c r="E194" s="364"/>
      <c r="H194" s="364"/>
      <c r="K194" s="363"/>
      <c r="L194" s="364"/>
      <c r="M194" s="363"/>
      <c r="N194" s="363"/>
      <c r="O194" s="363"/>
      <c r="P194" s="364"/>
      <c r="Q194" s="363"/>
      <c r="R194" s="363"/>
      <c r="S194" s="363"/>
      <c r="T194" s="363"/>
      <c r="U194" s="363"/>
      <c r="V194" s="363"/>
      <c r="W194" s="363"/>
      <c r="X194" s="363"/>
      <c r="Y194" s="363"/>
      <c r="Z194" s="363"/>
    </row>
    <row r="195" spans="1:26" ht="15.75" customHeight="1" x14ac:dyDescent="0.35">
      <c r="A195" s="363"/>
      <c r="B195" s="364"/>
      <c r="E195" s="364"/>
      <c r="H195" s="364"/>
      <c r="K195" s="363"/>
      <c r="L195" s="364"/>
      <c r="M195" s="363"/>
      <c r="N195" s="363"/>
      <c r="O195" s="363"/>
      <c r="P195" s="364"/>
      <c r="Q195" s="363"/>
      <c r="R195" s="363"/>
      <c r="S195" s="363"/>
      <c r="T195" s="363"/>
      <c r="U195" s="363"/>
      <c r="V195" s="363"/>
      <c r="W195" s="363"/>
      <c r="X195" s="363"/>
      <c r="Y195" s="363"/>
      <c r="Z195" s="363"/>
    </row>
    <row r="196" spans="1:26" ht="15.75" customHeight="1" x14ac:dyDescent="0.35">
      <c r="A196" s="363"/>
      <c r="B196" s="364"/>
      <c r="E196" s="364"/>
      <c r="H196" s="364"/>
      <c r="K196" s="363"/>
      <c r="L196" s="364"/>
      <c r="M196" s="363"/>
      <c r="N196" s="363"/>
      <c r="O196" s="363"/>
      <c r="P196" s="364"/>
      <c r="Q196" s="363"/>
      <c r="R196" s="363"/>
      <c r="S196" s="363"/>
      <c r="T196" s="363"/>
      <c r="U196" s="363"/>
      <c r="V196" s="363"/>
      <c r="W196" s="363"/>
      <c r="X196" s="363"/>
      <c r="Y196" s="363"/>
      <c r="Z196" s="363"/>
    </row>
    <row r="197" spans="1:26" ht="15.75" customHeight="1" x14ac:dyDescent="0.35">
      <c r="A197" s="363"/>
      <c r="B197" s="364"/>
      <c r="E197" s="364"/>
      <c r="H197" s="364"/>
      <c r="K197" s="363"/>
      <c r="L197" s="364"/>
      <c r="M197" s="363"/>
      <c r="N197" s="363"/>
      <c r="O197" s="363"/>
      <c r="P197" s="364"/>
      <c r="Q197" s="363"/>
      <c r="R197" s="363"/>
      <c r="S197" s="363"/>
      <c r="T197" s="363"/>
      <c r="U197" s="363"/>
      <c r="V197" s="363"/>
      <c r="W197" s="363"/>
      <c r="X197" s="363"/>
      <c r="Y197" s="363"/>
      <c r="Z197" s="363"/>
    </row>
    <row r="198" spans="1:26" ht="15.75" customHeight="1" x14ac:dyDescent="0.35">
      <c r="A198" s="363"/>
      <c r="B198" s="364"/>
      <c r="E198" s="364"/>
      <c r="H198" s="364"/>
      <c r="K198" s="363"/>
      <c r="L198" s="364"/>
      <c r="M198" s="363"/>
      <c r="N198" s="363"/>
      <c r="O198" s="363"/>
      <c r="P198" s="364"/>
      <c r="Q198" s="363"/>
      <c r="R198" s="363"/>
      <c r="S198" s="363"/>
      <c r="T198" s="363"/>
      <c r="U198" s="363"/>
      <c r="V198" s="363"/>
      <c r="W198" s="363"/>
      <c r="X198" s="363"/>
      <c r="Y198" s="363"/>
      <c r="Z198" s="363"/>
    </row>
    <row r="199" spans="1:26" ht="15.75" customHeight="1" x14ac:dyDescent="0.35">
      <c r="A199" s="363"/>
      <c r="B199" s="364"/>
      <c r="E199" s="364"/>
      <c r="H199" s="364"/>
      <c r="K199" s="363"/>
      <c r="L199" s="364"/>
      <c r="M199" s="363"/>
      <c r="N199" s="363"/>
      <c r="O199" s="363"/>
      <c r="P199" s="364"/>
      <c r="Q199" s="363"/>
      <c r="R199" s="363"/>
      <c r="S199" s="363"/>
      <c r="T199" s="363"/>
      <c r="U199" s="363"/>
      <c r="V199" s="363"/>
      <c r="W199" s="363"/>
      <c r="X199" s="363"/>
      <c r="Y199" s="363"/>
      <c r="Z199" s="363"/>
    </row>
    <row r="200" spans="1:26" ht="15.75" customHeight="1" x14ac:dyDescent="0.35">
      <c r="A200" s="363"/>
      <c r="B200" s="364"/>
      <c r="E200" s="364"/>
      <c r="H200" s="364"/>
      <c r="K200" s="363"/>
      <c r="L200" s="364"/>
      <c r="M200" s="363"/>
      <c r="N200" s="363"/>
      <c r="O200" s="363"/>
      <c r="P200" s="364"/>
      <c r="Q200" s="363"/>
      <c r="R200" s="363"/>
      <c r="S200" s="363"/>
      <c r="T200" s="363"/>
      <c r="U200" s="363"/>
      <c r="V200" s="363"/>
      <c r="W200" s="363"/>
      <c r="X200" s="363"/>
      <c r="Y200" s="363"/>
      <c r="Z200" s="363"/>
    </row>
    <row r="201" spans="1:26" ht="15.75" customHeight="1" x14ac:dyDescent="0.35">
      <c r="A201" s="363"/>
      <c r="B201" s="364"/>
      <c r="E201" s="364"/>
      <c r="H201" s="364"/>
      <c r="K201" s="363"/>
      <c r="L201" s="364"/>
      <c r="M201" s="363"/>
      <c r="N201" s="363"/>
      <c r="O201" s="363"/>
      <c r="P201" s="364"/>
      <c r="Q201" s="363"/>
      <c r="R201" s="363"/>
      <c r="S201" s="363"/>
      <c r="T201" s="363"/>
      <c r="U201" s="363"/>
      <c r="V201" s="363"/>
      <c r="W201" s="363"/>
      <c r="X201" s="363"/>
      <c r="Y201" s="363"/>
      <c r="Z201" s="363"/>
    </row>
    <row r="202" spans="1:26" ht="15.75" customHeight="1" x14ac:dyDescent="0.35">
      <c r="A202" s="363"/>
      <c r="B202" s="364"/>
      <c r="E202" s="364"/>
      <c r="H202" s="364"/>
      <c r="K202" s="363"/>
      <c r="L202" s="364"/>
      <c r="M202" s="363"/>
      <c r="N202" s="363"/>
      <c r="O202" s="363"/>
      <c r="P202" s="364"/>
      <c r="Q202" s="363"/>
      <c r="R202" s="363"/>
      <c r="S202" s="363"/>
      <c r="T202" s="363"/>
      <c r="U202" s="363"/>
      <c r="V202" s="363"/>
      <c r="W202" s="363"/>
      <c r="X202" s="363"/>
      <c r="Y202" s="363"/>
      <c r="Z202" s="363"/>
    </row>
    <row r="203" spans="1:26" ht="15.75" customHeight="1" x14ac:dyDescent="0.35">
      <c r="A203" s="363"/>
      <c r="B203" s="364"/>
      <c r="E203" s="364"/>
      <c r="H203" s="364"/>
      <c r="K203" s="363"/>
      <c r="L203" s="364"/>
      <c r="M203" s="363"/>
      <c r="N203" s="363"/>
      <c r="O203" s="363"/>
      <c r="P203" s="364"/>
      <c r="Q203" s="363"/>
      <c r="R203" s="363"/>
      <c r="S203" s="363"/>
      <c r="T203" s="363"/>
      <c r="U203" s="363"/>
      <c r="V203" s="363"/>
      <c r="W203" s="363"/>
      <c r="X203" s="363"/>
      <c r="Y203" s="363"/>
      <c r="Z203" s="363"/>
    </row>
    <row r="204" spans="1:26" ht="15.75" customHeight="1" x14ac:dyDescent="0.35">
      <c r="A204" s="363"/>
      <c r="B204" s="364"/>
      <c r="E204" s="364"/>
      <c r="H204" s="364"/>
      <c r="K204" s="363"/>
      <c r="L204" s="364"/>
      <c r="M204" s="363"/>
      <c r="N204" s="363"/>
      <c r="O204" s="363"/>
      <c r="P204" s="364"/>
      <c r="Q204" s="363"/>
      <c r="R204" s="363"/>
      <c r="S204" s="363"/>
      <c r="T204" s="363"/>
      <c r="U204" s="363"/>
      <c r="V204" s="363"/>
      <c r="W204" s="363"/>
      <c r="X204" s="363"/>
      <c r="Y204" s="363"/>
      <c r="Z204" s="363"/>
    </row>
    <row r="205" spans="1:26" ht="15.75" customHeight="1" x14ac:dyDescent="0.35">
      <c r="A205" s="363"/>
      <c r="B205" s="364"/>
      <c r="E205" s="364"/>
      <c r="H205" s="364"/>
      <c r="K205" s="363"/>
      <c r="L205" s="364"/>
      <c r="M205" s="363"/>
      <c r="N205" s="363"/>
      <c r="O205" s="363"/>
      <c r="P205" s="364"/>
      <c r="Q205" s="363"/>
      <c r="R205" s="363"/>
      <c r="S205" s="363"/>
      <c r="T205" s="363"/>
      <c r="U205" s="363"/>
      <c r="V205" s="363"/>
      <c r="W205" s="363"/>
      <c r="X205" s="363"/>
      <c r="Y205" s="363"/>
      <c r="Z205" s="363"/>
    </row>
    <row r="206" spans="1:26" ht="15.75" customHeight="1" x14ac:dyDescent="0.35">
      <c r="A206" s="363"/>
      <c r="B206" s="364"/>
      <c r="E206" s="364"/>
      <c r="H206" s="364"/>
      <c r="K206" s="363"/>
      <c r="L206" s="364"/>
      <c r="M206" s="363"/>
      <c r="N206" s="363"/>
      <c r="O206" s="363"/>
      <c r="P206" s="364"/>
      <c r="Q206" s="363"/>
      <c r="R206" s="363"/>
      <c r="S206" s="363"/>
      <c r="T206" s="363"/>
      <c r="U206" s="363"/>
      <c r="V206" s="363"/>
      <c r="W206" s="363"/>
      <c r="X206" s="363"/>
      <c r="Y206" s="363"/>
      <c r="Z206" s="363"/>
    </row>
    <row r="207" spans="1:26" ht="15.75" customHeight="1" x14ac:dyDescent="0.35">
      <c r="A207" s="363"/>
      <c r="B207" s="364"/>
      <c r="E207" s="364"/>
      <c r="H207" s="364"/>
      <c r="K207" s="363"/>
      <c r="L207" s="364"/>
      <c r="M207" s="363"/>
      <c r="N207" s="363"/>
      <c r="O207" s="363"/>
      <c r="P207" s="364"/>
      <c r="Q207" s="363"/>
      <c r="R207" s="363"/>
      <c r="S207" s="363"/>
      <c r="T207" s="363"/>
      <c r="U207" s="363"/>
      <c r="V207" s="363"/>
      <c r="W207" s="363"/>
      <c r="X207" s="363"/>
      <c r="Y207" s="363"/>
      <c r="Z207" s="363"/>
    </row>
    <row r="208" spans="1:26" ht="15.75" customHeight="1" x14ac:dyDescent="0.35">
      <c r="A208" s="363"/>
      <c r="B208" s="364"/>
      <c r="E208" s="364"/>
      <c r="H208" s="364"/>
      <c r="K208" s="363"/>
      <c r="L208" s="364"/>
      <c r="M208" s="363"/>
      <c r="N208" s="363"/>
      <c r="O208" s="363"/>
      <c r="P208" s="364"/>
      <c r="Q208" s="363"/>
      <c r="R208" s="363"/>
      <c r="S208" s="363"/>
      <c r="T208" s="363"/>
      <c r="U208" s="363"/>
      <c r="V208" s="363"/>
      <c r="W208" s="363"/>
      <c r="X208" s="363"/>
      <c r="Y208" s="363"/>
      <c r="Z208" s="363"/>
    </row>
    <row r="209" spans="1:26" ht="15.75" customHeight="1" x14ac:dyDescent="0.35">
      <c r="A209" s="363"/>
      <c r="B209" s="364"/>
      <c r="E209" s="364"/>
      <c r="H209" s="364"/>
      <c r="K209" s="363"/>
      <c r="L209" s="364"/>
      <c r="M209" s="363"/>
      <c r="N209" s="363"/>
      <c r="O209" s="363"/>
      <c r="P209" s="364"/>
      <c r="Q209" s="363"/>
      <c r="R209" s="363"/>
      <c r="S209" s="363"/>
      <c r="T209" s="363"/>
      <c r="U209" s="363"/>
      <c r="V209" s="363"/>
      <c r="W209" s="363"/>
      <c r="X209" s="363"/>
      <c r="Y209" s="363"/>
      <c r="Z209" s="363"/>
    </row>
    <row r="210" spans="1:26" ht="15.75" customHeight="1" x14ac:dyDescent="0.35">
      <c r="A210" s="363"/>
      <c r="B210" s="364"/>
      <c r="E210" s="364"/>
      <c r="H210" s="364"/>
      <c r="K210" s="363"/>
      <c r="L210" s="364"/>
      <c r="M210" s="363"/>
      <c r="N210" s="363"/>
      <c r="O210" s="363"/>
      <c r="P210" s="364"/>
      <c r="Q210" s="363"/>
      <c r="R210" s="363"/>
      <c r="S210" s="363"/>
      <c r="T210" s="363"/>
      <c r="U210" s="363"/>
      <c r="V210" s="363"/>
      <c r="W210" s="363"/>
      <c r="X210" s="363"/>
      <c r="Y210" s="363"/>
      <c r="Z210" s="363"/>
    </row>
    <row r="211" spans="1:26" ht="15.75" customHeight="1" x14ac:dyDescent="0.35">
      <c r="A211" s="363"/>
      <c r="B211" s="364"/>
      <c r="E211" s="364"/>
      <c r="H211" s="364"/>
      <c r="K211" s="363"/>
      <c r="L211" s="364"/>
      <c r="M211" s="363"/>
      <c r="N211" s="363"/>
      <c r="O211" s="363"/>
      <c r="P211" s="364"/>
      <c r="Q211" s="363"/>
      <c r="R211" s="363"/>
      <c r="S211" s="363"/>
      <c r="T211" s="363"/>
      <c r="U211" s="363"/>
      <c r="V211" s="363"/>
      <c r="W211" s="363"/>
      <c r="X211" s="363"/>
      <c r="Y211" s="363"/>
      <c r="Z211" s="363"/>
    </row>
    <row r="212" spans="1:26" ht="15.75" customHeight="1" x14ac:dyDescent="0.35">
      <c r="A212" s="363"/>
      <c r="B212" s="364"/>
      <c r="E212" s="364"/>
      <c r="H212" s="364"/>
      <c r="K212" s="363"/>
      <c r="L212" s="364"/>
      <c r="M212" s="363"/>
      <c r="N212" s="363"/>
      <c r="O212" s="363"/>
      <c r="P212" s="364"/>
      <c r="Q212" s="363"/>
      <c r="R212" s="363"/>
      <c r="S212" s="363"/>
      <c r="T212" s="363"/>
      <c r="U212" s="363"/>
      <c r="V212" s="363"/>
      <c r="W212" s="363"/>
      <c r="X212" s="363"/>
      <c r="Y212" s="363"/>
      <c r="Z212" s="363"/>
    </row>
    <row r="213" spans="1:26" ht="15.75" customHeight="1" x14ac:dyDescent="0.35">
      <c r="A213" s="363"/>
      <c r="B213" s="364"/>
      <c r="E213" s="364"/>
      <c r="H213" s="364"/>
      <c r="K213" s="363"/>
      <c r="L213" s="364"/>
      <c r="M213" s="363"/>
      <c r="N213" s="363"/>
      <c r="O213" s="363"/>
      <c r="P213" s="364"/>
      <c r="Q213" s="363"/>
      <c r="R213" s="363"/>
      <c r="S213" s="363"/>
      <c r="T213" s="363"/>
      <c r="U213" s="363"/>
      <c r="V213" s="363"/>
      <c r="W213" s="363"/>
      <c r="X213" s="363"/>
      <c r="Y213" s="363"/>
      <c r="Z213" s="363"/>
    </row>
    <row r="214" spans="1:26" ht="15.75" customHeight="1" x14ac:dyDescent="0.35">
      <c r="A214" s="363"/>
      <c r="B214" s="364"/>
      <c r="E214" s="364"/>
      <c r="H214" s="364"/>
      <c r="K214" s="363"/>
      <c r="L214" s="364"/>
      <c r="M214" s="363"/>
      <c r="N214" s="363"/>
      <c r="O214" s="363"/>
      <c r="P214" s="364"/>
      <c r="Q214" s="363"/>
      <c r="R214" s="363"/>
      <c r="S214" s="363"/>
      <c r="T214" s="363"/>
      <c r="U214" s="363"/>
      <c r="V214" s="363"/>
      <c r="W214" s="363"/>
      <c r="X214" s="363"/>
      <c r="Y214" s="363"/>
      <c r="Z214" s="363"/>
    </row>
    <row r="215" spans="1:26" ht="15.75" customHeight="1" x14ac:dyDescent="0.35">
      <c r="A215" s="363"/>
      <c r="B215" s="364"/>
      <c r="E215" s="364"/>
      <c r="H215" s="364"/>
      <c r="K215" s="363"/>
      <c r="L215" s="364"/>
      <c r="M215" s="363"/>
      <c r="N215" s="363"/>
      <c r="O215" s="363"/>
      <c r="P215" s="364"/>
      <c r="Q215" s="363"/>
      <c r="R215" s="363"/>
      <c r="S215" s="363"/>
      <c r="T215" s="363"/>
      <c r="U215" s="363"/>
      <c r="V215" s="363"/>
      <c r="W215" s="363"/>
      <c r="X215" s="363"/>
      <c r="Y215" s="363"/>
      <c r="Z215" s="363"/>
    </row>
    <row r="216" spans="1:26" ht="15.75" customHeight="1" x14ac:dyDescent="0.35">
      <c r="A216" s="363"/>
      <c r="B216" s="364"/>
      <c r="E216" s="364"/>
      <c r="H216" s="364"/>
      <c r="K216" s="363"/>
      <c r="L216" s="364"/>
      <c r="M216" s="363"/>
      <c r="N216" s="363"/>
      <c r="O216" s="363"/>
      <c r="P216" s="364"/>
      <c r="Q216" s="363"/>
      <c r="R216" s="363"/>
      <c r="S216" s="363"/>
      <c r="T216" s="363"/>
      <c r="U216" s="363"/>
      <c r="V216" s="363"/>
      <c r="W216" s="363"/>
      <c r="X216" s="363"/>
      <c r="Y216" s="363"/>
      <c r="Z216" s="363"/>
    </row>
    <row r="217" spans="1:26" ht="15.75" customHeight="1" x14ac:dyDescent="0.35">
      <c r="A217" s="363"/>
      <c r="B217" s="364"/>
      <c r="E217" s="364"/>
      <c r="H217" s="364"/>
      <c r="K217" s="363"/>
      <c r="L217" s="364"/>
      <c r="M217" s="363"/>
      <c r="N217" s="363"/>
      <c r="O217" s="363"/>
      <c r="P217" s="364"/>
      <c r="Q217" s="363"/>
      <c r="R217" s="363"/>
      <c r="S217" s="363"/>
      <c r="T217" s="363"/>
      <c r="U217" s="363"/>
      <c r="V217" s="363"/>
      <c r="W217" s="363"/>
      <c r="X217" s="363"/>
      <c r="Y217" s="363"/>
      <c r="Z217" s="363"/>
    </row>
    <row r="218" spans="1:26" ht="15.75" customHeight="1" x14ac:dyDescent="0.35">
      <c r="A218" s="363"/>
      <c r="B218" s="364"/>
      <c r="E218" s="364"/>
      <c r="H218" s="364"/>
      <c r="K218" s="363"/>
      <c r="L218" s="364"/>
      <c r="M218" s="363"/>
      <c r="N218" s="363"/>
      <c r="O218" s="363"/>
      <c r="P218" s="364"/>
      <c r="Q218" s="363"/>
      <c r="R218" s="363"/>
      <c r="S218" s="363"/>
      <c r="T218" s="363"/>
      <c r="U218" s="363"/>
      <c r="V218" s="363"/>
      <c r="W218" s="363"/>
      <c r="X218" s="363"/>
      <c r="Y218" s="363"/>
      <c r="Z218" s="363"/>
    </row>
    <row r="219" spans="1:26" ht="15.75" customHeight="1" x14ac:dyDescent="0.35">
      <c r="A219" s="363"/>
      <c r="B219" s="364"/>
      <c r="E219" s="364"/>
      <c r="H219" s="364"/>
      <c r="K219" s="363"/>
      <c r="L219" s="364"/>
      <c r="M219" s="363"/>
      <c r="N219" s="363"/>
      <c r="O219" s="363"/>
      <c r="P219" s="364"/>
      <c r="Q219" s="363"/>
      <c r="R219" s="363"/>
      <c r="S219" s="363"/>
      <c r="T219" s="363"/>
      <c r="U219" s="363"/>
      <c r="V219" s="363"/>
      <c r="W219" s="363"/>
      <c r="X219" s="363"/>
      <c r="Y219" s="363"/>
      <c r="Z219" s="363"/>
    </row>
    <row r="220" spans="1:26" ht="15.75" customHeight="1" x14ac:dyDescent="0.35">
      <c r="A220" s="363"/>
      <c r="B220" s="364"/>
      <c r="E220" s="364"/>
      <c r="H220" s="364"/>
      <c r="K220" s="363"/>
      <c r="L220" s="364"/>
      <c r="M220" s="363"/>
      <c r="N220" s="363"/>
      <c r="O220" s="363"/>
      <c r="P220" s="364"/>
      <c r="Q220" s="363"/>
      <c r="R220" s="363"/>
      <c r="S220" s="363"/>
      <c r="T220" s="363"/>
      <c r="U220" s="363"/>
      <c r="V220" s="363"/>
      <c r="W220" s="363"/>
      <c r="X220" s="363"/>
      <c r="Y220" s="363"/>
      <c r="Z220" s="363"/>
    </row>
    <row r="221" spans="1:26" ht="15.75" customHeight="1" x14ac:dyDescent="0.35">
      <c r="A221" s="363"/>
      <c r="B221" s="364"/>
      <c r="E221" s="364"/>
      <c r="H221" s="364"/>
      <c r="K221" s="363"/>
      <c r="L221" s="364"/>
      <c r="M221" s="363"/>
      <c r="N221" s="363"/>
      <c r="O221" s="363"/>
      <c r="P221" s="364"/>
      <c r="Q221" s="363"/>
      <c r="R221" s="363"/>
      <c r="S221" s="363"/>
      <c r="T221" s="363"/>
      <c r="U221" s="363"/>
      <c r="V221" s="363"/>
      <c r="W221" s="363"/>
      <c r="X221" s="363"/>
      <c r="Y221" s="363"/>
      <c r="Z221" s="363"/>
    </row>
    <row r="222" spans="1:26" ht="15.75" customHeight="1" x14ac:dyDescent="0.35">
      <c r="A222" s="363"/>
      <c r="B222" s="364"/>
      <c r="E222" s="364"/>
      <c r="H222" s="364"/>
      <c r="K222" s="363"/>
      <c r="L222" s="364"/>
      <c r="M222" s="363"/>
      <c r="N222" s="363"/>
      <c r="O222" s="363"/>
      <c r="P222" s="364"/>
      <c r="Q222" s="363"/>
      <c r="R222" s="363"/>
      <c r="S222" s="363"/>
      <c r="T222" s="363"/>
      <c r="U222" s="363"/>
      <c r="V222" s="363"/>
      <c r="W222" s="363"/>
      <c r="X222" s="363"/>
      <c r="Y222" s="363"/>
      <c r="Z222" s="363"/>
    </row>
    <row r="223" spans="1:26" ht="15.75" customHeight="1" x14ac:dyDescent="0.35">
      <c r="A223" s="363"/>
      <c r="B223" s="364"/>
      <c r="E223" s="364"/>
      <c r="H223" s="364"/>
      <c r="K223" s="363"/>
      <c r="L223" s="364"/>
      <c r="M223" s="363"/>
      <c r="N223" s="363"/>
      <c r="O223" s="363"/>
      <c r="P223" s="364"/>
      <c r="Q223" s="363"/>
      <c r="R223" s="363"/>
      <c r="S223" s="363"/>
      <c r="T223" s="363"/>
      <c r="U223" s="363"/>
      <c r="V223" s="363"/>
      <c r="W223" s="363"/>
      <c r="X223" s="363"/>
      <c r="Y223" s="363"/>
      <c r="Z223" s="363"/>
    </row>
    <row r="224" spans="1:26" ht="15.75" customHeight="1" x14ac:dyDescent="0.35">
      <c r="A224" s="363"/>
      <c r="B224" s="364"/>
      <c r="E224" s="364"/>
      <c r="H224" s="364"/>
      <c r="K224" s="363"/>
      <c r="L224" s="364"/>
      <c r="M224" s="363"/>
      <c r="N224" s="363"/>
      <c r="O224" s="363"/>
      <c r="P224" s="364"/>
      <c r="Q224" s="363"/>
      <c r="R224" s="363"/>
      <c r="S224" s="363"/>
      <c r="T224" s="363"/>
      <c r="U224" s="363"/>
      <c r="V224" s="363"/>
      <c r="W224" s="363"/>
      <c r="X224" s="363"/>
      <c r="Y224" s="363"/>
      <c r="Z224" s="363"/>
    </row>
    <row r="225" spans="1:26" ht="15.75" customHeight="1" x14ac:dyDescent="0.35">
      <c r="A225" s="363"/>
      <c r="B225" s="364"/>
      <c r="E225" s="364"/>
      <c r="H225" s="364"/>
      <c r="K225" s="363"/>
      <c r="L225" s="364"/>
      <c r="M225" s="363"/>
      <c r="N225" s="363"/>
      <c r="O225" s="363"/>
      <c r="P225" s="364"/>
      <c r="Q225" s="363"/>
      <c r="R225" s="363"/>
      <c r="S225" s="363"/>
      <c r="T225" s="363"/>
      <c r="U225" s="363"/>
      <c r="V225" s="363"/>
      <c r="W225" s="363"/>
      <c r="X225" s="363"/>
      <c r="Y225" s="363"/>
      <c r="Z225" s="363"/>
    </row>
    <row r="226" spans="1:26" ht="15.75" customHeight="1" x14ac:dyDescent="0.35">
      <c r="A226" s="363"/>
      <c r="B226" s="364"/>
      <c r="E226" s="364"/>
      <c r="H226" s="364"/>
      <c r="K226" s="363"/>
      <c r="L226" s="364"/>
      <c r="M226" s="363"/>
      <c r="N226" s="363"/>
      <c r="O226" s="363"/>
      <c r="P226" s="364"/>
      <c r="Q226" s="363"/>
      <c r="R226" s="363"/>
      <c r="S226" s="363"/>
      <c r="T226" s="363"/>
      <c r="U226" s="363"/>
      <c r="V226" s="363"/>
      <c r="W226" s="363"/>
      <c r="X226" s="363"/>
      <c r="Y226" s="363"/>
      <c r="Z226" s="363"/>
    </row>
    <row r="227" spans="1:26" ht="15.75" customHeight="1" x14ac:dyDescent="0.35">
      <c r="A227" s="363"/>
      <c r="B227" s="364"/>
      <c r="E227" s="364"/>
      <c r="H227" s="364"/>
      <c r="K227" s="363"/>
      <c r="L227" s="364"/>
      <c r="M227" s="363"/>
      <c r="N227" s="363"/>
      <c r="O227" s="363"/>
      <c r="P227" s="364"/>
      <c r="Q227" s="363"/>
      <c r="R227" s="363"/>
      <c r="S227" s="363"/>
      <c r="T227" s="363"/>
      <c r="U227" s="363"/>
      <c r="V227" s="363"/>
      <c r="W227" s="363"/>
      <c r="X227" s="363"/>
      <c r="Y227" s="363"/>
      <c r="Z227" s="363"/>
    </row>
    <row r="228" spans="1:26" ht="15.75" customHeight="1" x14ac:dyDescent="0.35">
      <c r="A228" s="363"/>
      <c r="B228" s="364"/>
      <c r="E228" s="364"/>
      <c r="H228" s="364"/>
      <c r="K228" s="363"/>
      <c r="L228" s="364"/>
      <c r="M228" s="363"/>
      <c r="N228" s="363"/>
      <c r="O228" s="363"/>
      <c r="P228" s="364"/>
      <c r="Q228" s="363"/>
      <c r="R228" s="363"/>
      <c r="S228" s="363"/>
      <c r="T228" s="363"/>
      <c r="U228" s="363"/>
      <c r="V228" s="363"/>
      <c r="W228" s="363"/>
      <c r="X228" s="363"/>
      <c r="Y228" s="363"/>
      <c r="Z228" s="363"/>
    </row>
    <row r="229" spans="1:26" ht="15.75" customHeight="1" x14ac:dyDescent="0.35">
      <c r="A229" s="363"/>
      <c r="B229" s="364"/>
      <c r="E229" s="364"/>
      <c r="H229" s="364"/>
      <c r="K229" s="363"/>
      <c r="L229" s="364"/>
      <c r="M229" s="363"/>
      <c r="N229" s="363"/>
      <c r="O229" s="363"/>
      <c r="P229" s="364"/>
      <c r="Q229" s="363"/>
      <c r="R229" s="363"/>
      <c r="S229" s="363"/>
      <c r="T229" s="363"/>
      <c r="U229" s="363"/>
      <c r="V229" s="363"/>
      <c r="W229" s="363"/>
      <c r="X229" s="363"/>
      <c r="Y229" s="363"/>
      <c r="Z229" s="363"/>
    </row>
    <row r="230" spans="1:26" ht="15.75" customHeight="1" x14ac:dyDescent="0.35">
      <c r="A230" s="363"/>
      <c r="B230" s="364"/>
      <c r="E230" s="364"/>
      <c r="H230" s="364"/>
      <c r="K230" s="363"/>
      <c r="L230" s="364"/>
      <c r="M230" s="363"/>
      <c r="N230" s="363"/>
      <c r="O230" s="363"/>
      <c r="P230" s="364"/>
      <c r="Q230" s="363"/>
      <c r="R230" s="363"/>
      <c r="S230" s="363"/>
      <c r="T230" s="363"/>
      <c r="U230" s="363"/>
      <c r="V230" s="363"/>
      <c r="W230" s="363"/>
      <c r="X230" s="363"/>
      <c r="Y230" s="363"/>
      <c r="Z230" s="363"/>
    </row>
    <row r="231" spans="1:26" ht="15.75" customHeight="1" x14ac:dyDescent="0.35">
      <c r="A231" s="363"/>
      <c r="B231" s="364"/>
      <c r="E231" s="364"/>
      <c r="H231" s="364"/>
      <c r="K231" s="363"/>
      <c r="L231" s="364"/>
      <c r="M231" s="363"/>
      <c r="N231" s="363"/>
      <c r="O231" s="363"/>
      <c r="P231" s="364"/>
      <c r="Q231" s="363"/>
      <c r="R231" s="363"/>
      <c r="S231" s="363"/>
      <c r="T231" s="363"/>
      <c r="U231" s="363"/>
      <c r="V231" s="363"/>
      <c r="W231" s="363"/>
      <c r="X231" s="363"/>
      <c r="Y231" s="363"/>
      <c r="Z231" s="363"/>
    </row>
    <row r="232" spans="1:26" ht="15.75" customHeight="1" x14ac:dyDescent="0.35">
      <c r="A232" s="363"/>
      <c r="B232" s="364"/>
      <c r="E232" s="364"/>
      <c r="H232" s="364"/>
      <c r="K232" s="363"/>
      <c r="L232" s="364"/>
      <c r="M232" s="363"/>
      <c r="N232" s="363"/>
      <c r="O232" s="363"/>
      <c r="P232" s="364"/>
      <c r="Q232" s="363"/>
      <c r="R232" s="363"/>
      <c r="S232" s="363"/>
      <c r="T232" s="363"/>
      <c r="U232" s="363"/>
      <c r="V232" s="363"/>
      <c r="W232" s="363"/>
      <c r="X232" s="363"/>
      <c r="Y232" s="363"/>
      <c r="Z232" s="363"/>
    </row>
    <row r="233" spans="1:26" ht="15.75" customHeight="1" x14ac:dyDescent="0.35">
      <c r="A233" s="363"/>
      <c r="B233" s="364"/>
      <c r="E233" s="364"/>
      <c r="H233" s="364"/>
      <c r="K233" s="363"/>
      <c r="L233" s="364"/>
      <c r="M233" s="363"/>
      <c r="N233" s="363"/>
      <c r="O233" s="363"/>
      <c r="P233" s="364"/>
      <c r="Q233" s="363"/>
      <c r="R233" s="363"/>
      <c r="S233" s="363"/>
      <c r="T233" s="363"/>
      <c r="U233" s="363"/>
      <c r="V233" s="363"/>
      <c r="W233" s="363"/>
      <c r="X233" s="363"/>
      <c r="Y233" s="363"/>
      <c r="Z233" s="363"/>
    </row>
    <row r="234" spans="1:26" ht="15.75" customHeight="1" x14ac:dyDescent="0.35">
      <c r="A234" s="363"/>
      <c r="B234" s="364"/>
      <c r="E234" s="364"/>
      <c r="H234" s="364"/>
      <c r="K234" s="363"/>
      <c r="L234" s="364"/>
      <c r="M234" s="363"/>
      <c r="N234" s="363"/>
      <c r="O234" s="363"/>
      <c r="P234" s="364"/>
      <c r="Q234" s="363"/>
      <c r="R234" s="363"/>
      <c r="S234" s="363"/>
      <c r="T234" s="363"/>
      <c r="U234" s="363"/>
      <c r="V234" s="363"/>
      <c r="W234" s="363"/>
      <c r="X234" s="363"/>
      <c r="Y234" s="363"/>
      <c r="Z234" s="363"/>
    </row>
    <row r="235" spans="1:26" ht="15.75" customHeight="1" x14ac:dyDescent="0.35">
      <c r="A235" s="363"/>
      <c r="B235" s="364"/>
      <c r="E235" s="364"/>
      <c r="H235" s="364"/>
      <c r="K235" s="363"/>
      <c r="L235" s="364"/>
      <c r="M235" s="363"/>
      <c r="N235" s="363"/>
      <c r="O235" s="363"/>
      <c r="P235" s="364"/>
      <c r="Q235" s="363"/>
      <c r="R235" s="363"/>
      <c r="S235" s="363"/>
      <c r="T235" s="363"/>
      <c r="U235" s="363"/>
      <c r="V235" s="363"/>
      <c r="W235" s="363"/>
      <c r="X235" s="363"/>
      <c r="Y235" s="363"/>
      <c r="Z235" s="363"/>
    </row>
    <row r="236" spans="1:26" ht="15.75" customHeight="1" x14ac:dyDescent="0.35">
      <c r="A236" s="363"/>
      <c r="B236" s="364"/>
      <c r="E236" s="364"/>
      <c r="H236" s="364"/>
      <c r="K236" s="363"/>
      <c r="L236" s="364"/>
      <c r="M236" s="363"/>
      <c r="N236" s="363"/>
      <c r="O236" s="363"/>
      <c r="P236" s="364"/>
      <c r="Q236" s="363"/>
      <c r="R236" s="363"/>
      <c r="S236" s="363"/>
      <c r="T236" s="363"/>
      <c r="U236" s="363"/>
      <c r="V236" s="363"/>
      <c r="W236" s="363"/>
      <c r="X236" s="363"/>
      <c r="Y236" s="363"/>
      <c r="Z236" s="363"/>
    </row>
    <row r="237" spans="1:26" ht="15.75" customHeight="1" x14ac:dyDescent="0.35">
      <c r="A237" s="363"/>
      <c r="B237" s="364"/>
      <c r="E237" s="364"/>
      <c r="H237" s="364"/>
      <c r="K237" s="363"/>
      <c r="L237" s="364"/>
      <c r="M237" s="363"/>
      <c r="N237" s="363"/>
      <c r="O237" s="363"/>
      <c r="P237" s="364"/>
      <c r="Q237" s="363"/>
      <c r="R237" s="363"/>
      <c r="S237" s="363"/>
      <c r="T237" s="363"/>
      <c r="U237" s="363"/>
      <c r="V237" s="363"/>
      <c r="W237" s="363"/>
      <c r="X237" s="363"/>
      <c r="Y237" s="363"/>
      <c r="Z237" s="363"/>
    </row>
    <row r="238" spans="1:26" ht="15.75" customHeight="1" x14ac:dyDescent="0.35">
      <c r="A238" s="363"/>
      <c r="B238" s="364"/>
      <c r="E238" s="364"/>
      <c r="H238" s="364"/>
      <c r="K238" s="363"/>
      <c r="L238" s="364"/>
      <c r="M238" s="363"/>
      <c r="N238" s="363"/>
      <c r="O238" s="363"/>
      <c r="P238" s="364"/>
      <c r="Q238" s="363"/>
      <c r="R238" s="363"/>
      <c r="S238" s="363"/>
      <c r="T238" s="363"/>
      <c r="U238" s="363"/>
      <c r="V238" s="363"/>
      <c r="W238" s="363"/>
      <c r="X238" s="363"/>
      <c r="Y238" s="363"/>
      <c r="Z238" s="363"/>
    </row>
    <row r="239" spans="1:26" ht="15.75" customHeight="1" x14ac:dyDescent="0.35">
      <c r="A239" s="363"/>
      <c r="B239" s="364"/>
      <c r="E239" s="364"/>
      <c r="H239" s="364"/>
      <c r="K239" s="363"/>
      <c r="L239" s="364"/>
      <c r="M239" s="363"/>
      <c r="N239" s="363"/>
      <c r="O239" s="363"/>
      <c r="P239" s="364"/>
      <c r="Q239" s="363"/>
      <c r="R239" s="363"/>
      <c r="S239" s="363"/>
      <c r="T239" s="363"/>
      <c r="U239" s="363"/>
      <c r="V239" s="363"/>
      <c r="W239" s="363"/>
      <c r="X239" s="363"/>
      <c r="Y239" s="363"/>
      <c r="Z239" s="363"/>
    </row>
    <row r="240" spans="1:26" ht="15.75" customHeight="1" x14ac:dyDescent="0.35">
      <c r="A240" s="363"/>
      <c r="B240" s="364"/>
      <c r="E240" s="364"/>
      <c r="H240" s="364"/>
      <c r="K240" s="363"/>
      <c r="L240" s="364"/>
      <c r="M240" s="363"/>
      <c r="N240" s="363"/>
      <c r="O240" s="363"/>
      <c r="P240" s="364"/>
      <c r="Q240" s="363"/>
      <c r="R240" s="363"/>
      <c r="S240" s="363"/>
      <c r="T240" s="363"/>
      <c r="U240" s="363"/>
      <c r="V240" s="363"/>
      <c r="W240" s="363"/>
      <c r="X240" s="363"/>
      <c r="Y240" s="363"/>
      <c r="Z240" s="363"/>
    </row>
    <row r="241" spans="1:26" ht="15.75" customHeight="1" x14ac:dyDescent="0.35">
      <c r="A241" s="363"/>
      <c r="B241" s="364"/>
      <c r="E241" s="364"/>
      <c r="H241" s="364"/>
      <c r="K241" s="363"/>
      <c r="L241" s="364"/>
      <c r="M241" s="363"/>
      <c r="N241" s="363"/>
      <c r="O241" s="363"/>
      <c r="P241" s="364"/>
      <c r="Q241" s="363"/>
      <c r="R241" s="363"/>
      <c r="S241" s="363"/>
      <c r="T241" s="363"/>
      <c r="U241" s="363"/>
      <c r="V241" s="363"/>
      <c r="W241" s="363"/>
      <c r="X241" s="363"/>
      <c r="Y241" s="363"/>
      <c r="Z241" s="363"/>
    </row>
    <row r="242" spans="1:26" ht="15.75" customHeight="1" x14ac:dyDescent="0.35">
      <c r="A242" s="363"/>
      <c r="B242" s="364"/>
      <c r="E242" s="364"/>
      <c r="H242" s="364"/>
      <c r="K242" s="363"/>
      <c r="L242" s="364"/>
      <c r="M242" s="363"/>
      <c r="N242" s="363"/>
      <c r="O242" s="363"/>
      <c r="P242" s="364"/>
      <c r="Q242" s="363"/>
      <c r="R242" s="363"/>
      <c r="S242" s="363"/>
      <c r="T242" s="363"/>
      <c r="U242" s="363"/>
      <c r="V242" s="363"/>
      <c r="W242" s="363"/>
      <c r="X242" s="363"/>
      <c r="Y242" s="363"/>
      <c r="Z242" s="363"/>
    </row>
    <row r="243" spans="1:26" ht="15.75" customHeight="1" x14ac:dyDescent="0.35">
      <c r="A243" s="363"/>
      <c r="B243" s="364"/>
      <c r="E243" s="364"/>
      <c r="H243" s="364"/>
      <c r="K243" s="363"/>
      <c r="L243" s="364"/>
      <c r="M243" s="363"/>
      <c r="N243" s="363"/>
      <c r="O243" s="363"/>
      <c r="P243" s="364"/>
      <c r="Q243" s="363"/>
      <c r="R243" s="363"/>
      <c r="S243" s="363"/>
      <c r="T243" s="363"/>
      <c r="U243" s="363"/>
      <c r="V243" s="363"/>
      <c r="W243" s="363"/>
      <c r="X243" s="363"/>
      <c r="Y243" s="363"/>
      <c r="Z243" s="363"/>
    </row>
    <row r="244" spans="1:26" ht="15.75" customHeight="1" x14ac:dyDescent="0.35">
      <c r="A244" s="363"/>
      <c r="B244" s="364"/>
      <c r="E244" s="364"/>
      <c r="H244" s="364"/>
      <c r="K244" s="363"/>
      <c r="L244" s="364"/>
      <c r="M244" s="363"/>
      <c r="N244" s="363"/>
      <c r="O244" s="363"/>
      <c r="P244" s="364"/>
      <c r="Q244" s="363"/>
      <c r="R244" s="363"/>
      <c r="S244" s="363"/>
      <c r="T244" s="363"/>
      <c r="U244" s="363"/>
      <c r="V244" s="363"/>
      <c r="W244" s="363"/>
      <c r="X244" s="363"/>
      <c r="Y244" s="363"/>
      <c r="Z244" s="363"/>
    </row>
    <row r="245" spans="1:26" ht="15.75" customHeight="1" x14ac:dyDescent="0.35">
      <c r="A245" s="363"/>
      <c r="B245" s="364"/>
      <c r="E245" s="364"/>
      <c r="H245" s="364"/>
      <c r="K245" s="363"/>
      <c r="L245" s="364"/>
      <c r="M245" s="363"/>
      <c r="N245" s="363"/>
      <c r="O245" s="363"/>
      <c r="P245" s="364"/>
      <c r="Q245" s="363"/>
      <c r="R245" s="363"/>
      <c r="S245" s="363"/>
      <c r="T245" s="363"/>
      <c r="U245" s="363"/>
      <c r="V245" s="363"/>
      <c r="W245" s="363"/>
      <c r="X245" s="363"/>
      <c r="Y245" s="363"/>
      <c r="Z245" s="363"/>
    </row>
    <row r="246" spans="1:26" ht="15.75" customHeight="1" x14ac:dyDescent="0.35">
      <c r="A246" s="363"/>
      <c r="B246" s="364"/>
      <c r="E246" s="364"/>
      <c r="H246" s="364"/>
      <c r="K246" s="363"/>
      <c r="L246" s="364"/>
      <c r="M246" s="363"/>
      <c r="N246" s="363"/>
      <c r="O246" s="363"/>
      <c r="P246" s="364"/>
      <c r="Q246" s="363"/>
      <c r="R246" s="363"/>
      <c r="S246" s="363"/>
      <c r="T246" s="363"/>
      <c r="U246" s="363"/>
      <c r="V246" s="363"/>
      <c r="W246" s="363"/>
      <c r="X246" s="363"/>
      <c r="Y246" s="363"/>
      <c r="Z246" s="363"/>
    </row>
    <row r="247" spans="1:26" ht="15.75" customHeight="1" x14ac:dyDescent="0.35">
      <c r="A247" s="363"/>
      <c r="B247" s="364"/>
      <c r="E247" s="364"/>
      <c r="H247" s="364"/>
      <c r="K247" s="363"/>
      <c r="L247" s="364"/>
      <c r="M247" s="363"/>
      <c r="N247" s="363"/>
      <c r="O247" s="363"/>
      <c r="P247" s="364"/>
      <c r="Q247" s="363"/>
      <c r="R247" s="363"/>
      <c r="S247" s="363"/>
      <c r="T247" s="363"/>
      <c r="U247" s="363"/>
      <c r="V247" s="363"/>
      <c r="W247" s="363"/>
      <c r="X247" s="363"/>
      <c r="Y247" s="363"/>
      <c r="Z247" s="363"/>
    </row>
    <row r="248" spans="1:26" ht="15.75" customHeight="1" x14ac:dyDescent="0.35">
      <c r="A248" s="363"/>
      <c r="B248" s="364"/>
      <c r="E248" s="364"/>
      <c r="H248" s="364"/>
      <c r="K248" s="363"/>
      <c r="L248" s="364"/>
      <c r="M248" s="363"/>
      <c r="N248" s="363"/>
      <c r="O248" s="363"/>
      <c r="P248" s="364"/>
      <c r="Q248" s="363"/>
      <c r="R248" s="363"/>
      <c r="S248" s="363"/>
      <c r="T248" s="363"/>
      <c r="U248" s="363"/>
      <c r="V248" s="363"/>
      <c r="W248" s="363"/>
      <c r="X248" s="363"/>
      <c r="Y248" s="363"/>
      <c r="Z248" s="363"/>
    </row>
    <row r="249" spans="1:26" ht="15.75" customHeight="1" x14ac:dyDescent="0.35">
      <c r="A249" s="363"/>
      <c r="B249" s="364"/>
      <c r="E249" s="364"/>
      <c r="H249" s="364"/>
      <c r="K249" s="363"/>
      <c r="L249" s="364"/>
      <c r="M249" s="363"/>
      <c r="N249" s="363"/>
      <c r="O249" s="363"/>
      <c r="P249" s="364"/>
      <c r="Q249" s="363"/>
      <c r="R249" s="363"/>
      <c r="S249" s="363"/>
      <c r="T249" s="363"/>
      <c r="U249" s="363"/>
      <c r="V249" s="363"/>
      <c r="W249" s="363"/>
      <c r="X249" s="363"/>
      <c r="Y249" s="363"/>
      <c r="Z249" s="363"/>
    </row>
    <row r="250" spans="1:26" ht="15.75" customHeight="1" x14ac:dyDescent="0.35">
      <c r="A250" s="363"/>
      <c r="B250" s="364"/>
      <c r="E250" s="364"/>
      <c r="H250" s="364"/>
      <c r="K250" s="363"/>
      <c r="L250" s="364"/>
      <c r="M250" s="363"/>
      <c r="N250" s="363"/>
      <c r="O250" s="363"/>
      <c r="P250" s="364"/>
      <c r="Q250" s="363"/>
      <c r="R250" s="363"/>
      <c r="S250" s="363"/>
      <c r="T250" s="363"/>
      <c r="U250" s="363"/>
      <c r="V250" s="363"/>
      <c r="W250" s="363"/>
      <c r="X250" s="363"/>
      <c r="Y250" s="363"/>
      <c r="Z250" s="363"/>
    </row>
    <row r="251" spans="1:26" ht="15.75" customHeight="1" x14ac:dyDescent="0.35">
      <c r="A251" s="363"/>
      <c r="B251" s="364"/>
      <c r="E251" s="364"/>
      <c r="H251" s="364"/>
      <c r="K251" s="363"/>
      <c r="L251" s="364"/>
      <c r="M251" s="363"/>
      <c r="N251" s="363"/>
      <c r="O251" s="363"/>
      <c r="P251" s="364"/>
      <c r="Q251" s="363"/>
      <c r="R251" s="363"/>
      <c r="S251" s="363"/>
      <c r="T251" s="363"/>
      <c r="U251" s="363"/>
      <c r="V251" s="363"/>
      <c r="W251" s="363"/>
      <c r="X251" s="363"/>
      <c r="Y251" s="363"/>
      <c r="Z251" s="363"/>
    </row>
    <row r="252" spans="1:26" ht="15.75" customHeight="1" x14ac:dyDescent="0.35">
      <c r="A252" s="363"/>
      <c r="B252" s="364"/>
      <c r="E252" s="364"/>
      <c r="H252" s="364"/>
      <c r="K252" s="363"/>
      <c r="L252" s="364"/>
      <c r="M252" s="363"/>
      <c r="N252" s="363"/>
      <c r="O252" s="363"/>
      <c r="P252" s="364"/>
      <c r="Q252" s="363"/>
      <c r="R252" s="363"/>
      <c r="S252" s="363"/>
      <c r="T252" s="363"/>
      <c r="U252" s="363"/>
      <c r="V252" s="363"/>
      <c r="W252" s="363"/>
      <c r="X252" s="363"/>
      <c r="Y252" s="363"/>
      <c r="Z252" s="363"/>
    </row>
    <row r="253" spans="1:26" ht="15.75" customHeight="1" x14ac:dyDescent="0.35">
      <c r="A253" s="363"/>
      <c r="B253" s="364"/>
      <c r="E253" s="364"/>
      <c r="H253" s="364"/>
      <c r="K253" s="363"/>
      <c r="L253" s="364"/>
      <c r="M253" s="363"/>
      <c r="N253" s="363"/>
      <c r="O253" s="363"/>
      <c r="P253" s="364"/>
      <c r="Q253" s="363"/>
      <c r="R253" s="363"/>
      <c r="S253" s="363"/>
      <c r="T253" s="363"/>
      <c r="U253" s="363"/>
      <c r="V253" s="363"/>
      <c r="W253" s="363"/>
      <c r="X253" s="363"/>
      <c r="Y253" s="363"/>
      <c r="Z253" s="363"/>
    </row>
    <row r="254" spans="1:26" ht="15.75" customHeight="1" x14ac:dyDescent="0.35">
      <c r="A254" s="363"/>
      <c r="B254" s="364"/>
      <c r="E254" s="364"/>
      <c r="H254" s="364"/>
      <c r="K254" s="363"/>
      <c r="L254" s="364"/>
      <c r="M254" s="363"/>
      <c r="N254" s="363"/>
      <c r="O254" s="363"/>
      <c r="P254" s="364"/>
      <c r="Q254" s="363"/>
      <c r="R254" s="363"/>
      <c r="S254" s="363"/>
      <c r="T254" s="363"/>
      <c r="U254" s="363"/>
      <c r="V254" s="363"/>
      <c r="W254" s="363"/>
      <c r="X254" s="363"/>
      <c r="Y254" s="363"/>
      <c r="Z254" s="363"/>
    </row>
    <row r="255" spans="1:26" ht="15.75" customHeight="1" x14ac:dyDescent="0.35">
      <c r="A255" s="363"/>
      <c r="B255" s="364"/>
      <c r="E255" s="364"/>
      <c r="H255" s="364"/>
      <c r="K255" s="363"/>
      <c r="L255" s="364"/>
      <c r="M255" s="363"/>
      <c r="N255" s="363"/>
      <c r="O255" s="363"/>
      <c r="P255" s="364"/>
      <c r="Q255" s="363"/>
      <c r="R255" s="363"/>
      <c r="S255" s="363"/>
      <c r="T255" s="363"/>
      <c r="U255" s="363"/>
      <c r="V255" s="363"/>
      <c r="W255" s="363"/>
      <c r="X255" s="363"/>
      <c r="Y255" s="363"/>
      <c r="Z255" s="363"/>
    </row>
    <row r="256" spans="1:26" ht="15.75" customHeight="1" x14ac:dyDescent="0.35">
      <c r="A256" s="363"/>
      <c r="B256" s="364"/>
      <c r="E256" s="364"/>
      <c r="H256" s="364"/>
      <c r="K256" s="363"/>
      <c r="L256" s="364"/>
      <c r="M256" s="363"/>
      <c r="N256" s="363"/>
      <c r="O256" s="363"/>
      <c r="P256" s="364"/>
      <c r="Q256" s="363"/>
      <c r="R256" s="363"/>
      <c r="S256" s="363"/>
      <c r="T256" s="363"/>
      <c r="U256" s="363"/>
      <c r="V256" s="363"/>
      <c r="W256" s="363"/>
      <c r="X256" s="363"/>
      <c r="Y256" s="363"/>
      <c r="Z256" s="363"/>
    </row>
    <row r="257" spans="1:26" ht="15.75" customHeight="1" x14ac:dyDescent="0.35">
      <c r="A257" s="363"/>
      <c r="B257" s="364"/>
      <c r="E257" s="364"/>
      <c r="H257" s="364"/>
      <c r="K257" s="363"/>
      <c r="L257" s="364"/>
      <c r="M257" s="363"/>
      <c r="N257" s="363"/>
      <c r="O257" s="363"/>
      <c r="P257" s="364"/>
      <c r="Q257" s="363"/>
      <c r="R257" s="363"/>
      <c r="S257" s="363"/>
      <c r="T257" s="363"/>
      <c r="U257" s="363"/>
      <c r="V257" s="363"/>
      <c r="W257" s="363"/>
      <c r="X257" s="363"/>
      <c r="Y257" s="363"/>
      <c r="Z257" s="363"/>
    </row>
    <row r="258" spans="1:26" ht="15.75" customHeight="1" x14ac:dyDescent="0.35">
      <c r="A258" s="363"/>
      <c r="B258" s="364"/>
      <c r="E258" s="364"/>
      <c r="H258" s="364"/>
      <c r="K258" s="363"/>
      <c r="L258" s="364"/>
      <c r="M258" s="363"/>
      <c r="N258" s="363"/>
      <c r="O258" s="363"/>
      <c r="P258" s="364"/>
      <c r="Q258" s="363"/>
      <c r="R258" s="363"/>
      <c r="S258" s="363"/>
      <c r="T258" s="363"/>
      <c r="U258" s="363"/>
      <c r="V258" s="363"/>
      <c r="W258" s="363"/>
      <c r="X258" s="363"/>
      <c r="Y258" s="363"/>
      <c r="Z258" s="363"/>
    </row>
    <row r="259" spans="1:26" ht="15.75" customHeight="1" x14ac:dyDescent="0.35">
      <c r="A259" s="363"/>
      <c r="B259" s="364"/>
      <c r="E259" s="364"/>
      <c r="H259" s="364"/>
      <c r="K259" s="363"/>
      <c r="L259" s="364"/>
      <c r="M259" s="363"/>
      <c r="N259" s="363"/>
      <c r="O259" s="363"/>
      <c r="P259" s="364"/>
      <c r="Q259" s="363"/>
      <c r="R259" s="363"/>
      <c r="S259" s="363"/>
      <c r="T259" s="363"/>
      <c r="U259" s="363"/>
      <c r="V259" s="363"/>
      <c r="W259" s="363"/>
      <c r="X259" s="363"/>
      <c r="Y259" s="363"/>
      <c r="Z259" s="363"/>
    </row>
    <row r="260" spans="1:26" ht="15.75" customHeight="1" x14ac:dyDescent="0.35">
      <c r="A260" s="363"/>
      <c r="B260" s="364"/>
      <c r="E260" s="364"/>
      <c r="H260" s="364"/>
      <c r="K260" s="363"/>
      <c r="L260" s="364"/>
      <c r="M260" s="363"/>
      <c r="N260" s="363"/>
      <c r="O260" s="363"/>
      <c r="P260" s="364"/>
      <c r="Q260" s="363"/>
      <c r="R260" s="363"/>
      <c r="S260" s="363"/>
      <c r="T260" s="363"/>
      <c r="U260" s="363"/>
      <c r="V260" s="363"/>
      <c r="W260" s="363"/>
      <c r="X260" s="363"/>
      <c r="Y260" s="363"/>
      <c r="Z260" s="363"/>
    </row>
    <row r="261" spans="1:26" ht="15.75" customHeight="1" x14ac:dyDescent="0.35">
      <c r="A261" s="363"/>
      <c r="B261" s="364"/>
      <c r="E261" s="364"/>
      <c r="H261" s="364"/>
      <c r="K261" s="363"/>
      <c r="L261" s="364"/>
      <c r="M261" s="363"/>
      <c r="N261" s="363"/>
      <c r="O261" s="363"/>
      <c r="P261" s="364"/>
      <c r="Q261" s="363"/>
      <c r="R261" s="363"/>
      <c r="S261" s="363"/>
      <c r="T261" s="363"/>
      <c r="U261" s="363"/>
      <c r="V261" s="363"/>
      <c r="W261" s="363"/>
      <c r="X261" s="363"/>
      <c r="Y261" s="363"/>
      <c r="Z261" s="363"/>
    </row>
    <row r="262" spans="1:26" ht="15.75" customHeight="1" x14ac:dyDescent="0.35">
      <c r="A262" s="363"/>
      <c r="B262" s="364"/>
      <c r="E262" s="364"/>
      <c r="H262" s="364"/>
      <c r="K262" s="363"/>
      <c r="L262" s="364"/>
      <c r="M262" s="363"/>
      <c r="N262" s="363"/>
      <c r="O262" s="363"/>
      <c r="P262" s="364"/>
      <c r="Q262" s="363"/>
      <c r="R262" s="363"/>
      <c r="S262" s="363"/>
      <c r="T262" s="363"/>
      <c r="U262" s="363"/>
      <c r="V262" s="363"/>
      <c r="W262" s="363"/>
      <c r="X262" s="363"/>
      <c r="Y262" s="363"/>
      <c r="Z262" s="363"/>
    </row>
    <row r="263" spans="1:26" ht="15.75" customHeight="1" x14ac:dyDescent="0.35">
      <c r="A263" s="363"/>
      <c r="B263" s="364"/>
      <c r="E263" s="364"/>
      <c r="H263" s="364"/>
      <c r="K263" s="363"/>
      <c r="L263" s="364"/>
      <c r="M263" s="363"/>
      <c r="N263" s="363"/>
      <c r="O263" s="363"/>
      <c r="P263" s="364"/>
      <c r="Q263" s="363"/>
      <c r="R263" s="363"/>
      <c r="S263" s="363"/>
      <c r="T263" s="363"/>
      <c r="U263" s="363"/>
      <c r="V263" s="363"/>
      <c r="W263" s="363"/>
      <c r="X263" s="363"/>
      <c r="Y263" s="363"/>
      <c r="Z263" s="363"/>
    </row>
    <row r="264" spans="1:26" ht="15.75" customHeight="1" x14ac:dyDescent="0.35">
      <c r="A264" s="363"/>
      <c r="B264" s="364"/>
      <c r="E264" s="364"/>
      <c r="H264" s="364"/>
      <c r="K264" s="363"/>
      <c r="L264" s="364"/>
      <c r="M264" s="363"/>
      <c r="N264" s="363"/>
      <c r="O264" s="363"/>
      <c r="P264" s="364"/>
      <c r="Q264" s="363"/>
      <c r="R264" s="363"/>
      <c r="S264" s="363"/>
      <c r="T264" s="363"/>
      <c r="U264" s="363"/>
      <c r="V264" s="363"/>
      <c r="W264" s="363"/>
      <c r="X264" s="363"/>
      <c r="Y264" s="363"/>
      <c r="Z264" s="363"/>
    </row>
    <row r="265" spans="1:26" ht="15.75" customHeight="1" x14ac:dyDescent="0.35">
      <c r="A265" s="363"/>
      <c r="B265" s="364"/>
      <c r="E265" s="364"/>
      <c r="H265" s="364"/>
      <c r="K265" s="363"/>
      <c r="L265" s="364"/>
      <c r="M265" s="363"/>
      <c r="N265" s="363"/>
      <c r="O265" s="363"/>
      <c r="P265" s="364"/>
      <c r="Q265" s="363"/>
      <c r="R265" s="363"/>
      <c r="S265" s="363"/>
      <c r="T265" s="363"/>
      <c r="U265" s="363"/>
      <c r="V265" s="363"/>
      <c r="W265" s="363"/>
      <c r="X265" s="363"/>
      <c r="Y265" s="363"/>
      <c r="Z265" s="363"/>
    </row>
    <row r="266" spans="1:26" ht="15.75" customHeight="1" x14ac:dyDescent="0.35">
      <c r="A266" s="363"/>
      <c r="B266" s="364"/>
      <c r="E266" s="364"/>
      <c r="H266" s="364"/>
      <c r="K266" s="363"/>
      <c r="L266" s="364"/>
      <c r="M266" s="363"/>
      <c r="N266" s="363"/>
      <c r="O266" s="363"/>
      <c r="P266" s="364"/>
      <c r="Q266" s="363"/>
      <c r="R266" s="363"/>
      <c r="S266" s="363"/>
      <c r="T266" s="363"/>
      <c r="U266" s="363"/>
      <c r="V266" s="363"/>
      <c r="W266" s="363"/>
      <c r="X266" s="363"/>
      <c r="Y266" s="363"/>
      <c r="Z266" s="363"/>
    </row>
    <row r="267" spans="1:26" ht="15.75" customHeight="1" x14ac:dyDescent="0.35">
      <c r="A267" s="363"/>
      <c r="B267" s="364"/>
      <c r="E267" s="364"/>
      <c r="H267" s="364"/>
      <c r="K267" s="363"/>
      <c r="L267" s="364"/>
      <c r="M267" s="363"/>
      <c r="N267" s="363"/>
      <c r="O267" s="363"/>
      <c r="P267" s="364"/>
      <c r="Q267" s="363"/>
      <c r="R267" s="363"/>
      <c r="S267" s="363"/>
      <c r="T267" s="363"/>
      <c r="U267" s="363"/>
      <c r="V267" s="363"/>
      <c r="W267" s="363"/>
      <c r="X267" s="363"/>
      <c r="Y267" s="363"/>
      <c r="Z267" s="363"/>
    </row>
    <row r="268" spans="1:26" ht="15.75" customHeight="1" x14ac:dyDescent="0.35">
      <c r="A268" s="363"/>
      <c r="B268" s="364"/>
      <c r="E268" s="364"/>
      <c r="H268" s="364"/>
      <c r="K268" s="363"/>
      <c r="L268" s="364"/>
      <c r="M268" s="363"/>
      <c r="N268" s="363"/>
      <c r="O268" s="363"/>
      <c r="P268" s="364"/>
      <c r="Q268" s="363"/>
      <c r="R268" s="363"/>
      <c r="S268" s="363"/>
      <c r="T268" s="363"/>
      <c r="U268" s="363"/>
      <c r="V268" s="363"/>
      <c r="W268" s="363"/>
      <c r="X268" s="363"/>
      <c r="Y268" s="363"/>
      <c r="Z268" s="363"/>
    </row>
    <row r="269" spans="1:26" ht="15.75" customHeight="1" x14ac:dyDescent="0.35">
      <c r="A269" s="363"/>
      <c r="B269" s="364"/>
      <c r="E269" s="364"/>
      <c r="H269" s="364"/>
      <c r="K269" s="363"/>
      <c r="L269" s="364"/>
      <c r="M269" s="363"/>
      <c r="N269" s="363"/>
      <c r="O269" s="363"/>
      <c r="P269" s="364"/>
      <c r="Q269" s="363"/>
      <c r="R269" s="363"/>
      <c r="S269" s="363"/>
      <c r="T269" s="363"/>
      <c r="U269" s="363"/>
      <c r="V269" s="363"/>
      <c r="W269" s="363"/>
      <c r="X269" s="363"/>
      <c r="Y269" s="363"/>
      <c r="Z269" s="363"/>
    </row>
    <row r="270" spans="1:26" ht="15.75" customHeight="1" x14ac:dyDescent="0.35">
      <c r="A270" s="363"/>
      <c r="B270" s="364"/>
      <c r="E270" s="364"/>
      <c r="H270" s="364"/>
      <c r="K270" s="363"/>
      <c r="L270" s="364"/>
      <c r="M270" s="363"/>
      <c r="N270" s="363"/>
      <c r="O270" s="363"/>
      <c r="P270" s="364"/>
      <c r="Q270" s="363"/>
      <c r="R270" s="363"/>
      <c r="S270" s="363"/>
      <c r="T270" s="363"/>
      <c r="U270" s="363"/>
      <c r="V270" s="363"/>
      <c r="W270" s="363"/>
      <c r="X270" s="363"/>
      <c r="Y270" s="363"/>
      <c r="Z270" s="363"/>
    </row>
    <row r="271" spans="1:26" ht="15.75" customHeight="1" x14ac:dyDescent="0.35">
      <c r="A271" s="363"/>
      <c r="B271" s="364"/>
      <c r="E271" s="364"/>
      <c r="H271" s="364"/>
      <c r="K271" s="363"/>
      <c r="L271" s="364"/>
      <c r="M271" s="363"/>
      <c r="N271" s="363"/>
      <c r="O271" s="363"/>
      <c r="P271" s="364"/>
      <c r="Q271" s="363"/>
      <c r="R271" s="363"/>
      <c r="S271" s="363"/>
      <c r="T271" s="363"/>
      <c r="U271" s="363"/>
      <c r="V271" s="363"/>
      <c r="W271" s="363"/>
      <c r="X271" s="363"/>
      <c r="Y271" s="363"/>
      <c r="Z271" s="363"/>
    </row>
    <row r="272" spans="1:26" ht="15.75" customHeight="1" x14ac:dyDescent="0.35">
      <c r="A272" s="363"/>
      <c r="B272" s="364"/>
      <c r="E272" s="364"/>
      <c r="H272" s="364"/>
      <c r="K272" s="363"/>
      <c r="L272" s="364"/>
      <c r="M272" s="363"/>
      <c r="N272" s="363"/>
      <c r="O272" s="363"/>
      <c r="P272" s="364"/>
      <c r="Q272" s="363"/>
      <c r="R272" s="363"/>
      <c r="S272" s="363"/>
      <c r="T272" s="363"/>
      <c r="U272" s="363"/>
      <c r="V272" s="363"/>
      <c r="W272" s="363"/>
      <c r="X272" s="363"/>
      <c r="Y272" s="363"/>
      <c r="Z272" s="363"/>
    </row>
    <row r="273" spans="1:26" ht="15.75" customHeight="1" x14ac:dyDescent="0.35">
      <c r="A273" s="363"/>
      <c r="B273" s="364"/>
      <c r="E273" s="364"/>
      <c r="H273" s="364"/>
      <c r="K273" s="363"/>
      <c r="L273" s="364"/>
      <c r="M273" s="363"/>
      <c r="N273" s="363"/>
      <c r="O273" s="363"/>
      <c r="P273" s="364"/>
      <c r="Q273" s="363"/>
      <c r="R273" s="363"/>
      <c r="S273" s="363"/>
      <c r="T273" s="363"/>
      <c r="U273" s="363"/>
      <c r="V273" s="363"/>
      <c r="W273" s="363"/>
      <c r="X273" s="363"/>
      <c r="Y273" s="363"/>
      <c r="Z273" s="363"/>
    </row>
    <row r="274" spans="1:26" ht="15.75" customHeight="1" x14ac:dyDescent="0.35">
      <c r="A274" s="363"/>
      <c r="B274" s="364"/>
      <c r="E274" s="364"/>
      <c r="H274" s="364"/>
      <c r="K274" s="363"/>
      <c r="L274" s="364"/>
      <c r="M274" s="363"/>
      <c r="N274" s="363"/>
      <c r="O274" s="363"/>
      <c r="P274" s="364"/>
      <c r="Q274" s="363"/>
      <c r="R274" s="363"/>
      <c r="S274" s="363"/>
      <c r="T274" s="363"/>
      <c r="U274" s="363"/>
      <c r="V274" s="363"/>
      <c r="W274" s="363"/>
      <c r="X274" s="363"/>
      <c r="Y274" s="363"/>
      <c r="Z274" s="363"/>
    </row>
    <row r="275" spans="1:26" ht="15.75" customHeight="1" x14ac:dyDescent="0.35">
      <c r="A275" s="363"/>
      <c r="B275" s="364"/>
      <c r="E275" s="364"/>
      <c r="H275" s="364"/>
      <c r="K275" s="363"/>
      <c r="L275" s="364"/>
      <c r="M275" s="363"/>
      <c r="N275" s="363"/>
      <c r="O275" s="363"/>
      <c r="P275" s="364"/>
      <c r="Q275" s="363"/>
      <c r="R275" s="363"/>
      <c r="S275" s="363"/>
      <c r="T275" s="363"/>
      <c r="U275" s="363"/>
      <c r="V275" s="363"/>
      <c r="W275" s="363"/>
      <c r="X275" s="363"/>
      <c r="Y275" s="363"/>
      <c r="Z275" s="363"/>
    </row>
    <row r="276" spans="1:26" ht="15.75" customHeight="1" x14ac:dyDescent="0.35">
      <c r="A276" s="363"/>
      <c r="B276" s="364"/>
      <c r="E276" s="364"/>
      <c r="H276" s="364"/>
      <c r="K276" s="363"/>
      <c r="L276" s="364"/>
      <c r="M276" s="363"/>
      <c r="N276" s="363"/>
      <c r="O276" s="363"/>
      <c r="P276" s="364"/>
      <c r="Q276" s="363"/>
      <c r="R276" s="363"/>
      <c r="S276" s="363"/>
      <c r="T276" s="363"/>
      <c r="U276" s="363"/>
      <c r="V276" s="363"/>
      <c r="W276" s="363"/>
      <c r="X276" s="363"/>
      <c r="Y276" s="363"/>
      <c r="Z276" s="363"/>
    </row>
    <row r="277" spans="1:26" ht="15.75" customHeight="1" x14ac:dyDescent="0.35">
      <c r="A277" s="363"/>
      <c r="B277" s="364"/>
      <c r="E277" s="364"/>
      <c r="H277" s="364"/>
      <c r="K277" s="363"/>
      <c r="L277" s="364"/>
      <c r="M277" s="363"/>
      <c r="N277" s="363"/>
      <c r="O277" s="363"/>
      <c r="P277" s="364"/>
      <c r="Q277" s="363"/>
      <c r="R277" s="363"/>
      <c r="S277" s="363"/>
      <c r="T277" s="363"/>
      <c r="U277" s="363"/>
      <c r="V277" s="363"/>
      <c r="W277" s="363"/>
      <c r="X277" s="363"/>
      <c r="Y277" s="363"/>
      <c r="Z277" s="363"/>
    </row>
    <row r="278" spans="1:26" ht="15.75" customHeight="1" x14ac:dyDescent="0.35">
      <c r="A278" s="363"/>
      <c r="B278" s="364"/>
      <c r="E278" s="364"/>
      <c r="H278" s="364"/>
      <c r="K278" s="363"/>
      <c r="L278" s="364"/>
      <c r="M278" s="363"/>
      <c r="N278" s="363"/>
      <c r="O278" s="363"/>
      <c r="P278" s="364"/>
      <c r="Q278" s="363"/>
      <c r="R278" s="363"/>
      <c r="S278" s="363"/>
      <c r="T278" s="363"/>
      <c r="U278" s="363"/>
      <c r="V278" s="363"/>
      <c r="W278" s="363"/>
      <c r="X278" s="363"/>
      <c r="Y278" s="363"/>
      <c r="Z278" s="363"/>
    </row>
    <row r="279" spans="1:26" ht="15.75" customHeight="1" x14ac:dyDescent="0.35">
      <c r="A279" s="363"/>
      <c r="B279" s="364"/>
      <c r="E279" s="364"/>
      <c r="H279" s="364"/>
      <c r="K279" s="363"/>
      <c r="L279" s="364"/>
      <c r="M279" s="363"/>
      <c r="N279" s="363"/>
      <c r="O279" s="363"/>
      <c r="P279" s="364"/>
      <c r="Q279" s="363"/>
      <c r="R279" s="363"/>
      <c r="S279" s="363"/>
      <c r="T279" s="363"/>
      <c r="U279" s="363"/>
      <c r="V279" s="363"/>
      <c r="W279" s="363"/>
      <c r="X279" s="363"/>
      <c r="Y279" s="363"/>
      <c r="Z279" s="363"/>
    </row>
    <row r="280" spans="1:26" ht="15.75" customHeight="1" x14ac:dyDescent="0.35">
      <c r="A280" s="363"/>
      <c r="B280" s="364"/>
      <c r="E280" s="364"/>
      <c r="H280" s="364"/>
      <c r="K280" s="363"/>
      <c r="L280" s="364"/>
      <c r="M280" s="363"/>
      <c r="N280" s="363"/>
      <c r="O280" s="363"/>
      <c r="P280" s="364"/>
      <c r="Q280" s="363"/>
      <c r="R280" s="363"/>
      <c r="S280" s="363"/>
      <c r="T280" s="363"/>
      <c r="U280" s="363"/>
      <c r="V280" s="363"/>
      <c r="W280" s="363"/>
      <c r="X280" s="363"/>
      <c r="Y280" s="363"/>
      <c r="Z280" s="363"/>
    </row>
    <row r="281" spans="1:26" ht="15.75" customHeight="1" x14ac:dyDescent="0.35">
      <c r="A281" s="363"/>
      <c r="B281" s="364"/>
      <c r="E281" s="364"/>
      <c r="H281" s="364"/>
      <c r="K281" s="363"/>
      <c r="L281" s="364"/>
      <c r="M281" s="363"/>
      <c r="N281" s="363"/>
      <c r="O281" s="363"/>
      <c r="P281" s="364"/>
      <c r="Q281" s="363"/>
      <c r="R281" s="363"/>
      <c r="S281" s="363"/>
      <c r="T281" s="363"/>
      <c r="U281" s="363"/>
      <c r="V281" s="363"/>
      <c r="W281" s="363"/>
      <c r="X281" s="363"/>
      <c r="Y281" s="363"/>
      <c r="Z281" s="363"/>
    </row>
    <row r="282" spans="1:26" ht="15.75" customHeight="1" x14ac:dyDescent="0.35">
      <c r="A282" s="363"/>
      <c r="B282" s="364"/>
      <c r="E282" s="364"/>
      <c r="H282" s="364"/>
      <c r="K282" s="363"/>
      <c r="L282" s="364"/>
      <c r="M282" s="363"/>
      <c r="N282" s="363"/>
      <c r="O282" s="363"/>
      <c r="P282" s="364"/>
      <c r="Q282" s="363"/>
      <c r="R282" s="363"/>
      <c r="S282" s="363"/>
      <c r="T282" s="363"/>
      <c r="U282" s="363"/>
      <c r="V282" s="363"/>
      <c r="W282" s="363"/>
      <c r="X282" s="363"/>
      <c r="Y282" s="363"/>
      <c r="Z282" s="363"/>
    </row>
    <row r="283" spans="1:26" ht="15.75" customHeight="1" x14ac:dyDescent="0.35">
      <c r="A283" s="363"/>
      <c r="B283" s="364"/>
      <c r="E283" s="364"/>
      <c r="H283" s="364"/>
      <c r="K283" s="363"/>
      <c r="L283" s="364"/>
      <c r="M283" s="363"/>
      <c r="N283" s="363"/>
      <c r="O283" s="363"/>
      <c r="P283" s="364"/>
      <c r="Q283" s="363"/>
      <c r="R283" s="363"/>
      <c r="S283" s="363"/>
      <c r="T283" s="363"/>
      <c r="U283" s="363"/>
      <c r="V283" s="363"/>
      <c r="W283" s="363"/>
      <c r="X283" s="363"/>
      <c r="Y283" s="363"/>
      <c r="Z283" s="363"/>
    </row>
    <row r="284" spans="1:26" ht="15.75" customHeight="1" x14ac:dyDescent="0.35">
      <c r="A284" s="363"/>
      <c r="B284" s="364"/>
      <c r="E284" s="364"/>
      <c r="H284" s="364"/>
      <c r="K284" s="363"/>
      <c r="L284" s="364"/>
      <c r="M284" s="363"/>
      <c r="N284" s="363"/>
      <c r="O284" s="363"/>
      <c r="P284" s="364"/>
      <c r="Q284" s="363"/>
      <c r="R284" s="363"/>
      <c r="S284" s="363"/>
      <c r="T284" s="363"/>
      <c r="U284" s="363"/>
      <c r="V284" s="363"/>
      <c r="W284" s="363"/>
      <c r="X284" s="363"/>
      <c r="Y284" s="363"/>
      <c r="Z284" s="363"/>
    </row>
    <row r="285" spans="1:26" ht="15.75" customHeight="1" x14ac:dyDescent="0.35">
      <c r="A285" s="363"/>
      <c r="B285" s="364"/>
      <c r="E285" s="364"/>
      <c r="H285" s="364"/>
      <c r="K285" s="363"/>
      <c r="L285" s="364"/>
      <c r="M285" s="363"/>
      <c r="N285" s="363"/>
      <c r="O285" s="363"/>
      <c r="P285" s="364"/>
      <c r="Q285" s="363"/>
      <c r="R285" s="363"/>
      <c r="S285" s="363"/>
      <c r="T285" s="363"/>
      <c r="U285" s="363"/>
      <c r="V285" s="363"/>
      <c r="W285" s="363"/>
      <c r="X285" s="363"/>
      <c r="Y285" s="363"/>
      <c r="Z285" s="363"/>
    </row>
    <row r="286" spans="1:26" ht="15.75" customHeight="1" x14ac:dyDescent="0.35">
      <c r="A286" s="363"/>
      <c r="B286" s="364"/>
      <c r="E286" s="364"/>
      <c r="H286" s="364"/>
      <c r="K286" s="363"/>
      <c r="L286" s="364"/>
      <c r="M286" s="363"/>
      <c r="N286" s="363"/>
      <c r="O286" s="363"/>
      <c r="P286" s="364"/>
      <c r="Q286" s="363"/>
      <c r="R286" s="363"/>
      <c r="S286" s="363"/>
      <c r="T286" s="363"/>
      <c r="U286" s="363"/>
      <c r="V286" s="363"/>
      <c r="W286" s="363"/>
      <c r="X286" s="363"/>
      <c r="Y286" s="363"/>
      <c r="Z286" s="363"/>
    </row>
    <row r="287" spans="1:26" ht="15.75" customHeight="1" x14ac:dyDescent="0.35">
      <c r="A287" s="363"/>
      <c r="B287" s="364"/>
      <c r="E287" s="364"/>
      <c r="H287" s="364"/>
      <c r="K287" s="363"/>
      <c r="L287" s="364"/>
      <c r="M287" s="363"/>
      <c r="N287" s="363"/>
      <c r="O287" s="363"/>
      <c r="P287" s="364"/>
      <c r="Q287" s="363"/>
      <c r="R287" s="363"/>
      <c r="S287" s="363"/>
      <c r="T287" s="363"/>
      <c r="U287" s="363"/>
      <c r="V287" s="363"/>
      <c r="W287" s="363"/>
      <c r="X287" s="363"/>
      <c r="Y287" s="363"/>
      <c r="Z287" s="363"/>
    </row>
    <row r="288" spans="1:26" ht="15.75" customHeight="1" x14ac:dyDescent="0.35">
      <c r="A288" s="363"/>
      <c r="B288" s="364"/>
      <c r="E288" s="364"/>
      <c r="H288" s="364"/>
      <c r="K288" s="363"/>
      <c r="L288" s="364"/>
      <c r="M288" s="363"/>
      <c r="N288" s="363"/>
      <c r="O288" s="363"/>
      <c r="P288" s="364"/>
      <c r="Q288" s="363"/>
      <c r="R288" s="363"/>
      <c r="S288" s="363"/>
      <c r="T288" s="363"/>
      <c r="U288" s="363"/>
      <c r="V288" s="363"/>
      <c r="W288" s="363"/>
      <c r="X288" s="363"/>
      <c r="Y288" s="363"/>
      <c r="Z288" s="363"/>
    </row>
    <row r="289" spans="1:26" ht="15.75" customHeight="1" x14ac:dyDescent="0.35">
      <c r="A289" s="363"/>
      <c r="B289" s="364"/>
      <c r="E289" s="364"/>
      <c r="H289" s="364"/>
      <c r="K289" s="363"/>
      <c r="L289" s="364"/>
      <c r="M289" s="363"/>
      <c r="N289" s="363"/>
      <c r="O289" s="363"/>
      <c r="P289" s="364"/>
      <c r="Q289" s="363"/>
      <c r="R289" s="363"/>
      <c r="S289" s="363"/>
      <c r="T289" s="363"/>
      <c r="U289" s="363"/>
      <c r="V289" s="363"/>
      <c r="W289" s="363"/>
      <c r="X289" s="363"/>
      <c r="Y289" s="363"/>
      <c r="Z289" s="363"/>
    </row>
    <row r="290" spans="1:26" ht="15.75" customHeight="1" x14ac:dyDescent="0.35">
      <c r="A290" s="363"/>
      <c r="B290" s="364"/>
      <c r="E290" s="364"/>
      <c r="H290" s="364"/>
      <c r="K290" s="363"/>
      <c r="L290" s="364"/>
      <c r="M290" s="363"/>
      <c r="N290" s="363"/>
      <c r="O290" s="363"/>
      <c r="P290" s="364"/>
      <c r="Q290" s="363"/>
      <c r="R290" s="363"/>
      <c r="S290" s="363"/>
      <c r="T290" s="363"/>
      <c r="U290" s="363"/>
      <c r="V290" s="363"/>
      <c r="W290" s="363"/>
      <c r="X290" s="363"/>
      <c r="Y290" s="363"/>
      <c r="Z290" s="363"/>
    </row>
    <row r="291" spans="1:26" ht="15.75" customHeight="1" x14ac:dyDescent="0.35">
      <c r="A291" s="363"/>
      <c r="B291" s="364"/>
      <c r="E291" s="364"/>
      <c r="H291" s="364"/>
      <c r="K291" s="363"/>
      <c r="L291" s="364"/>
      <c r="M291" s="363"/>
      <c r="N291" s="363"/>
      <c r="O291" s="363"/>
      <c r="P291" s="364"/>
      <c r="Q291" s="363"/>
      <c r="R291" s="363"/>
      <c r="S291" s="363"/>
      <c r="T291" s="363"/>
      <c r="U291" s="363"/>
      <c r="V291" s="363"/>
      <c r="W291" s="363"/>
      <c r="X291" s="363"/>
      <c r="Y291" s="363"/>
      <c r="Z291" s="363"/>
    </row>
    <row r="292" spans="1:26" ht="15.75" customHeight="1" x14ac:dyDescent="0.35">
      <c r="A292" s="363"/>
      <c r="B292" s="364"/>
      <c r="E292" s="364"/>
      <c r="H292" s="364"/>
      <c r="K292" s="363"/>
      <c r="L292" s="364"/>
      <c r="M292" s="363"/>
      <c r="N292" s="363"/>
      <c r="O292" s="363"/>
      <c r="P292" s="364"/>
      <c r="Q292" s="363"/>
      <c r="R292" s="363"/>
      <c r="S292" s="363"/>
      <c r="T292" s="363"/>
      <c r="U292" s="363"/>
      <c r="V292" s="363"/>
      <c r="W292" s="363"/>
      <c r="X292" s="363"/>
      <c r="Y292" s="363"/>
      <c r="Z292" s="363"/>
    </row>
    <row r="293" spans="1:26" ht="15.75" customHeight="1" x14ac:dyDescent="0.35">
      <c r="A293" s="363"/>
      <c r="B293" s="364"/>
      <c r="E293" s="364"/>
      <c r="H293" s="364"/>
      <c r="K293" s="363"/>
      <c r="L293" s="364"/>
      <c r="M293" s="363"/>
      <c r="N293" s="363"/>
      <c r="O293" s="363"/>
      <c r="P293" s="364"/>
      <c r="Q293" s="363"/>
      <c r="R293" s="363"/>
      <c r="S293" s="363"/>
      <c r="T293" s="363"/>
      <c r="U293" s="363"/>
      <c r="V293" s="363"/>
      <c r="W293" s="363"/>
      <c r="X293" s="363"/>
      <c r="Y293" s="363"/>
      <c r="Z293" s="363"/>
    </row>
    <row r="294" spans="1:26" ht="15.75" customHeight="1" x14ac:dyDescent="0.35">
      <c r="A294" s="363"/>
      <c r="B294" s="364"/>
      <c r="E294" s="364"/>
      <c r="H294" s="364"/>
      <c r="K294" s="363"/>
      <c r="L294" s="364"/>
      <c r="M294" s="363"/>
      <c r="N294" s="363"/>
      <c r="O294" s="363"/>
      <c r="P294" s="364"/>
      <c r="Q294" s="363"/>
      <c r="R294" s="363"/>
      <c r="S294" s="363"/>
      <c r="T294" s="363"/>
      <c r="U294" s="363"/>
      <c r="V294" s="363"/>
      <c r="W294" s="363"/>
      <c r="X294" s="363"/>
      <c r="Y294" s="363"/>
      <c r="Z294" s="363"/>
    </row>
    <row r="295" spans="1:26" ht="15.75" customHeight="1" x14ac:dyDescent="0.35">
      <c r="A295" s="363"/>
      <c r="B295" s="364"/>
      <c r="E295" s="364"/>
      <c r="H295" s="364"/>
      <c r="K295" s="363"/>
      <c r="L295" s="364"/>
      <c r="M295" s="363"/>
      <c r="N295" s="363"/>
      <c r="O295" s="363"/>
      <c r="P295" s="364"/>
      <c r="Q295" s="363"/>
      <c r="R295" s="363"/>
      <c r="S295" s="363"/>
      <c r="T295" s="363"/>
      <c r="U295" s="363"/>
      <c r="V295" s="363"/>
      <c r="W295" s="363"/>
      <c r="X295" s="363"/>
      <c r="Y295" s="363"/>
      <c r="Z295" s="363"/>
    </row>
    <row r="296" spans="1:26" ht="15.75" customHeight="1" x14ac:dyDescent="0.35">
      <c r="A296" s="363"/>
      <c r="B296" s="364"/>
      <c r="E296" s="364"/>
      <c r="H296" s="364"/>
      <c r="K296" s="363"/>
      <c r="L296" s="364"/>
      <c r="M296" s="363"/>
      <c r="N296" s="363"/>
      <c r="O296" s="363"/>
      <c r="P296" s="364"/>
      <c r="Q296" s="363"/>
      <c r="R296" s="363"/>
      <c r="S296" s="363"/>
      <c r="T296" s="363"/>
      <c r="U296" s="363"/>
      <c r="V296" s="363"/>
      <c r="W296" s="363"/>
      <c r="X296" s="363"/>
      <c r="Y296" s="363"/>
      <c r="Z296" s="363"/>
    </row>
    <row r="297" spans="1:26" ht="15.75" customHeight="1" x14ac:dyDescent="0.35">
      <c r="A297" s="363"/>
      <c r="B297" s="364"/>
      <c r="E297" s="364"/>
      <c r="H297" s="364"/>
      <c r="K297" s="363"/>
      <c r="L297" s="364"/>
      <c r="M297" s="363"/>
      <c r="N297" s="363"/>
      <c r="O297" s="363"/>
      <c r="P297" s="364"/>
      <c r="Q297" s="363"/>
      <c r="R297" s="363"/>
      <c r="S297" s="363"/>
      <c r="T297" s="363"/>
      <c r="U297" s="363"/>
      <c r="V297" s="363"/>
      <c r="W297" s="363"/>
      <c r="X297" s="363"/>
      <c r="Y297" s="363"/>
      <c r="Z297" s="363"/>
    </row>
    <row r="298" spans="1:26" ht="15.75" customHeight="1" x14ac:dyDescent="0.35">
      <c r="A298" s="363"/>
      <c r="B298" s="364"/>
      <c r="E298" s="364"/>
      <c r="H298" s="364"/>
      <c r="K298" s="363"/>
      <c r="L298" s="364"/>
      <c r="M298" s="363"/>
      <c r="N298" s="363"/>
      <c r="O298" s="363"/>
      <c r="P298" s="364"/>
      <c r="Q298" s="363"/>
      <c r="R298" s="363"/>
      <c r="S298" s="363"/>
      <c r="T298" s="363"/>
      <c r="U298" s="363"/>
      <c r="V298" s="363"/>
      <c r="W298" s="363"/>
      <c r="X298" s="363"/>
      <c r="Y298" s="363"/>
      <c r="Z298" s="363"/>
    </row>
    <row r="299" spans="1:26" ht="15.75" customHeight="1" x14ac:dyDescent="0.35">
      <c r="A299" s="363"/>
      <c r="B299" s="364"/>
      <c r="E299" s="364"/>
      <c r="H299" s="364"/>
      <c r="K299" s="363"/>
      <c r="L299" s="364"/>
      <c r="M299" s="363"/>
      <c r="N299" s="363"/>
      <c r="O299" s="363"/>
      <c r="P299" s="364"/>
      <c r="Q299" s="363"/>
      <c r="R299" s="363"/>
      <c r="S299" s="363"/>
      <c r="T299" s="363"/>
      <c r="U299" s="363"/>
      <c r="V299" s="363"/>
      <c r="W299" s="363"/>
      <c r="X299" s="363"/>
      <c r="Y299" s="363"/>
      <c r="Z299" s="363"/>
    </row>
    <row r="300" spans="1:26" ht="15.75" customHeight="1" x14ac:dyDescent="0.35">
      <c r="A300" s="363"/>
      <c r="B300" s="364"/>
      <c r="E300" s="364"/>
      <c r="H300" s="364"/>
      <c r="K300" s="363"/>
      <c r="L300" s="364"/>
      <c r="M300" s="363"/>
      <c r="N300" s="363"/>
      <c r="O300" s="363"/>
      <c r="P300" s="364"/>
      <c r="Q300" s="363"/>
      <c r="R300" s="363"/>
      <c r="S300" s="363"/>
      <c r="T300" s="363"/>
      <c r="U300" s="363"/>
      <c r="V300" s="363"/>
      <c r="W300" s="363"/>
      <c r="X300" s="363"/>
      <c r="Y300" s="363"/>
      <c r="Z300" s="363"/>
    </row>
    <row r="301" spans="1:26" ht="15.75" customHeight="1" x14ac:dyDescent="0.35">
      <c r="A301" s="363"/>
      <c r="B301" s="364"/>
      <c r="E301" s="364"/>
      <c r="H301" s="364"/>
      <c r="K301" s="363"/>
      <c r="L301" s="364"/>
      <c r="M301" s="363"/>
      <c r="N301" s="363"/>
      <c r="O301" s="363"/>
      <c r="P301" s="364"/>
      <c r="Q301" s="363"/>
      <c r="R301" s="363"/>
      <c r="S301" s="363"/>
      <c r="T301" s="363"/>
      <c r="U301" s="363"/>
      <c r="V301" s="363"/>
      <c r="W301" s="363"/>
      <c r="X301" s="363"/>
      <c r="Y301" s="363"/>
      <c r="Z301" s="363"/>
    </row>
    <row r="302" spans="1:26" ht="15.75" customHeight="1" x14ac:dyDescent="0.35">
      <c r="A302" s="363"/>
      <c r="B302" s="364"/>
      <c r="E302" s="364"/>
      <c r="H302" s="364"/>
      <c r="K302" s="363"/>
      <c r="L302" s="364"/>
      <c r="M302" s="363"/>
      <c r="N302" s="363"/>
      <c r="O302" s="363"/>
      <c r="P302" s="364"/>
      <c r="Q302" s="363"/>
      <c r="R302" s="363"/>
      <c r="S302" s="363"/>
      <c r="T302" s="363"/>
      <c r="U302" s="363"/>
      <c r="V302" s="363"/>
      <c r="W302" s="363"/>
      <c r="X302" s="363"/>
      <c r="Y302" s="363"/>
      <c r="Z302" s="363"/>
    </row>
    <row r="303" spans="1:26" ht="15.75" customHeight="1" x14ac:dyDescent="0.35">
      <c r="A303" s="363"/>
      <c r="B303" s="364"/>
      <c r="E303" s="364"/>
      <c r="H303" s="364"/>
      <c r="K303" s="363"/>
      <c r="L303" s="364"/>
      <c r="M303" s="363"/>
      <c r="N303" s="363"/>
      <c r="O303" s="363"/>
      <c r="P303" s="364"/>
      <c r="Q303" s="363"/>
      <c r="R303" s="363"/>
      <c r="S303" s="363"/>
      <c r="T303" s="363"/>
      <c r="U303" s="363"/>
      <c r="V303" s="363"/>
      <c r="W303" s="363"/>
      <c r="X303" s="363"/>
      <c r="Y303" s="363"/>
      <c r="Z303" s="363"/>
    </row>
    <row r="304" spans="1:26" ht="15.75" customHeight="1" x14ac:dyDescent="0.35">
      <c r="A304" s="363"/>
      <c r="B304" s="364"/>
      <c r="E304" s="364"/>
      <c r="H304" s="364"/>
      <c r="K304" s="363"/>
      <c r="L304" s="364"/>
      <c r="M304" s="363"/>
      <c r="N304" s="363"/>
      <c r="O304" s="363"/>
      <c r="P304" s="364"/>
      <c r="Q304" s="363"/>
      <c r="R304" s="363"/>
      <c r="S304" s="363"/>
      <c r="T304" s="363"/>
      <c r="U304" s="363"/>
      <c r="V304" s="363"/>
      <c r="W304" s="363"/>
      <c r="X304" s="363"/>
      <c r="Y304" s="363"/>
      <c r="Z304" s="363"/>
    </row>
    <row r="305" spans="1:26" ht="15.75" customHeight="1" x14ac:dyDescent="0.35">
      <c r="A305" s="363"/>
      <c r="B305" s="364"/>
      <c r="E305" s="364"/>
      <c r="H305" s="364"/>
      <c r="K305" s="363"/>
      <c r="L305" s="364"/>
      <c r="M305" s="363"/>
      <c r="N305" s="363"/>
      <c r="O305" s="363"/>
      <c r="P305" s="364"/>
      <c r="Q305" s="363"/>
      <c r="R305" s="363"/>
      <c r="S305" s="363"/>
      <c r="T305" s="363"/>
      <c r="U305" s="363"/>
      <c r="V305" s="363"/>
      <c r="W305" s="363"/>
      <c r="X305" s="363"/>
      <c r="Y305" s="363"/>
      <c r="Z305" s="363"/>
    </row>
    <row r="306" spans="1:26" ht="15.75" customHeight="1" x14ac:dyDescent="0.35">
      <c r="A306" s="363"/>
      <c r="B306" s="364"/>
      <c r="E306" s="364"/>
      <c r="H306" s="364"/>
      <c r="K306" s="363"/>
      <c r="L306" s="364"/>
      <c r="M306" s="363"/>
      <c r="N306" s="363"/>
      <c r="O306" s="363"/>
      <c r="P306" s="364"/>
      <c r="Q306" s="363"/>
      <c r="R306" s="363"/>
      <c r="S306" s="363"/>
      <c r="T306" s="363"/>
      <c r="U306" s="363"/>
      <c r="V306" s="363"/>
      <c r="W306" s="363"/>
      <c r="X306" s="363"/>
      <c r="Y306" s="363"/>
      <c r="Z306" s="363"/>
    </row>
    <row r="307" spans="1:26" ht="15.75" customHeight="1" x14ac:dyDescent="0.35">
      <c r="A307" s="363"/>
      <c r="B307" s="364"/>
      <c r="E307" s="364"/>
      <c r="H307" s="364"/>
      <c r="K307" s="363"/>
      <c r="L307" s="364"/>
      <c r="M307" s="363"/>
      <c r="N307" s="363"/>
      <c r="O307" s="363"/>
      <c r="P307" s="364"/>
      <c r="Q307" s="363"/>
      <c r="R307" s="363"/>
      <c r="S307" s="363"/>
      <c r="T307" s="363"/>
      <c r="U307" s="363"/>
      <c r="V307" s="363"/>
      <c r="W307" s="363"/>
      <c r="X307" s="363"/>
      <c r="Y307" s="363"/>
      <c r="Z307" s="363"/>
    </row>
    <row r="308" spans="1:26" ht="15.75" customHeight="1" x14ac:dyDescent="0.35">
      <c r="A308" s="363"/>
      <c r="B308" s="364"/>
      <c r="E308" s="364"/>
      <c r="H308" s="364"/>
      <c r="K308" s="363"/>
      <c r="L308" s="364"/>
      <c r="M308" s="363"/>
      <c r="N308" s="363"/>
      <c r="O308" s="363"/>
      <c r="P308" s="364"/>
      <c r="Q308" s="363"/>
      <c r="R308" s="363"/>
      <c r="S308" s="363"/>
      <c r="T308" s="363"/>
      <c r="U308" s="363"/>
      <c r="V308" s="363"/>
      <c r="W308" s="363"/>
      <c r="X308" s="363"/>
      <c r="Y308" s="363"/>
      <c r="Z308" s="363"/>
    </row>
    <row r="309" spans="1:26" ht="15.75" customHeight="1" x14ac:dyDescent="0.35">
      <c r="A309" s="363"/>
      <c r="B309" s="364"/>
      <c r="E309" s="364"/>
      <c r="H309" s="364"/>
      <c r="K309" s="363"/>
      <c r="L309" s="364"/>
      <c r="M309" s="363"/>
      <c r="N309" s="363"/>
      <c r="O309" s="363"/>
      <c r="P309" s="364"/>
      <c r="Q309" s="363"/>
      <c r="R309" s="363"/>
      <c r="S309" s="363"/>
      <c r="T309" s="363"/>
      <c r="U309" s="363"/>
      <c r="V309" s="363"/>
      <c r="W309" s="363"/>
      <c r="X309" s="363"/>
      <c r="Y309" s="363"/>
      <c r="Z309" s="363"/>
    </row>
    <row r="310" spans="1:26" ht="15.75" customHeight="1" x14ac:dyDescent="0.35">
      <c r="A310" s="363"/>
      <c r="B310" s="364"/>
      <c r="E310" s="364"/>
      <c r="H310" s="364"/>
      <c r="K310" s="363"/>
      <c r="L310" s="364"/>
      <c r="M310" s="363"/>
      <c r="N310" s="363"/>
      <c r="O310" s="363"/>
      <c r="P310" s="364"/>
      <c r="Q310" s="363"/>
      <c r="R310" s="363"/>
      <c r="S310" s="363"/>
      <c r="T310" s="363"/>
      <c r="U310" s="363"/>
      <c r="V310" s="363"/>
      <c r="W310" s="363"/>
      <c r="X310" s="363"/>
      <c r="Y310" s="363"/>
      <c r="Z310" s="363"/>
    </row>
    <row r="311" spans="1:26" ht="15.75" customHeight="1" x14ac:dyDescent="0.35">
      <c r="A311" s="363"/>
      <c r="B311" s="364"/>
      <c r="E311" s="364"/>
      <c r="H311" s="364"/>
      <c r="K311" s="363"/>
      <c r="L311" s="364"/>
      <c r="M311" s="363"/>
      <c r="N311" s="363"/>
      <c r="O311" s="363"/>
      <c r="P311" s="364"/>
      <c r="Q311" s="363"/>
      <c r="R311" s="363"/>
      <c r="S311" s="363"/>
      <c r="T311" s="363"/>
      <c r="U311" s="363"/>
      <c r="V311" s="363"/>
      <c r="W311" s="363"/>
      <c r="X311" s="363"/>
      <c r="Y311" s="363"/>
      <c r="Z311" s="363"/>
    </row>
    <row r="312" spans="1:26" ht="15.75" customHeight="1" x14ac:dyDescent="0.35">
      <c r="A312" s="363"/>
      <c r="B312" s="364"/>
      <c r="E312" s="364"/>
      <c r="H312" s="364"/>
      <c r="K312" s="363"/>
      <c r="L312" s="364"/>
      <c r="M312" s="363"/>
      <c r="N312" s="363"/>
      <c r="O312" s="363"/>
      <c r="P312" s="364"/>
      <c r="Q312" s="363"/>
      <c r="R312" s="363"/>
      <c r="S312" s="363"/>
      <c r="T312" s="363"/>
      <c r="U312" s="363"/>
      <c r="V312" s="363"/>
      <c r="W312" s="363"/>
      <c r="X312" s="363"/>
      <c r="Y312" s="363"/>
      <c r="Z312" s="363"/>
    </row>
    <row r="313" spans="1:26" ht="15.75" customHeight="1" x14ac:dyDescent="0.35">
      <c r="A313" s="363"/>
      <c r="B313" s="364"/>
      <c r="E313" s="364"/>
      <c r="H313" s="364"/>
      <c r="K313" s="363"/>
      <c r="L313" s="364"/>
      <c r="M313" s="363"/>
      <c r="N313" s="363"/>
      <c r="O313" s="363"/>
      <c r="P313" s="364"/>
      <c r="Q313" s="363"/>
      <c r="R313" s="363"/>
      <c r="S313" s="363"/>
      <c r="T313" s="363"/>
      <c r="U313" s="363"/>
      <c r="V313" s="363"/>
      <c r="W313" s="363"/>
      <c r="X313" s="363"/>
      <c r="Y313" s="363"/>
      <c r="Z313" s="363"/>
    </row>
    <row r="314" spans="1:26" ht="15.75" customHeight="1" x14ac:dyDescent="0.35">
      <c r="A314" s="363"/>
      <c r="B314" s="364"/>
      <c r="E314" s="364"/>
      <c r="H314" s="364"/>
      <c r="K314" s="363"/>
      <c r="L314" s="364"/>
      <c r="M314" s="363"/>
      <c r="N314" s="363"/>
      <c r="O314" s="363"/>
      <c r="P314" s="364"/>
      <c r="Q314" s="363"/>
      <c r="R314" s="363"/>
      <c r="S314" s="363"/>
      <c r="T314" s="363"/>
      <c r="U314" s="363"/>
      <c r="V314" s="363"/>
      <c r="W314" s="363"/>
      <c r="X314" s="363"/>
      <c r="Y314" s="363"/>
      <c r="Z314" s="363"/>
    </row>
    <row r="315" spans="1:26" ht="15.75" customHeight="1" x14ac:dyDescent="0.35">
      <c r="A315" s="363"/>
      <c r="B315" s="364"/>
      <c r="E315" s="364"/>
      <c r="H315" s="364"/>
      <c r="K315" s="363"/>
      <c r="L315" s="364"/>
      <c r="M315" s="363"/>
      <c r="N315" s="363"/>
      <c r="O315" s="363"/>
      <c r="P315" s="364"/>
      <c r="Q315" s="363"/>
      <c r="R315" s="363"/>
      <c r="S315" s="363"/>
      <c r="T315" s="363"/>
      <c r="U315" s="363"/>
      <c r="V315" s="363"/>
      <c r="W315" s="363"/>
      <c r="X315" s="363"/>
      <c r="Y315" s="363"/>
      <c r="Z315" s="363"/>
    </row>
    <row r="316" spans="1:26" ht="15.75" customHeight="1" x14ac:dyDescent="0.35">
      <c r="A316" s="363"/>
      <c r="B316" s="364"/>
      <c r="E316" s="364"/>
      <c r="H316" s="364"/>
      <c r="K316" s="363"/>
      <c r="L316" s="364"/>
      <c r="M316" s="363"/>
      <c r="N316" s="363"/>
      <c r="O316" s="363"/>
      <c r="P316" s="364"/>
      <c r="Q316" s="363"/>
      <c r="R316" s="363"/>
      <c r="S316" s="363"/>
      <c r="T316" s="363"/>
      <c r="U316" s="363"/>
      <c r="V316" s="363"/>
      <c r="W316" s="363"/>
      <c r="X316" s="363"/>
      <c r="Y316" s="363"/>
      <c r="Z316" s="363"/>
    </row>
    <row r="317" spans="1:26" ht="15.75" customHeight="1" x14ac:dyDescent="0.35">
      <c r="A317" s="363"/>
      <c r="B317" s="364"/>
      <c r="E317" s="364"/>
      <c r="H317" s="364"/>
      <c r="K317" s="363"/>
      <c r="L317" s="364"/>
      <c r="M317" s="363"/>
      <c r="N317" s="363"/>
      <c r="O317" s="363"/>
      <c r="P317" s="364"/>
      <c r="Q317" s="363"/>
      <c r="R317" s="363"/>
      <c r="S317" s="363"/>
      <c r="T317" s="363"/>
      <c r="U317" s="363"/>
      <c r="V317" s="363"/>
      <c r="W317" s="363"/>
      <c r="X317" s="363"/>
      <c r="Y317" s="363"/>
      <c r="Z317" s="363"/>
    </row>
    <row r="318" spans="1:26" ht="15.75" customHeight="1" x14ac:dyDescent="0.35">
      <c r="A318" s="363"/>
      <c r="B318" s="364"/>
      <c r="E318" s="364"/>
      <c r="H318" s="364"/>
      <c r="K318" s="363"/>
      <c r="L318" s="364"/>
      <c r="M318" s="363"/>
      <c r="N318" s="363"/>
      <c r="O318" s="363"/>
      <c r="P318" s="364"/>
      <c r="Q318" s="363"/>
      <c r="R318" s="363"/>
      <c r="S318" s="363"/>
      <c r="T318" s="363"/>
      <c r="U318" s="363"/>
      <c r="V318" s="363"/>
      <c r="W318" s="363"/>
      <c r="X318" s="363"/>
      <c r="Y318" s="363"/>
      <c r="Z318" s="363"/>
    </row>
    <row r="319" spans="1:26" ht="15.75" customHeight="1" x14ac:dyDescent="0.35">
      <c r="A319" s="363"/>
      <c r="B319" s="364"/>
      <c r="E319" s="364"/>
      <c r="H319" s="364"/>
      <c r="K319" s="363"/>
      <c r="L319" s="364"/>
      <c r="M319" s="363"/>
      <c r="N319" s="363"/>
      <c r="O319" s="363"/>
      <c r="P319" s="364"/>
      <c r="Q319" s="363"/>
      <c r="R319" s="363"/>
      <c r="S319" s="363"/>
      <c r="T319" s="363"/>
      <c r="U319" s="363"/>
      <c r="V319" s="363"/>
      <c r="W319" s="363"/>
      <c r="X319" s="363"/>
      <c r="Y319" s="363"/>
      <c r="Z319" s="363"/>
    </row>
    <row r="320" spans="1:26" ht="15.75" customHeight="1" x14ac:dyDescent="0.35">
      <c r="A320" s="363"/>
      <c r="B320" s="364"/>
      <c r="E320" s="364"/>
      <c r="H320" s="364"/>
      <c r="K320" s="363"/>
      <c r="L320" s="364"/>
      <c r="M320" s="363"/>
      <c r="N320" s="363"/>
      <c r="O320" s="363"/>
      <c r="P320" s="364"/>
      <c r="Q320" s="363"/>
      <c r="R320" s="363"/>
      <c r="S320" s="363"/>
      <c r="T320" s="363"/>
      <c r="U320" s="363"/>
      <c r="V320" s="363"/>
      <c r="W320" s="363"/>
      <c r="X320" s="363"/>
      <c r="Y320" s="363"/>
      <c r="Z320" s="363"/>
    </row>
    <row r="321" spans="1:26" ht="15.75" customHeight="1" x14ac:dyDescent="0.35">
      <c r="A321" s="363"/>
      <c r="B321" s="364"/>
      <c r="E321" s="364"/>
      <c r="H321" s="364"/>
      <c r="K321" s="363"/>
      <c r="L321" s="364"/>
      <c r="M321" s="363"/>
      <c r="N321" s="363"/>
      <c r="O321" s="363"/>
      <c r="P321" s="364"/>
      <c r="Q321" s="363"/>
      <c r="R321" s="363"/>
      <c r="S321" s="363"/>
      <c r="T321" s="363"/>
      <c r="U321" s="363"/>
      <c r="V321" s="363"/>
      <c r="W321" s="363"/>
      <c r="X321" s="363"/>
      <c r="Y321" s="363"/>
      <c r="Z321" s="363"/>
    </row>
    <row r="322" spans="1:26" ht="15.75" customHeight="1" x14ac:dyDescent="0.35">
      <c r="A322" s="363"/>
      <c r="B322" s="364"/>
      <c r="E322" s="364"/>
      <c r="H322" s="364"/>
      <c r="K322" s="363"/>
      <c r="L322" s="364"/>
      <c r="M322" s="363"/>
      <c r="N322" s="363"/>
      <c r="O322" s="363"/>
      <c r="P322" s="364"/>
      <c r="Q322" s="363"/>
      <c r="R322" s="363"/>
      <c r="S322" s="363"/>
      <c r="T322" s="363"/>
      <c r="U322" s="363"/>
      <c r="V322" s="363"/>
      <c r="W322" s="363"/>
      <c r="X322" s="363"/>
      <c r="Y322" s="363"/>
      <c r="Z322" s="363"/>
    </row>
    <row r="323" spans="1:26" ht="15.75" customHeight="1" x14ac:dyDescent="0.35">
      <c r="A323" s="363"/>
      <c r="B323" s="364"/>
      <c r="E323" s="364"/>
      <c r="H323" s="364"/>
      <c r="K323" s="363"/>
      <c r="L323" s="364"/>
      <c r="M323" s="363"/>
      <c r="N323" s="363"/>
      <c r="O323" s="363"/>
      <c r="P323" s="364"/>
      <c r="Q323" s="363"/>
      <c r="R323" s="363"/>
      <c r="S323" s="363"/>
      <c r="T323" s="363"/>
      <c r="U323" s="363"/>
      <c r="V323" s="363"/>
      <c r="W323" s="363"/>
      <c r="X323" s="363"/>
      <c r="Y323" s="363"/>
      <c r="Z323" s="363"/>
    </row>
    <row r="324" spans="1:26" ht="15.75" customHeight="1" x14ac:dyDescent="0.35">
      <c r="A324" s="363"/>
      <c r="B324" s="364"/>
      <c r="E324" s="364"/>
      <c r="H324" s="364"/>
      <c r="K324" s="363"/>
      <c r="L324" s="364"/>
      <c r="M324" s="363"/>
      <c r="N324" s="363"/>
      <c r="O324" s="363"/>
      <c r="P324" s="364"/>
      <c r="Q324" s="363"/>
      <c r="R324" s="363"/>
      <c r="S324" s="363"/>
      <c r="T324" s="363"/>
      <c r="U324" s="363"/>
      <c r="V324" s="363"/>
      <c r="W324" s="363"/>
      <c r="X324" s="363"/>
      <c r="Y324" s="363"/>
      <c r="Z324" s="363"/>
    </row>
    <row r="325" spans="1:26" ht="15.75" customHeight="1" x14ac:dyDescent="0.35">
      <c r="A325" s="363"/>
      <c r="B325" s="364"/>
      <c r="E325" s="364"/>
      <c r="H325" s="364"/>
      <c r="K325" s="363"/>
      <c r="L325" s="364"/>
      <c r="M325" s="363"/>
      <c r="N325" s="363"/>
      <c r="O325" s="363"/>
      <c r="P325" s="364"/>
      <c r="Q325" s="363"/>
      <c r="R325" s="363"/>
      <c r="S325" s="363"/>
      <c r="T325" s="363"/>
      <c r="U325" s="363"/>
      <c r="V325" s="363"/>
      <c r="W325" s="363"/>
      <c r="X325" s="363"/>
      <c r="Y325" s="363"/>
      <c r="Z325" s="363"/>
    </row>
    <row r="326" spans="1:26" ht="15.75" customHeight="1" x14ac:dyDescent="0.35">
      <c r="A326" s="363"/>
      <c r="B326" s="364"/>
      <c r="E326" s="364"/>
      <c r="H326" s="364"/>
      <c r="K326" s="363"/>
      <c r="L326" s="364"/>
      <c r="M326" s="363"/>
      <c r="N326" s="363"/>
      <c r="O326" s="363"/>
      <c r="P326" s="364"/>
      <c r="Q326" s="363"/>
      <c r="R326" s="363"/>
      <c r="S326" s="363"/>
      <c r="T326" s="363"/>
      <c r="U326" s="363"/>
      <c r="V326" s="363"/>
      <c r="W326" s="363"/>
      <c r="X326" s="363"/>
      <c r="Y326" s="363"/>
      <c r="Z326" s="363"/>
    </row>
    <row r="327" spans="1:26" ht="15.75" customHeight="1" x14ac:dyDescent="0.35">
      <c r="A327" s="363"/>
      <c r="B327" s="364"/>
      <c r="E327" s="364"/>
      <c r="H327" s="364"/>
      <c r="K327" s="363"/>
      <c r="L327" s="364"/>
      <c r="M327" s="363"/>
      <c r="N327" s="363"/>
      <c r="O327" s="363"/>
      <c r="P327" s="364"/>
      <c r="Q327" s="363"/>
      <c r="R327" s="363"/>
      <c r="S327" s="363"/>
      <c r="T327" s="363"/>
      <c r="U327" s="363"/>
      <c r="V327" s="363"/>
      <c r="W327" s="363"/>
      <c r="X327" s="363"/>
      <c r="Y327" s="363"/>
      <c r="Z327" s="363"/>
    </row>
    <row r="328" spans="1:26" ht="15.75" customHeight="1" x14ac:dyDescent="0.35">
      <c r="A328" s="363"/>
      <c r="B328" s="364"/>
      <c r="E328" s="364"/>
      <c r="H328" s="364"/>
      <c r="K328" s="363"/>
      <c r="L328" s="364"/>
      <c r="M328" s="363"/>
      <c r="N328" s="363"/>
      <c r="O328" s="363"/>
      <c r="P328" s="364"/>
      <c r="Q328" s="363"/>
      <c r="R328" s="363"/>
      <c r="S328" s="363"/>
      <c r="T328" s="363"/>
      <c r="U328" s="363"/>
      <c r="V328" s="363"/>
      <c r="W328" s="363"/>
      <c r="X328" s="363"/>
      <c r="Y328" s="363"/>
      <c r="Z328" s="363"/>
    </row>
    <row r="329" spans="1:26" ht="15.75" customHeight="1" x14ac:dyDescent="0.35">
      <c r="A329" s="363"/>
      <c r="B329" s="364"/>
      <c r="E329" s="364"/>
      <c r="H329" s="364"/>
      <c r="K329" s="363"/>
      <c r="L329" s="364"/>
      <c r="M329" s="363"/>
      <c r="N329" s="363"/>
      <c r="O329" s="363"/>
      <c r="P329" s="364"/>
      <c r="Q329" s="363"/>
      <c r="R329" s="363"/>
      <c r="S329" s="363"/>
      <c r="T329" s="363"/>
      <c r="U329" s="363"/>
      <c r="V329" s="363"/>
      <c r="W329" s="363"/>
      <c r="X329" s="363"/>
      <c r="Y329" s="363"/>
      <c r="Z329" s="363"/>
    </row>
    <row r="330" spans="1:26" ht="15.75" customHeight="1" x14ac:dyDescent="0.35">
      <c r="A330" s="363"/>
      <c r="B330" s="364"/>
      <c r="E330" s="364"/>
      <c r="H330" s="364"/>
      <c r="K330" s="363"/>
      <c r="L330" s="364"/>
      <c r="M330" s="363"/>
      <c r="N330" s="363"/>
      <c r="O330" s="363"/>
      <c r="P330" s="364"/>
      <c r="Q330" s="363"/>
      <c r="R330" s="363"/>
      <c r="S330" s="363"/>
      <c r="T330" s="363"/>
      <c r="U330" s="363"/>
      <c r="V330" s="363"/>
      <c r="W330" s="363"/>
      <c r="X330" s="363"/>
      <c r="Y330" s="363"/>
      <c r="Z330" s="363"/>
    </row>
    <row r="331" spans="1:26" ht="15.75" customHeight="1" x14ac:dyDescent="0.35">
      <c r="A331" s="363"/>
      <c r="B331" s="364"/>
      <c r="E331" s="364"/>
      <c r="H331" s="364"/>
      <c r="K331" s="363"/>
      <c r="L331" s="364"/>
      <c r="M331" s="363"/>
      <c r="N331" s="363"/>
      <c r="O331" s="363"/>
      <c r="P331" s="364"/>
      <c r="Q331" s="363"/>
      <c r="R331" s="363"/>
      <c r="S331" s="363"/>
      <c r="T331" s="363"/>
      <c r="U331" s="363"/>
      <c r="V331" s="363"/>
      <c r="W331" s="363"/>
      <c r="X331" s="363"/>
      <c r="Y331" s="363"/>
      <c r="Z331" s="363"/>
    </row>
    <row r="332" spans="1:26" ht="15.75" customHeight="1" x14ac:dyDescent="0.35">
      <c r="A332" s="363"/>
      <c r="B332" s="364"/>
      <c r="E332" s="364"/>
      <c r="H332" s="364"/>
      <c r="K332" s="363"/>
      <c r="L332" s="364"/>
      <c r="M332" s="363"/>
      <c r="N332" s="363"/>
      <c r="O332" s="363"/>
      <c r="P332" s="364"/>
      <c r="Q332" s="363"/>
      <c r="R332" s="363"/>
      <c r="S332" s="363"/>
      <c r="T332" s="363"/>
      <c r="U332" s="363"/>
      <c r="V332" s="363"/>
      <c r="W332" s="363"/>
      <c r="X332" s="363"/>
      <c r="Y332" s="363"/>
      <c r="Z332" s="363"/>
    </row>
    <row r="333" spans="1:26" ht="15.75" customHeight="1" x14ac:dyDescent="0.35">
      <c r="A333" s="363"/>
      <c r="B333" s="364"/>
      <c r="E333" s="364"/>
      <c r="H333" s="364"/>
      <c r="K333" s="363"/>
      <c r="L333" s="364"/>
      <c r="M333" s="363"/>
      <c r="N333" s="363"/>
      <c r="O333" s="363"/>
      <c r="P333" s="364"/>
      <c r="Q333" s="363"/>
      <c r="R333" s="363"/>
      <c r="S333" s="363"/>
      <c r="T333" s="363"/>
      <c r="U333" s="363"/>
      <c r="V333" s="363"/>
      <c r="W333" s="363"/>
      <c r="X333" s="363"/>
      <c r="Y333" s="363"/>
      <c r="Z333" s="363"/>
    </row>
    <row r="334" spans="1:26" ht="15.75" customHeight="1" x14ac:dyDescent="0.35">
      <c r="A334" s="363"/>
      <c r="B334" s="364"/>
      <c r="E334" s="364"/>
      <c r="H334" s="364"/>
      <c r="K334" s="363"/>
      <c r="L334" s="364"/>
      <c r="M334" s="363"/>
      <c r="N334" s="363"/>
      <c r="O334" s="363"/>
      <c r="P334" s="364"/>
      <c r="Q334" s="363"/>
      <c r="R334" s="363"/>
      <c r="S334" s="363"/>
      <c r="T334" s="363"/>
      <c r="U334" s="363"/>
      <c r="V334" s="363"/>
      <c r="W334" s="363"/>
      <c r="X334" s="363"/>
      <c r="Y334" s="363"/>
      <c r="Z334" s="363"/>
    </row>
    <row r="335" spans="1:26" ht="15.75" customHeight="1" x14ac:dyDescent="0.35">
      <c r="A335" s="363"/>
      <c r="B335" s="364"/>
      <c r="E335" s="364"/>
      <c r="H335" s="364"/>
      <c r="K335" s="363"/>
      <c r="L335" s="364"/>
      <c r="M335" s="363"/>
      <c r="N335" s="363"/>
      <c r="O335" s="363"/>
      <c r="P335" s="364"/>
      <c r="Q335" s="363"/>
      <c r="R335" s="363"/>
      <c r="S335" s="363"/>
      <c r="T335" s="363"/>
      <c r="U335" s="363"/>
      <c r="V335" s="363"/>
      <c r="W335" s="363"/>
      <c r="X335" s="363"/>
      <c r="Y335" s="363"/>
      <c r="Z335" s="363"/>
    </row>
    <row r="336" spans="1:26" ht="15.75" customHeight="1" x14ac:dyDescent="0.35">
      <c r="A336" s="363"/>
      <c r="B336" s="364"/>
      <c r="E336" s="364"/>
      <c r="H336" s="364"/>
      <c r="K336" s="363"/>
      <c r="L336" s="364"/>
      <c r="M336" s="363"/>
      <c r="N336" s="363"/>
      <c r="O336" s="363"/>
      <c r="P336" s="364"/>
      <c r="Q336" s="363"/>
      <c r="R336" s="363"/>
      <c r="S336" s="363"/>
      <c r="T336" s="363"/>
      <c r="U336" s="363"/>
      <c r="V336" s="363"/>
      <c r="W336" s="363"/>
      <c r="X336" s="363"/>
      <c r="Y336" s="363"/>
      <c r="Z336" s="363"/>
    </row>
    <row r="337" spans="1:26" ht="15.75" customHeight="1" x14ac:dyDescent="0.35">
      <c r="A337" s="363"/>
      <c r="B337" s="364"/>
      <c r="E337" s="364"/>
      <c r="H337" s="364"/>
      <c r="K337" s="363"/>
      <c r="L337" s="364"/>
      <c r="M337" s="363"/>
      <c r="N337" s="363"/>
      <c r="O337" s="363"/>
      <c r="P337" s="364"/>
      <c r="Q337" s="363"/>
      <c r="R337" s="363"/>
      <c r="S337" s="363"/>
      <c r="T337" s="363"/>
      <c r="U337" s="363"/>
      <c r="V337" s="363"/>
      <c r="W337" s="363"/>
      <c r="X337" s="363"/>
      <c r="Y337" s="363"/>
      <c r="Z337" s="363"/>
    </row>
    <row r="338" spans="1:26" ht="15.75" customHeight="1" x14ac:dyDescent="0.35">
      <c r="A338" s="363"/>
      <c r="B338" s="364"/>
      <c r="E338" s="364"/>
      <c r="H338" s="364"/>
      <c r="K338" s="363"/>
      <c r="L338" s="364"/>
      <c r="M338" s="363"/>
      <c r="N338" s="363"/>
      <c r="O338" s="363"/>
      <c r="P338" s="364"/>
      <c r="Q338" s="363"/>
      <c r="R338" s="363"/>
      <c r="S338" s="363"/>
      <c r="T338" s="363"/>
      <c r="U338" s="363"/>
      <c r="V338" s="363"/>
      <c r="W338" s="363"/>
      <c r="X338" s="363"/>
      <c r="Y338" s="363"/>
      <c r="Z338" s="363"/>
    </row>
    <row r="339" spans="1:26" ht="15.75" customHeight="1" x14ac:dyDescent="0.35">
      <c r="A339" s="363"/>
      <c r="B339" s="364"/>
      <c r="E339" s="364"/>
      <c r="H339" s="364"/>
      <c r="K339" s="363"/>
      <c r="L339" s="364"/>
      <c r="M339" s="363"/>
      <c r="N339" s="363"/>
      <c r="O339" s="363"/>
      <c r="P339" s="364"/>
      <c r="Q339" s="363"/>
      <c r="R339" s="363"/>
      <c r="S339" s="363"/>
      <c r="T339" s="363"/>
      <c r="U339" s="363"/>
      <c r="V339" s="363"/>
      <c r="W339" s="363"/>
      <c r="X339" s="363"/>
      <c r="Y339" s="363"/>
      <c r="Z339" s="363"/>
    </row>
    <row r="340" spans="1:26" ht="15.75" customHeight="1" x14ac:dyDescent="0.35">
      <c r="A340" s="363"/>
      <c r="B340" s="364"/>
      <c r="E340" s="364"/>
      <c r="H340" s="364"/>
      <c r="K340" s="363"/>
      <c r="L340" s="364"/>
      <c r="M340" s="363"/>
      <c r="N340" s="363"/>
      <c r="O340" s="363"/>
      <c r="P340" s="364"/>
      <c r="Q340" s="363"/>
      <c r="R340" s="363"/>
      <c r="S340" s="363"/>
      <c r="T340" s="363"/>
      <c r="U340" s="363"/>
      <c r="V340" s="363"/>
      <c r="W340" s="363"/>
      <c r="X340" s="363"/>
      <c r="Y340" s="363"/>
      <c r="Z340" s="363"/>
    </row>
    <row r="341" spans="1:26" ht="15.75" customHeight="1" x14ac:dyDescent="0.35">
      <c r="A341" s="363"/>
      <c r="B341" s="364"/>
      <c r="E341" s="364"/>
      <c r="H341" s="364"/>
      <c r="K341" s="363"/>
      <c r="L341" s="364"/>
      <c r="M341" s="363"/>
      <c r="N341" s="363"/>
      <c r="O341" s="363"/>
      <c r="P341" s="364"/>
      <c r="Q341" s="363"/>
      <c r="R341" s="363"/>
      <c r="S341" s="363"/>
      <c r="T341" s="363"/>
      <c r="U341" s="363"/>
      <c r="V341" s="363"/>
      <c r="W341" s="363"/>
      <c r="X341" s="363"/>
      <c r="Y341" s="363"/>
      <c r="Z341" s="363"/>
    </row>
    <row r="342" spans="1:26" ht="15.75" customHeight="1" x14ac:dyDescent="0.35">
      <c r="A342" s="363"/>
      <c r="B342" s="364"/>
      <c r="E342" s="364"/>
      <c r="H342" s="364"/>
      <c r="K342" s="363"/>
      <c r="L342" s="364"/>
      <c r="M342" s="363"/>
      <c r="N342" s="363"/>
      <c r="O342" s="363"/>
      <c r="P342" s="364"/>
      <c r="Q342" s="363"/>
      <c r="R342" s="363"/>
      <c r="S342" s="363"/>
      <c r="T342" s="363"/>
      <c r="U342" s="363"/>
      <c r="V342" s="363"/>
      <c r="W342" s="363"/>
      <c r="X342" s="363"/>
      <c r="Y342" s="363"/>
      <c r="Z342" s="363"/>
    </row>
    <row r="343" spans="1:26" ht="15.75" customHeight="1" x14ac:dyDescent="0.35">
      <c r="A343" s="363"/>
      <c r="B343" s="364"/>
      <c r="E343" s="364"/>
      <c r="H343" s="364"/>
      <c r="K343" s="363"/>
      <c r="L343" s="364"/>
      <c r="M343" s="363"/>
      <c r="N343" s="363"/>
      <c r="O343" s="363"/>
      <c r="P343" s="364"/>
      <c r="Q343" s="363"/>
      <c r="R343" s="363"/>
      <c r="S343" s="363"/>
      <c r="T343" s="363"/>
      <c r="U343" s="363"/>
      <c r="V343" s="363"/>
      <c r="W343" s="363"/>
      <c r="X343" s="363"/>
      <c r="Y343" s="363"/>
      <c r="Z343" s="363"/>
    </row>
    <row r="344" spans="1:26" ht="15.75" customHeight="1" x14ac:dyDescent="0.35">
      <c r="A344" s="363"/>
      <c r="B344" s="364"/>
      <c r="E344" s="364"/>
      <c r="H344" s="364"/>
      <c r="K344" s="363"/>
      <c r="L344" s="364"/>
      <c r="M344" s="363"/>
      <c r="N344" s="363"/>
      <c r="O344" s="363"/>
      <c r="P344" s="364"/>
      <c r="Q344" s="363"/>
      <c r="R344" s="363"/>
      <c r="S344" s="363"/>
      <c r="T344" s="363"/>
      <c r="U344" s="363"/>
      <c r="V344" s="363"/>
      <c r="W344" s="363"/>
      <c r="X344" s="363"/>
      <c r="Y344" s="363"/>
      <c r="Z344" s="363"/>
    </row>
    <row r="345" spans="1:26" ht="15.75" customHeight="1" x14ac:dyDescent="0.35">
      <c r="A345" s="363"/>
      <c r="B345" s="364"/>
      <c r="E345" s="364"/>
      <c r="H345" s="364"/>
      <c r="K345" s="363"/>
      <c r="L345" s="364"/>
      <c r="M345" s="363"/>
      <c r="N345" s="363"/>
      <c r="O345" s="363"/>
      <c r="P345" s="364"/>
      <c r="Q345" s="363"/>
      <c r="R345" s="363"/>
      <c r="S345" s="363"/>
      <c r="T345" s="363"/>
      <c r="U345" s="363"/>
      <c r="V345" s="363"/>
      <c r="W345" s="363"/>
      <c r="X345" s="363"/>
      <c r="Y345" s="363"/>
      <c r="Z345" s="363"/>
    </row>
    <row r="346" spans="1:26" ht="15.75" customHeight="1" x14ac:dyDescent="0.35">
      <c r="A346" s="363"/>
      <c r="B346" s="364"/>
      <c r="E346" s="364"/>
      <c r="H346" s="364"/>
      <c r="K346" s="363"/>
      <c r="L346" s="364"/>
      <c r="M346" s="363"/>
      <c r="N346" s="363"/>
      <c r="O346" s="363"/>
      <c r="P346" s="364"/>
      <c r="Q346" s="363"/>
      <c r="R346" s="363"/>
      <c r="S346" s="363"/>
      <c r="T346" s="363"/>
      <c r="U346" s="363"/>
      <c r="V346" s="363"/>
      <c r="W346" s="363"/>
      <c r="X346" s="363"/>
      <c r="Y346" s="363"/>
      <c r="Z346" s="363"/>
    </row>
    <row r="347" spans="1:26" ht="15.75" customHeight="1" x14ac:dyDescent="0.35">
      <c r="A347" s="363"/>
      <c r="B347" s="364"/>
      <c r="E347" s="364"/>
      <c r="H347" s="364"/>
      <c r="K347" s="363"/>
      <c r="L347" s="364"/>
      <c r="M347" s="363"/>
      <c r="N347" s="363"/>
      <c r="O347" s="363"/>
      <c r="P347" s="364"/>
      <c r="Q347" s="363"/>
      <c r="R347" s="363"/>
      <c r="S347" s="363"/>
      <c r="T347" s="363"/>
      <c r="U347" s="363"/>
      <c r="V347" s="363"/>
      <c r="W347" s="363"/>
      <c r="X347" s="363"/>
      <c r="Y347" s="363"/>
      <c r="Z347" s="363"/>
    </row>
    <row r="348" spans="1:26" ht="15.75" customHeight="1" x14ac:dyDescent="0.35">
      <c r="A348" s="363"/>
      <c r="B348" s="364"/>
      <c r="E348" s="364"/>
      <c r="H348" s="364"/>
      <c r="K348" s="363"/>
      <c r="L348" s="364"/>
      <c r="M348" s="363"/>
      <c r="N348" s="363"/>
      <c r="O348" s="363"/>
      <c r="P348" s="364"/>
      <c r="Q348" s="363"/>
      <c r="R348" s="363"/>
      <c r="S348" s="363"/>
      <c r="T348" s="363"/>
      <c r="U348" s="363"/>
      <c r="V348" s="363"/>
      <c r="W348" s="363"/>
      <c r="X348" s="363"/>
      <c r="Y348" s="363"/>
      <c r="Z348" s="363"/>
    </row>
    <row r="349" spans="1:26" ht="15.75" customHeight="1" x14ac:dyDescent="0.35">
      <c r="A349" s="363"/>
      <c r="B349" s="364"/>
      <c r="E349" s="364"/>
      <c r="H349" s="364"/>
      <c r="K349" s="363"/>
      <c r="L349" s="364"/>
      <c r="M349" s="363"/>
      <c r="N349" s="363"/>
      <c r="O349" s="363"/>
      <c r="P349" s="364"/>
      <c r="Q349" s="363"/>
      <c r="R349" s="363"/>
      <c r="S349" s="363"/>
      <c r="T349" s="363"/>
      <c r="U349" s="363"/>
      <c r="V349" s="363"/>
      <c r="W349" s="363"/>
      <c r="X349" s="363"/>
      <c r="Y349" s="363"/>
      <c r="Z349" s="363"/>
    </row>
    <row r="350" spans="1:26" ht="15.75" customHeight="1" x14ac:dyDescent="0.35">
      <c r="A350" s="363"/>
      <c r="B350" s="364"/>
      <c r="E350" s="364"/>
      <c r="H350" s="364"/>
      <c r="K350" s="363"/>
      <c r="L350" s="364"/>
      <c r="M350" s="363"/>
      <c r="N350" s="363"/>
      <c r="O350" s="363"/>
      <c r="P350" s="364"/>
      <c r="Q350" s="363"/>
      <c r="R350" s="363"/>
      <c r="S350" s="363"/>
      <c r="T350" s="363"/>
      <c r="U350" s="363"/>
      <c r="V350" s="363"/>
      <c r="W350" s="363"/>
      <c r="X350" s="363"/>
      <c r="Y350" s="363"/>
      <c r="Z350" s="363"/>
    </row>
    <row r="351" spans="1:26" ht="15.75" customHeight="1" x14ac:dyDescent="0.35">
      <c r="A351" s="363"/>
      <c r="B351" s="364"/>
      <c r="E351" s="364"/>
      <c r="H351" s="364"/>
      <c r="K351" s="363"/>
      <c r="L351" s="364"/>
      <c r="M351" s="363"/>
      <c r="N351" s="363"/>
      <c r="O351" s="363"/>
      <c r="P351" s="364"/>
      <c r="Q351" s="363"/>
      <c r="R351" s="363"/>
      <c r="S351" s="363"/>
      <c r="T351" s="363"/>
      <c r="U351" s="363"/>
      <c r="V351" s="363"/>
      <c r="W351" s="363"/>
      <c r="X351" s="363"/>
      <c r="Y351" s="363"/>
      <c r="Z351" s="363"/>
    </row>
    <row r="352" spans="1:26" ht="15.75" customHeight="1" x14ac:dyDescent="0.35">
      <c r="A352" s="363"/>
      <c r="B352" s="364"/>
      <c r="E352" s="364"/>
      <c r="H352" s="364"/>
      <c r="K352" s="363"/>
      <c r="L352" s="364"/>
      <c r="M352" s="363"/>
      <c r="N352" s="363"/>
      <c r="O352" s="363"/>
      <c r="P352" s="364"/>
      <c r="Q352" s="363"/>
      <c r="R352" s="363"/>
      <c r="S352" s="363"/>
      <c r="T352" s="363"/>
      <c r="U352" s="363"/>
      <c r="V352" s="363"/>
      <c r="W352" s="363"/>
      <c r="X352" s="363"/>
      <c r="Y352" s="363"/>
      <c r="Z352" s="363"/>
    </row>
    <row r="353" spans="1:26" ht="15.75" customHeight="1" x14ac:dyDescent="0.35">
      <c r="A353" s="363"/>
      <c r="B353" s="364"/>
      <c r="E353" s="364"/>
      <c r="H353" s="364"/>
      <c r="K353" s="363"/>
      <c r="L353" s="364"/>
      <c r="M353" s="363"/>
      <c r="N353" s="363"/>
      <c r="O353" s="363"/>
      <c r="P353" s="364"/>
      <c r="Q353" s="363"/>
      <c r="R353" s="363"/>
      <c r="S353" s="363"/>
      <c r="T353" s="363"/>
      <c r="U353" s="363"/>
      <c r="V353" s="363"/>
      <c r="W353" s="363"/>
      <c r="X353" s="363"/>
      <c r="Y353" s="363"/>
      <c r="Z353" s="363"/>
    </row>
    <row r="354" spans="1:26" ht="15.75" customHeight="1" x14ac:dyDescent="0.35">
      <c r="A354" s="363"/>
      <c r="B354" s="364"/>
      <c r="E354" s="364"/>
      <c r="H354" s="364"/>
      <c r="K354" s="363"/>
      <c r="L354" s="364"/>
      <c r="M354" s="363"/>
      <c r="N354" s="363"/>
      <c r="O354" s="363"/>
      <c r="P354" s="364"/>
      <c r="Q354" s="363"/>
      <c r="R354" s="363"/>
      <c r="S354" s="363"/>
      <c r="T354" s="363"/>
      <c r="U354" s="363"/>
      <c r="V354" s="363"/>
      <c r="W354" s="363"/>
      <c r="X354" s="363"/>
      <c r="Y354" s="363"/>
      <c r="Z354" s="363"/>
    </row>
    <row r="355" spans="1:26" ht="15.75" customHeight="1" x14ac:dyDescent="0.35">
      <c r="A355" s="363"/>
      <c r="B355" s="364"/>
      <c r="E355" s="364"/>
      <c r="H355" s="364"/>
      <c r="K355" s="363"/>
      <c r="L355" s="364"/>
      <c r="M355" s="363"/>
      <c r="N355" s="363"/>
      <c r="O355" s="363"/>
      <c r="P355" s="364"/>
      <c r="Q355" s="363"/>
      <c r="R355" s="363"/>
      <c r="S355" s="363"/>
      <c r="T355" s="363"/>
      <c r="U355" s="363"/>
      <c r="V355" s="363"/>
      <c r="W355" s="363"/>
      <c r="X355" s="363"/>
      <c r="Y355" s="363"/>
      <c r="Z355" s="363"/>
    </row>
    <row r="356" spans="1:26" ht="15.75" customHeight="1" x14ac:dyDescent="0.35">
      <c r="A356" s="363"/>
      <c r="B356" s="364"/>
      <c r="E356" s="364"/>
      <c r="H356" s="364"/>
      <c r="K356" s="363"/>
      <c r="L356" s="364"/>
      <c r="M356" s="363"/>
      <c r="N356" s="363"/>
      <c r="O356" s="363"/>
      <c r="P356" s="364"/>
      <c r="Q356" s="363"/>
      <c r="R356" s="363"/>
      <c r="S356" s="363"/>
      <c r="T356" s="363"/>
      <c r="U356" s="363"/>
      <c r="V356" s="363"/>
      <c r="W356" s="363"/>
      <c r="X356" s="363"/>
      <c r="Y356" s="363"/>
      <c r="Z356" s="363"/>
    </row>
    <row r="357" spans="1:26" ht="15.75" customHeight="1" x14ac:dyDescent="0.35">
      <c r="A357" s="363"/>
      <c r="B357" s="364"/>
      <c r="E357" s="364"/>
      <c r="H357" s="364"/>
      <c r="K357" s="363"/>
      <c r="L357" s="364"/>
      <c r="M357" s="363"/>
      <c r="N357" s="363"/>
      <c r="O357" s="363"/>
      <c r="P357" s="364"/>
      <c r="Q357" s="363"/>
      <c r="R357" s="363"/>
      <c r="S357" s="363"/>
      <c r="T357" s="363"/>
      <c r="U357" s="363"/>
      <c r="V357" s="363"/>
      <c r="W357" s="363"/>
      <c r="X357" s="363"/>
      <c r="Y357" s="363"/>
      <c r="Z357" s="363"/>
    </row>
    <row r="358" spans="1:26" ht="15.75" customHeight="1" x14ac:dyDescent="0.35">
      <c r="A358" s="363"/>
      <c r="B358" s="364"/>
      <c r="E358" s="364"/>
      <c r="H358" s="364"/>
      <c r="K358" s="363"/>
      <c r="L358" s="364"/>
      <c r="M358" s="363"/>
      <c r="N358" s="363"/>
      <c r="O358" s="363"/>
      <c r="P358" s="364"/>
      <c r="Q358" s="363"/>
      <c r="R358" s="363"/>
      <c r="S358" s="363"/>
      <c r="T358" s="363"/>
      <c r="U358" s="363"/>
      <c r="V358" s="363"/>
      <c r="W358" s="363"/>
      <c r="X358" s="363"/>
      <c r="Y358" s="363"/>
      <c r="Z358" s="363"/>
    </row>
    <row r="359" spans="1:26" ht="15.75" customHeight="1" x14ac:dyDescent="0.35">
      <c r="A359" s="363"/>
      <c r="B359" s="364"/>
      <c r="E359" s="364"/>
      <c r="H359" s="364"/>
      <c r="K359" s="363"/>
      <c r="L359" s="364"/>
      <c r="M359" s="363"/>
      <c r="N359" s="363"/>
      <c r="O359" s="363"/>
      <c r="P359" s="364"/>
      <c r="Q359" s="363"/>
      <c r="R359" s="363"/>
      <c r="S359" s="363"/>
      <c r="T359" s="363"/>
      <c r="U359" s="363"/>
      <c r="V359" s="363"/>
      <c r="W359" s="363"/>
      <c r="X359" s="363"/>
      <c r="Y359" s="363"/>
      <c r="Z359" s="363"/>
    </row>
    <row r="360" spans="1:26" ht="15.75" customHeight="1" x14ac:dyDescent="0.35">
      <c r="A360" s="363"/>
      <c r="B360" s="364"/>
      <c r="E360" s="364"/>
      <c r="H360" s="364"/>
      <c r="K360" s="363"/>
      <c r="L360" s="364"/>
      <c r="M360" s="363"/>
      <c r="N360" s="363"/>
      <c r="O360" s="363"/>
      <c r="P360" s="364"/>
      <c r="Q360" s="363"/>
      <c r="R360" s="363"/>
      <c r="S360" s="363"/>
      <c r="T360" s="363"/>
      <c r="U360" s="363"/>
      <c r="V360" s="363"/>
      <c r="W360" s="363"/>
      <c r="X360" s="363"/>
      <c r="Y360" s="363"/>
      <c r="Z360" s="363"/>
    </row>
    <row r="361" spans="1:26" ht="15.75" customHeight="1" x14ac:dyDescent="0.35">
      <c r="A361" s="363"/>
      <c r="B361" s="364"/>
      <c r="E361" s="364"/>
      <c r="H361" s="364"/>
      <c r="K361" s="363"/>
      <c r="L361" s="364"/>
      <c r="M361" s="363"/>
      <c r="N361" s="363"/>
      <c r="O361" s="363"/>
      <c r="P361" s="364"/>
      <c r="Q361" s="363"/>
      <c r="R361" s="363"/>
      <c r="S361" s="363"/>
      <c r="T361" s="363"/>
      <c r="U361" s="363"/>
      <c r="V361" s="363"/>
      <c r="W361" s="363"/>
      <c r="X361" s="363"/>
      <c r="Y361" s="363"/>
      <c r="Z361" s="363"/>
    </row>
    <row r="362" spans="1:26" ht="15.75" customHeight="1" x14ac:dyDescent="0.35">
      <c r="A362" s="363"/>
      <c r="B362" s="364"/>
      <c r="E362" s="364"/>
      <c r="H362" s="364"/>
      <c r="K362" s="363"/>
      <c r="L362" s="364"/>
      <c r="M362" s="363"/>
      <c r="N362" s="363"/>
      <c r="O362" s="363"/>
      <c r="P362" s="364"/>
      <c r="Q362" s="363"/>
      <c r="R362" s="363"/>
      <c r="S362" s="363"/>
      <c r="T362" s="363"/>
      <c r="U362" s="363"/>
      <c r="V362" s="363"/>
      <c r="W362" s="363"/>
      <c r="X362" s="363"/>
      <c r="Y362" s="363"/>
      <c r="Z362" s="363"/>
    </row>
    <row r="363" spans="1:26" ht="15.75" customHeight="1" x14ac:dyDescent="0.35">
      <c r="A363" s="363"/>
      <c r="B363" s="364"/>
      <c r="E363" s="364"/>
      <c r="H363" s="364"/>
      <c r="K363" s="363"/>
      <c r="L363" s="364"/>
      <c r="M363" s="363"/>
      <c r="N363" s="363"/>
      <c r="O363" s="363"/>
      <c r="P363" s="364"/>
      <c r="Q363" s="363"/>
      <c r="R363" s="363"/>
      <c r="S363" s="363"/>
      <c r="T363" s="363"/>
      <c r="U363" s="363"/>
      <c r="V363" s="363"/>
      <c r="W363" s="363"/>
      <c r="X363" s="363"/>
      <c r="Y363" s="363"/>
      <c r="Z363" s="363"/>
    </row>
    <row r="364" spans="1:26" ht="15.75" customHeight="1" x14ac:dyDescent="0.35">
      <c r="A364" s="363"/>
      <c r="B364" s="364"/>
      <c r="E364" s="364"/>
      <c r="H364" s="364"/>
      <c r="K364" s="363"/>
      <c r="L364" s="364"/>
      <c r="M364" s="363"/>
      <c r="N364" s="363"/>
      <c r="O364" s="363"/>
      <c r="P364" s="364"/>
      <c r="Q364" s="363"/>
      <c r="R364" s="363"/>
      <c r="S364" s="363"/>
      <c r="T364" s="363"/>
      <c r="U364" s="363"/>
      <c r="V364" s="363"/>
      <c r="W364" s="363"/>
      <c r="X364" s="363"/>
      <c r="Y364" s="363"/>
      <c r="Z364" s="363"/>
    </row>
    <row r="365" spans="1:26" ht="15.75" customHeight="1" x14ac:dyDescent="0.35">
      <c r="A365" s="363"/>
      <c r="B365" s="364"/>
      <c r="E365" s="364"/>
      <c r="H365" s="364"/>
      <c r="K365" s="363"/>
      <c r="L365" s="364"/>
      <c r="M365" s="363"/>
      <c r="N365" s="363"/>
      <c r="O365" s="363"/>
      <c r="P365" s="364"/>
      <c r="Q365" s="363"/>
      <c r="R365" s="363"/>
      <c r="S365" s="363"/>
      <c r="T365" s="363"/>
      <c r="U365" s="363"/>
      <c r="V365" s="363"/>
      <c r="W365" s="363"/>
      <c r="X365" s="363"/>
      <c r="Y365" s="363"/>
      <c r="Z365" s="363"/>
    </row>
    <row r="366" spans="1:26" ht="15.75" customHeight="1" x14ac:dyDescent="0.35">
      <c r="A366" s="363"/>
      <c r="B366" s="364"/>
      <c r="E366" s="364"/>
      <c r="H366" s="364"/>
      <c r="K366" s="363"/>
      <c r="L366" s="364"/>
      <c r="M366" s="363"/>
      <c r="N366" s="363"/>
      <c r="O366" s="363"/>
      <c r="P366" s="364"/>
      <c r="Q366" s="363"/>
      <c r="R366" s="363"/>
      <c r="S366" s="363"/>
      <c r="T366" s="363"/>
      <c r="U366" s="363"/>
      <c r="V366" s="363"/>
      <c r="W366" s="363"/>
      <c r="X366" s="363"/>
      <c r="Y366" s="363"/>
      <c r="Z366" s="363"/>
    </row>
    <row r="367" spans="1:26" ht="15.75" customHeight="1" x14ac:dyDescent="0.35">
      <c r="A367" s="363"/>
      <c r="B367" s="364"/>
      <c r="E367" s="364"/>
      <c r="H367" s="364"/>
      <c r="K367" s="363"/>
      <c r="L367" s="364"/>
      <c r="M367" s="363"/>
      <c r="N367" s="363"/>
      <c r="O367" s="363"/>
      <c r="P367" s="364"/>
      <c r="Q367" s="363"/>
      <c r="R367" s="363"/>
      <c r="S367" s="363"/>
      <c r="T367" s="363"/>
      <c r="U367" s="363"/>
      <c r="V367" s="363"/>
      <c r="W367" s="363"/>
      <c r="X367" s="363"/>
      <c r="Y367" s="363"/>
      <c r="Z367" s="363"/>
    </row>
    <row r="368" spans="1:26" ht="15.75" customHeight="1" x14ac:dyDescent="0.35">
      <c r="A368" s="363"/>
      <c r="B368" s="364"/>
      <c r="E368" s="364"/>
      <c r="H368" s="364"/>
      <c r="K368" s="363"/>
      <c r="L368" s="364"/>
      <c r="M368" s="363"/>
      <c r="N368" s="363"/>
      <c r="O368" s="363"/>
      <c r="P368" s="364"/>
      <c r="Q368" s="363"/>
      <c r="R368" s="363"/>
      <c r="S368" s="363"/>
      <c r="T368" s="363"/>
      <c r="U368" s="363"/>
      <c r="V368" s="363"/>
      <c r="W368" s="363"/>
      <c r="X368" s="363"/>
      <c r="Y368" s="363"/>
      <c r="Z368" s="363"/>
    </row>
    <row r="369" spans="1:26" ht="15.75" customHeight="1" x14ac:dyDescent="0.35">
      <c r="A369" s="363"/>
      <c r="B369" s="364"/>
      <c r="E369" s="364"/>
      <c r="H369" s="364"/>
      <c r="K369" s="363"/>
      <c r="L369" s="364"/>
      <c r="M369" s="363"/>
      <c r="N369" s="363"/>
      <c r="O369" s="363"/>
      <c r="P369" s="364"/>
      <c r="Q369" s="363"/>
      <c r="R369" s="363"/>
      <c r="S369" s="363"/>
      <c r="T369" s="363"/>
      <c r="U369" s="363"/>
      <c r="V369" s="363"/>
      <c r="W369" s="363"/>
      <c r="X369" s="363"/>
      <c r="Y369" s="363"/>
      <c r="Z369" s="363"/>
    </row>
    <row r="370" spans="1:26" ht="15.75" customHeight="1" x14ac:dyDescent="0.35">
      <c r="A370" s="363"/>
      <c r="B370" s="364"/>
      <c r="E370" s="364"/>
      <c r="H370" s="364"/>
      <c r="K370" s="363"/>
      <c r="L370" s="364"/>
      <c r="M370" s="363"/>
      <c r="N370" s="363"/>
      <c r="O370" s="363"/>
      <c r="P370" s="364"/>
      <c r="Q370" s="363"/>
      <c r="R370" s="363"/>
      <c r="S370" s="363"/>
      <c r="T370" s="363"/>
      <c r="U370" s="363"/>
      <c r="V370" s="363"/>
      <c r="W370" s="363"/>
      <c r="X370" s="363"/>
      <c r="Y370" s="363"/>
      <c r="Z370" s="363"/>
    </row>
    <row r="371" spans="1:26" ht="15.75" customHeight="1" x14ac:dyDescent="0.35">
      <c r="A371" s="363"/>
      <c r="B371" s="364"/>
      <c r="E371" s="364"/>
      <c r="H371" s="364"/>
      <c r="K371" s="363"/>
      <c r="L371" s="364"/>
      <c r="M371" s="363"/>
      <c r="N371" s="363"/>
      <c r="O371" s="363"/>
      <c r="P371" s="364"/>
      <c r="Q371" s="363"/>
      <c r="R371" s="363"/>
      <c r="S371" s="363"/>
      <c r="T371" s="363"/>
      <c r="U371" s="363"/>
      <c r="V371" s="363"/>
      <c r="W371" s="363"/>
      <c r="X371" s="363"/>
      <c r="Y371" s="363"/>
      <c r="Z371" s="363"/>
    </row>
    <row r="372" spans="1:26" ht="15.75" customHeight="1" x14ac:dyDescent="0.35">
      <c r="A372" s="363"/>
      <c r="B372" s="364"/>
      <c r="E372" s="364"/>
      <c r="H372" s="364"/>
      <c r="K372" s="363"/>
      <c r="L372" s="364"/>
      <c r="M372" s="363"/>
      <c r="N372" s="363"/>
      <c r="O372" s="363"/>
      <c r="P372" s="364"/>
      <c r="Q372" s="363"/>
      <c r="R372" s="363"/>
      <c r="S372" s="363"/>
      <c r="T372" s="363"/>
      <c r="U372" s="363"/>
      <c r="V372" s="363"/>
      <c r="W372" s="363"/>
      <c r="X372" s="363"/>
      <c r="Y372" s="363"/>
      <c r="Z372" s="363"/>
    </row>
    <row r="373" spans="1:26" ht="15.75" customHeight="1" x14ac:dyDescent="0.35">
      <c r="A373" s="363"/>
      <c r="B373" s="364"/>
      <c r="E373" s="364"/>
      <c r="H373" s="364"/>
      <c r="K373" s="363"/>
      <c r="L373" s="364"/>
      <c r="M373" s="363"/>
      <c r="N373" s="363"/>
      <c r="O373" s="363"/>
      <c r="P373" s="364"/>
      <c r="Q373" s="363"/>
      <c r="R373" s="363"/>
      <c r="S373" s="363"/>
      <c r="T373" s="363"/>
      <c r="U373" s="363"/>
      <c r="V373" s="363"/>
      <c r="W373" s="363"/>
      <c r="X373" s="363"/>
      <c r="Y373" s="363"/>
      <c r="Z373" s="363"/>
    </row>
    <row r="374" spans="1:26" ht="15.75" customHeight="1" x14ac:dyDescent="0.35">
      <c r="A374" s="363"/>
      <c r="B374" s="364"/>
      <c r="E374" s="364"/>
      <c r="H374" s="364"/>
      <c r="K374" s="363"/>
      <c r="L374" s="364"/>
      <c r="M374" s="363"/>
      <c r="N374" s="363"/>
      <c r="O374" s="363"/>
      <c r="P374" s="364"/>
      <c r="Q374" s="363"/>
      <c r="R374" s="363"/>
      <c r="S374" s="363"/>
      <c r="T374" s="363"/>
      <c r="U374" s="363"/>
      <c r="V374" s="363"/>
      <c r="W374" s="363"/>
      <c r="X374" s="363"/>
      <c r="Y374" s="363"/>
      <c r="Z374" s="363"/>
    </row>
    <row r="375" spans="1:26" ht="15.75" customHeight="1" x14ac:dyDescent="0.35">
      <c r="A375" s="363"/>
      <c r="B375" s="364"/>
      <c r="E375" s="364"/>
      <c r="H375" s="364"/>
      <c r="K375" s="363"/>
      <c r="L375" s="364"/>
      <c r="M375" s="363"/>
      <c r="N375" s="363"/>
      <c r="O375" s="363"/>
      <c r="P375" s="364"/>
      <c r="Q375" s="363"/>
      <c r="R375" s="363"/>
      <c r="S375" s="363"/>
      <c r="T375" s="363"/>
      <c r="U375" s="363"/>
      <c r="V375" s="363"/>
      <c r="W375" s="363"/>
      <c r="X375" s="363"/>
      <c r="Y375" s="363"/>
      <c r="Z375" s="363"/>
    </row>
    <row r="376" spans="1:26" ht="15.75" customHeight="1" x14ac:dyDescent="0.35">
      <c r="A376" s="363"/>
      <c r="B376" s="364"/>
      <c r="E376" s="364"/>
      <c r="H376" s="364"/>
      <c r="K376" s="363"/>
      <c r="L376" s="364"/>
      <c r="M376" s="363"/>
      <c r="N376" s="363"/>
      <c r="O376" s="363"/>
      <c r="P376" s="364"/>
      <c r="Q376" s="363"/>
      <c r="R376" s="363"/>
      <c r="S376" s="363"/>
      <c r="T376" s="363"/>
      <c r="U376" s="363"/>
      <c r="V376" s="363"/>
      <c r="W376" s="363"/>
      <c r="X376" s="363"/>
      <c r="Y376" s="363"/>
      <c r="Z376" s="363"/>
    </row>
    <row r="377" spans="1:26" ht="15.75" customHeight="1" x14ac:dyDescent="0.35">
      <c r="A377" s="363"/>
      <c r="B377" s="364"/>
      <c r="E377" s="364"/>
      <c r="H377" s="364"/>
      <c r="K377" s="363"/>
      <c r="L377" s="364"/>
      <c r="M377" s="363"/>
      <c r="N377" s="363"/>
      <c r="O377" s="363"/>
      <c r="P377" s="364"/>
      <c r="Q377" s="363"/>
      <c r="R377" s="363"/>
      <c r="S377" s="363"/>
      <c r="T377" s="363"/>
      <c r="U377" s="363"/>
      <c r="V377" s="363"/>
      <c r="W377" s="363"/>
      <c r="X377" s="363"/>
      <c r="Y377" s="363"/>
      <c r="Z377" s="363"/>
    </row>
    <row r="378" spans="1:26" ht="15.75" customHeight="1" x14ac:dyDescent="0.35">
      <c r="A378" s="363"/>
      <c r="B378" s="364"/>
      <c r="E378" s="364"/>
      <c r="H378" s="364"/>
      <c r="K378" s="363"/>
      <c r="L378" s="364"/>
      <c r="M378" s="363"/>
      <c r="N378" s="363"/>
      <c r="O378" s="363"/>
      <c r="P378" s="364"/>
      <c r="Q378" s="363"/>
      <c r="R378" s="363"/>
      <c r="S378" s="363"/>
      <c r="T378" s="363"/>
      <c r="U378" s="363"/>
      <c r="V378" s="363"/>
      <c r="W378" s="363"/>
      <c r="X378" s="363"/>
      <c r="Y378" s="363"/>
      <c r="Z378" s="363"/>
    </row>
    <row r="379" spans="1:26" ht="15.75" customHeight="1" x14ac:dyDescent="0.35">
      <c r="A379" s="363"/>
      <c r="B379" s="364"/>
      <c r="E379" s="364"/>
      <c r="H379" s="364"/>
      <c r="K379" s="363"/>
      <c r="L379" s="364"/>
      <c r="M379" s="363"/>
      <c r="N379" s="363"/>
      <c r="O379" s="363"/>
      <c r="P379" s="364"/>
      <c r="Q379" s="363"/>
      <c r="R379" s="363"/>
      <c r="S379" s="363"/>
      <c r="T379" s="363"/>
      <c r="U379" s="363"/>
      <c r="V379" s="363"/>
      <c r="W379" s="363"/>
      <c r="X379" s="363"/>
      <c r="Y379" s="363"/>
      <c r="Z379" s="363"/>
    </row>
    <row r="380" spans="1:26" ht="15.75" customHeight="1" x14ac:dyDescent="0.35">
      <c r="A380" s="363"/>
      <c r="B380" s="364"/>
      <c r="E380" s="364"/>
      <c r="H380" s="364"/>
      <c r="K380" s="363"/>
      <c r="L380" s="364"/>
      <c r="M380" s="363"/>
      <c r="N380" s="363"/>
      <c r="O380" s="363"/>
      <c r="P380" s="364"/>
      <c r="Q380" s="363"/>
      <c r="R380" s="363"/>
      <c r="S380" s="363"/>
      <c r="T380" s="363"/>
      <c r="U380" s="363"/>
      <c r="V380" s="363"/>
      <c r="W380" s="363"/>
      <c r="X380" s="363"/>
      <c r="Y380" s="363"/>
      <c r="Z380" s="363"/>
    </row>
    <row r="381" spans="1:26" ht="15.75" customHeight="1" x14ac:dyDescent="0.35">
      <c r="A381" s="363"/>
      <c r="B381" s="364"/>
      <c r="E381" s="364"/>
      <c r="H381" s="364"/>
      <c r="K381" s="363"/>
      <c r="L381" s="364"/>
      <c r="M381" s="363"/>
      <c r="N381" s="363"/>
      <c r="O381" s="363"/>
      <c r="P381" s="364"/>
      <c r="Q381" s="363"/>
      <c r="R381" s="363"/>
      <c r="S381" s="363"/>
      <c r="T381" s="363"/>
      <c r="U381" s="363"/>
      <c r="V381" s="363"/>
      <c r="W381" s="363"/>
      <c r="X381" s="363"/>
      <c r="Y381" s="363"/>
      <c r="Z381" s="363"/>
    </row>
    <row r="382" spans="1:26" ht="15.75" customHeight="1" x14ac:dyDescent="0.35">
      <c r="A382" s="363"/>
      <c r="B382" s="364"/>
      <c r="E382" s="364"/>
      <c r="H382" s="364"/>
      <c r="K382" s="363"/>
      <c r="L382" s="364"/>
      <c r="M382" s="363"/>
      <c r="N382" s="363"/>
      <c r="O382" s="363"/>
      <c r="P382" s="364"/>
      <c r="Q382" s="363"/>
      <c r="R382" s="363"/>
      <c r="S382" s="363"/>
      <c r="T382" s="363"/>
      <c r="U382" s="363"/>
      <c r="V382" s="363"/>
      <c r="W382" s="363"/>
      <c r="X382" s="363"/>
      <c r="Y382" s="363"/>
      <c r="Z382" s="363"/>
    </row>
    <row r="383" spans="1:26" ht="15.75" customHeight="1" x14ac:dyDescent="0.35">
      <c r="A383" s="363"/>
      <c r="B383" s="364"/>
      <c r="E383" s="364"/>
      <c r="H383" s="364"/>
      <c r="K383" s="363"/>
      <c r="L383" s="364"/>
      <c r="M383" s="363"/>
      <c r="N383" s="363"/>
      <c r="O383" s="363"/>
      <c r="P383" s="364"/>
      <c r="Q383" s="363"/>
      <c r="R383" s="363"/>
      <c r="S383" s="363"/>
      <c r="T383" s="363"/>
      <c r="U383" s="363"/>
      <c r="V383" s="363"/>
      <c r="W383" s="363"/>
      <c r="X383" s="363"/>
      <c r="Y383" s="363"/>
      <c r="Z383" s="363"/>
    </row>
    <row r="384" spans="1:26" ht="15.75" customHeight="1" x14ac:dyDescent="0.35">
      <c r="A384" s="363"/>
      <c r="B384" s="364"/>
      <c r="E384" s="364"/>
      <c r="H384" s="364"/>
      <c r="K384" s="363"/>
      <c r="L384" s="364"/>
      <c r="M384" s="363"/>
      <c r="N384" s="363"/>
      <c r="O384" s="363"/>
      <c r="P384" s="364"/>
      <c r="Q384" s="363"/>
      <c r="R384" s="363"/>
      <c r="S384" s="363"/>
      <c r="T384" s="363"/>
      <c r="U384" s="363"/>
      <c r="V384" s="363"/>
      <c r="W384" s="363"/>
      <c r="X384" s="363"/>
      <c r="Y384" s="363"/>
      <c r="Z384" s="363"/>
    </row>
    <row r="385" spans="1:26" ht="15.75" customHeight="1" x14ac:dyDescent="0.35">
      <c r="A385" s="363"/>
      <c r="B385" s="364"/>
      <c r="E385" s="364"/>
      <c r="H385" s="364"/>
      <c r="K385" s="363"/>
      <c r="L385" s="364"/>
      <c r="M385" s="363"/>
      <c r="N385" s="363"/>
      <c r="O385" s="363"/>
      <c r="P385" s="364"/>
      <c r="Q385" s="363"/>
      <c r="R385" s="363"/>
      <c r="S385" s="363"/>
      <c r="T385" s="363"/>
      <c r="U385" s="363"/>
      <c r="V385" s="363"/>
      <c r="W385" s="363"/>
      <c r="X385" s="363"/>
      <c r="Y385" s="363"/>
      <c r="Z385" s="363"/>
    </row>
    <row r="386" spans="1:26" ht="15.75" customHeight="1" x14ac:dyDescent="0.35">
      <c r="A386" s="363"/>
      <c r="B386" s="364"/>
      <c r="E386" s="364"/>
      <c r="H386" s="364"/>
      <c r="K386" s="363"/>
      <c r="L386" s="364"/>
      <c r="M386" s="363"/>
      <c r="N386" s="363"/>
      <c r="O386" s="363"/>
      <c r="P386" s="364"/>
      <c r="Q386" s="363"/>
      <c r="R386" s="363"/>
      <c r="S386" s="363"/>
      <c r="T386" s="363"/>
      <c r="U386" s="363"/>
      <c r="V386" s="363"/>
      <c r="W386" s="363"/>
      <c r="X386" s="363"/>
      <c r="Y386" s="363"/>
      <c r="Z386" s="363"/>
    </row>
    <row r="387" spans="1:26" ht="15.75" customHeight="1" x14ac:dyDescent="0.35">
      <c r="A387" s="363"/>
      <c r="B387" s="364"/>
      <c r="E387" s="364"/>
      <c r="H387" s="364"/>
      <c r="K387" s="363"/>
      <c r="L387" s="364"/>
      <c r="M387" s="363"/>
      <c r="N387" s="363"/>
      <c r="O387" s="363"/>
      <c r="P387" s="364"/>
      <c r="Q387" s="363"/>
      <c r="R387" s="363"/>
      <c r="S387" s="363"/>
      <c r="T387" s="363"/>
      <c r="U387" s="363"/>
      <c r="V387" s="363"/>
      <c r="W387" s="363"/>
      <c r="X387" s="363"/>
      <c r="Y387" s="363"/>
      <c r="Z387" s="363"/>
    </row>
    <row r="388" spans="1:26" ht="15.75" customHeight="1" x14ac:dyDescent="0.35">
      <c r="A388" s="363"/>
      <c r="B388" s="364"/>
      <c r="E388" s="364"/>
      <c r="H388" s="364"/>
      <c r="K388" s="363"/>
      <c r="L388" s="364"/>
      <c r="M388" s="363"/>
      <c r="N388" s="363"/>
      <c r="O388" s="363"/>
      <c r="P388" s="364"/>
      <c r="Q388" s="363"/>
      <c r="R388" s="363"/>
      <c r="S388" s="363"/>
      <c r="T388" s="363"/>
      <c r="U388" s="363"/>
      <c r="V388" s="363"/>
      <c r="W388" s="363"/>
      <c r="X388" s="363"/>
      <c r="Y388" s="363"/>
      <c r="Z388" s="363"/>
    </row>
    <row r="389" spans="1:26" ht="15.75" customHeight="1" x14ac:dyDescent="0.35">
      <c r="A389" s="363"/>
      <c r="B389" s="364"/>
      <c r="E389" s="364"/>
      <c r="H389" s="364"/>
      <c r="K389" s="363"/>
      <c r="L389" s="364"/>
      <c r="M389" s="363"/>
      <c r="N389" s="363"/>
      <c r="O389" s="363"/>
      <c r="P389" s="364"/>
      <c r="Q389" s="363"/>
      <c r="R389" s="363"/>
      <c r="S389" s="363"/>
      <c r="T389" s="363"/>
      <c r="U389" s="363"/>
      <c r="V389" s="363"/>
      <c r="W389" s="363"/>
      <c r="X389" s="363"/>
      <c r="Y389" s="363"/>
      <c r="Z389" s="363"/>
    </row>
    <row r="390" spans="1:26" ht="15.75" customHeight="1" x14ac:dyDescent="0.35">
      <c r="A390" s="363"/>
      <c r="B390" s="364"/>
      <c r="E390" s="364"/>
      <c r="H390" s="364"/>
      <c r="K390" s="363"/>
      <c r="L390" s="364"/>
      <c r="M390" s="363"/>
      <c r="N390" s="363"/>
      <c r="O390" s="363"/>
      <c r="P390" s="364"/>
      <c r="Q390" s="363"/>
      <c r="R390" s="363"/>
      <c r="S390" s="363"/>
      <c r="T390" s="363"/>
      <c r="U390" s="363"/>
      <c r="V390" s="363"/>
      <c r="W390" s="363"/>
      <c r="X390" s="363"/>
      <c r="Y390" s="363"/>
      <c r="Z390" s="363"/>
    </row>
    <row r="391" spans="1:26" ht="15.75" customHeight="1" x14ac:dyDescent="0.35">
      <c r="A391" s="363"/>
      <c r="B391" s="364"/>
      <c r="E391" s="364"/>
      <c r="H391" s="364"/>
      <c r="K391" s="363"/>
      <c r="L391" s="364"/>
      <c r="M391" s="363"/>
      <c r="N391" s="363"/>
      <c r="O391" s="363"/>
      <c r="P391" s="364"/>
      <c r="Q391" s="363"/>
      <c r="R391" s="363"/>
      <c r="S391" s="363"/>
      <c r="T391" s="363"/>
      <c r="U391" s="363"/>
      <c r="V391" s="363"/>
      <c r="W391" s="363"/>
      <c r="X391" s="363"/>
      <c r="Y391" s="363"/>
      <c r="Z391" s="363"/>
    </row>
    <row r="392" spans="1:26" ht="15.75" customHeight="1" x14ac:dyDescent="0.35">
      <c r="A392" s="363"/>
      <c r="B392" s="364"/>
      <c r="E392" s="364"/>
      <c r="H392" s="364"/>
      <c r="K392" s="363"/>
      <c r="L392" s="364"/>
      <c r="M392" s="363"/>
      <c r="N392" s="363"/>
      <c r="O392" s="363"/>
      <c r="P392" s="364"/>
      <c r="Q392" s="363"/>
      <c r="R392" s="363"/>
      <c r="S392" s="363"/>
      <c r="T392" s="363"/>
      <c r="U392" s="363"/>
      <c r="V392" s="363"/>
      <c r="W392" s="363"/>
      <c r="X392" s="363"/>
      <c r="Y392" s="363"/>
      <c r="Z392" s="363"/>
    </row>
    <row r="393" spans="1:26" ht="15.75" customHeight="1" x14ac:dyDescent="0.35">
      <c r="A393" s="363"/>
      <c r="B393" s="364"/>
      <c r="E393" s="364"/>
      <c r="H393" s="364"/>
      <c r="K393" s="363"/>
      <c r="L393" s="364"/>
      <c r="M393" s="363"/>
      <c r="N393" s="363"/>
      <c r="O393" s="363"/>
      <c r="P393" s="364"/>
      <c r="Q393" s="363"/>
      <c r="R393" s="363"/>
      <c r="S393" s="363"/>
      <c r="T393" s="363"/>
      <c r="U393" s="363"/>
      <c r="V393" s="363"/>
      <c r="W393" s="363"/>
      <c r="X393" s="363"/>
      <c r="Y393" s="363"/>
      <c r="Z393" s="363"/>
    </row>
    <row r="394" spans="1:26" ht="15.75" customHeight="1" x14ac:dyDescent="0.35">
      <c r="A394" s="363"/>
      <c r="B394" s="364"/>
      <c r="E394" s="364"/>
      <c r="H394" s="364"/>
      <c r="K394" s="363"/>
      <c r="L394" s="364"/>
      <c r="M394" s="363"/>
      <c r="N394" s="363"/>
      <c r="O394" s="363"/>
      <c r="P394" s="364"/>
      <c r="Q394" s="363"/>
      <c r="R394" s="363"/>
      <c r="S394" s="363"/>
      <c r="T394" s="363"/>
      <c r="U394" s="363"/>
      <c r="V394" s="363"/>
      <c r="W394" s="363"/>
      <c r="X394" s="363"/>
      <c r="Y394" s="363"/>
      <c r="Z394" s="363"/>
    </row>
    <row r="395" spans="1:26" ht="15.75" customHeight="1" x14ac:dyDescent="0.35">
      <c r="A395" s="363"/>
      <c r="B395" s="364"/>
      <c r="E395" s="364"/>
      <c r="H395" s="364"/>
      <c r="K395" s="363"/>
      <c r="L395" s="364"/>
      <c r="M395" s="363"/>
      <c r="N395" s="363"/>
      <c r="O395" s="363"/>
      <c r="P395" s="364"/>
      <c r="Q395" s="363"/>
      <c r="R395" s="363"/>
      <c r="S395" s="363"/>
      <c r="T395" s="363"/>
      <c r="U395" s="363"/>
      <c r="V395" s="363"/>
      <c r="W395" s="363"/>
      <c r="X395" s="363"/>
      <c r="Y395" s="363"/>
      <c r="Z395" s="363"/>
    </row>
    <row r="396" spans="1:26" ht="15.75" customHeight="1" x14ac:dyDescent="0.35">
      <c r="A396" s="363"/>
      <c r="B396" s="364"/>
      <c r="E396" s="364"/>
      <c r="H396" s="364"/>
      <c r="K396" s="363"/>
      <c r="L396" s="364"/>
      <c r="M396" s="363"/>
      <c r="N396" s="363"/>
      <c r="O396" s="363"/>
      <c r="P396" s="364"/>
      <c r="Q396" s="363"/>
      <c r="R396" s="363"/>
      <c r="S396" s="363"/>
      <c r="T396" s="363"/>
      <c r="U396" s="363"/>
      <c r="V396" s="363"/>
      <c r="W396" s="363"/>
      <c r="X396" s="363"/>
      <c r="Y396" s="363"/>
      <c r="Z396" s="363"/>
    </row>
    <row r="397" spans="1:26" ht="15.75" customHeight="1" x14ac:dyDescent="0.35">
      <c r="A397" s="363"/>
      <c r="B397" s="364"/>
      <c r="E397" s="364"/>
      <c r="H397" s="364"/>
      <c r="K397" s="363"/>
      <c r="L397" s="364"/>
      <c r="M397" s="363"/>
      <c r="N397" s="363"/>
      <c r="O397" s="363"/>
      <c r="P397" s="364"/>
      <c r="Q397" s="363"/>
      <c r="R397" s="363"/>
      <c r="S397" s="363"/>
      <c r="T397" s="363"/>
      <c r="U397" s="363"/>
      <c r="V397" s="363"/>
      <c r="W397" s="363"/>
      <c r="X397" s="363"/>
      <c r="Y397" s="363"/>
      <c r="Z397" s="363"/>
    </row>
    <row r="398" spans="1:26" ht="15.75" customHeight="1" x14ac:dyDescent="0.35">
      <c r="A398" s="363"/>
      <c r="B398" s="364"/>
      <c r="E398" s="364"/>
      <c r="H398" s="364"/>
      <c r="K398" s="363"/>
      <c r="L398" s="364"/>
      <c r="M398" s="363"/>
      <c r="N398" s="363"/>
      <c r="O398" s="363"/>
      <c r="P398" s="364"/>
      <c r="Q398" s="363"/>
      <c r="R398" s="363"/>
      <c r="S398" s="363"/>
      <c r="T398" s="363"/>
      <c r="U398" s="363"/>
      <c r="V398" s="363"/>
      <c r="W398" s="363"/>
      <c r="X398" s="363"/>
      <c r="Y398" s="363"/>
      <c r="Z398" s="363"/>
    </row>
    <row r="399" spans="1:26" ht="15.75" customHeight="1" x14ac:dyDescent="0.35">
      <c r="A399" s="363"/>
      <c r="B399" s="364"/>
      <c r="E399" s="364"/>
      <c r="H399" s="364"/>
      <c r="K399" s="363"/>
      <c r="L399" s="364"/>
      <c r="M399" s="363"/>
      <c r="N399" s="363"/>
      <c r="O399" s="363"/>
      <c r="P399" s="364"/>
      <c r="Q399" s="363"/>
      <c r="R399" s="363"/>
      <c r="S399" s="363"/>
      <c r="T399" s="363"/>
      <c r="U399" s="363"/>
      <c r="V399" s="363"/>
      <c r="W399" s="363"/>
      <c r="X399" s="363"/>
      <c r="Y399" s="363"/>
      <c r="Z399" s="363"/>
    </row>
    <row r="400" spans="1:26" ht="15.75" customHeight="1" x14ac:dyDescent="0.35">
      <c r="A400" s="363"/>
      <c r="B400" s="364"/>
      <c r="E400" s="364"/>
      <c r="H400" s="364"/>
      <c r="K400" s="363"/>
      <c r="L400" s="364"/>
      <c r="M400" s="363"/>
      <c r="N400" s="363"/>
      <c r="O400" s="363"/>
      <c r="P400" s="364"/>
      <c r="Q400" s="363"/>
      <c r="R400" s="363"/>
      <c r="S400" s="363"/>
      <c r="T400" s="363"/>
      <c r="U400" s="363"/>
      <c r="V400" s="363"/>
      <c r="W400" s="363"/>
      <c r="X400" s="363"/>
      <c r="Y400" s="363"/>
      <c r="Z400" s="363"/>
    </row>
    <row r="401" spans="1:26" ht="15.75" customHeight="1" x14ac:dyDescent="0.35">
      <c r="A401" s="363"/>
      <c r="B401" s="364"/>
      <c r="E401" s="364"/>
      <c r="H401" s="364"/>
      <c r="K401" s="363"/>
      <c r="L401" s="364"/>
      <c r="M401" s="363"/>
      <c r="N401" s="363"/>
      <c r="O401" s="363"/>
      <c r="P401" s="364"/>
      <c r="Q401" s="363"/>
      <c r="R401" s="363"/>
      <c r="S401" s="363"/>
      <c r="T401" s="363"/>
      <c r="U401" s="363"/>
      <c r="V401" s="363"/>
      <c r="W401" s="363"/>
      <c r="X401" s="363"/>
      <c r="Y401" s="363"/>
      <c r="Z401" s="363"/>
    </row>
    <row r="402" spans="1:26" ht="15.75" customHeight="1" x14ac:dyDescent="0.35">
      <c r="A402" s="363"/>
      <c r="B402" s="364"/>
      <c r="E402" s="364"/>
      <c r="H402" s="364"/>
      <c r="K402" s="363"/>
      <c r="L402" s="364"/>
      <c r="M402" s="363"/>
      <c r="N402" s="363"/>
      <c r="O402" s="363"/>
      <c r="P402" s="364"/>
      <c r="Q402" s="363"/>
      <c r="R402" s="363"/>
      <c r="S402" s="363"/>
      <c r="T402" s="363"/>
      <c r="U402" s="363"/>
      <c r="V402" s="363"/>
      <c r="W402" s="363"/>
      <c r="X402" s="363"/>
      <c r="Y402" s="363"/>
      <c r="Z402" s="363"/>
    </row>
    <row r="403" spans="1:26" ht="15.75" customHeight="1" x14ac:dyDescent="0.35">
      <c r="A403" s="363"/>
      <c r="B403" s="364"/>
      <c r="E403" s="364"/>
      <c r="H403" s="364"/>
      <c r="K403" s="363"/>
      <c r="L403" s="364"/>
      <c r="M403" s="363"/>
      <c r="N403" s="363"/>
      <c r="O403" s="363"/>
      <c r="P403" s="364"/>
      <c r="Q403" s="363"/>
      <c r="R403" s="363"/>
      <c r="S403" s="363"/>
      <c r="T403" s="363"/>
      <c r="U403" s="363"/>
      <c r="V403" s="363"/>
      <c r="W403" s="363"/>
      <c r="X403" s="363"/>
      <c r="Y403" s="363"/>
      <c r="Z403" s="363"/>
    </row>
    <row r="404" spans="1:26" ht="15.75" customHeight="1" x14ac:dyDescent="0.35">
      <c r="A404" s="363"/>
      <c r="B404" s="364"/>
      <c r="E404" s="364"/>
      <c r="H404" s="364"/>
      <c r="K404" s="363"/>
      <c r="L404" s="364"/>
      <c r="M404" s="363"/>
      <c r="N404" s="363"/>
      <c r="O404" s="363"/>
      <c r="P404" s="364"/>
      <c r="Q404" s="363"/>
      <c r="R404" s="363"/>
      <c r="S404" s="363"/>
      <c r="T404" s="363"/>
      <c r="U404" s="363"/>
      <c r="V404" s="363"/>
      <c r="W404" s="363"/>
      <c r="X404" s="363"/>
      <c r="Y404" s="363"/>
      <c r="Z404" s="363"/>
    </row>
    <row r="405" spans="1:26" ht="15.75" customHeight="1" x14ac:dyDescent="0.35">
      <c r="A405" s="363"/>
      <c r="B405" s="364"/>
      <c r="E405" s="364"/>
      <c r="H405" s="364"/>
      <c r="K405" s="363"/>
      <c r="L405" s="364"/>
      <c r="M405" s="363"/>
      <c r="N405" s="363"/>
      <c r="O405" s="363"/>
      <c r="P405" s="364"/>
      <c r="Q405" s="363"/>
      <c r="R405" s="363"/>
      <c r="S405" s="363"/>
      <c r="T405" s="363"/>
      <c r="U405" s="363"/>
      <c r="V405" s="363"/>
      <c r="W405" s="363"/>
      <c r="X405" s="363"/>
      <c r="Y405" s="363"/>
      <c r="Z405" s="363"/>
    </row>
    <row r="406" spans="1:26" ht="15.75" customHeight="1" x14ac:dyDescent="0.35">
      <c r="A406" s="363"/>
      <c r="B406" s="364"/>
      <c r="E406" s="364"/>
      <c r="H406" s="364"/>
      <c r="K406" s="363"/>
      <c r="L406" s="364"/>
      <c r="M406" s="363"/>
      <c r="N406" s="363"/>
      <c r="O406" s="363"/>
      <c r="P406" s="364"/>
      <c r="Q406" s="363"/>
      <c r="R406" s="363"/>
      <c r="S406" s="363"/>
      <c r="T406" s="363"/>
      <c r="U406" s="363"/>
      <c r="V406" s="363"/>
      <c r="W406" s="363"/>
      <c r="X406" s="363"/>
      <c r="Y406" s="363"/>
      <c r="Z406" s="363"/>
    </row>
    <row r="407" spans="1:26" ht="15.75" customHeight="1" x14ac:dyDescent="0.35">
      <c r="A407" s="363"/>
      <c r="B407" s="364"/>
      <c r="E407" s="364"/>
      <c r="H407" s="364"/>
      <c r="K407" s="363"/>
      <c r="L407" s="364"/>
      <c r="M407" s="363"/>
      <c r="N407" s="363"/>
      <c r="O407" s="363"/>
      <c r="P407" s="364"/>
      <c r="Q407" s="363"/>
      <c r="R407" s="363"/>
      <c r="S407" s="363"/>
      <c r="T407" s="363"/>
      <c r="U407" s="363"/>
      <c r="V407" s="363"/>
      <c r="W407" s="363"/>
      <c r="X407" s="363"/>
      <c r="Y407" s="363"/>
      <c r="Z407" s="363"/>
    </row>
    <row r="408" spans="1:26" ht="15.75" customHeight="1" x14ac:dyDescent="0.35">
      <c r="A408" s="363"/>
      <c r="B408" s="364"/>
      <c r="E408" s="364"/>
      <c r="H408" s="364"/>
      <c r="K408" s="363"/>
      <c r="L408" s="364"/>
      <c r="M408" s="363"/>
      <c r="N408" s="363"/>
      <c r="O408" s="363"/>
      <c r="P408" s="364"/>
      <c r="Q408" s="363"/>
      <c r="R408" s="363"/>
      <c r="S408" s="363"/>
      <c r="T408" s="363"/>
      <c r="U408" s="363"/>
      <c r="V408" s="363"/>
      <c r="W408" s="363"/>
      <c r="X408" s="363"/>
      <c r="Y408" s="363"/>
      <c r="Z408" s="363"/>
    </row>
    <row r="409" spans="1:26" ht="15.75" customHeight="1" x14ac:dyDescent="0.35">
      <c r="A409" s="363"/>
      <c r="B409" s="364"/>
      <c r="E409" s="364"/>
      <c r="H409" s="364"/>
      <c r="K409" s="363"/>
      <c r="L409" s="364"/>
      <c r="M409" s="363"/>
      <c r="N409" s="363"/>
      <c r="O409" s="363"/>
      <c r="P409" s="364"/>
      <c r="Q409" s="363"/>
      <c r="R409" s="363"/>
      <c r="S409" s="363"/>
      <c r="T409" s="363"/>
      <c r="U409" s="363"/>
      <c r="V409" s="363"/>
      <c r="W409" s="363"/>
      <c r="X409" s="363"/>
      <c r="Y409" s="363"/>
      <c r="Z409" s="363"/>
    </row>
    <row r="410" spans="1:26" ht="15.75" customHeight="1" x14ac:dyDescent="0.35">
      <c r="A410" s="363"/>
      <c r="B410" s="364"/>
      <c r="E410" s="364"/>
      <c r="H410" s="364"/>
      <c r="K410" s="363"/>
      <c r="L410" s="364"/>
      <c r="M410" s="363"/>
      <c r="N410" s="363"/>
      <c r="O410" s="363"/>
      <c r="P410" s="364"/>
      <c r="Q410" s="363"/>
      <c r="R410" s="363"/>
      <c r="S410" s="363"/>
      <c r="T410" s="363"/>
      <c r="U410" s="363"/>
      <c r="V410" s="363"/>
      <c r="W410" s="363"/>
      <c r="X410" s="363"/>
      <c r="Y410" s="363"/>
      <c r="Z410" s="363"/>
    </row>
    <row r="411" spans="1:26" ht="15.75" customHeight="1" x14ac:dyDescent="0.35">
      <c r="A411" s="363"/>
      <c r="B411" s="364"/>
      <c r="E411" s="364"/>
      <c r="H411" s="364"/>
      <c r="K411" s="363"/>
      <c r="L411" s="364"/>
      <c r="M411" s="363"/>
      <c r="N411" s="363"/>
      <c r="O411" s="363"/>
      <c r="P411" s="364"/>
      <c r="Q411" s="363"/>
      <c r="R411" s="363"/>
      <c r="S411" s="363"/>
      <c r="T411" s="363"/>
      <c r="U411" s="363"/>
      <c r="V411" s="363"/>
      <c r="W411" s="363"/>
      <c r="X411" s="363"/>
      <c r="Y411" s="363"/>
      <c r="Z411" s="363"/>
    </row>
    <row r="412" spans="1:26" ht="15.75" customHeight="1" x14ac:dyDescent="0.35">
      <c r="A412" s="363"/>
      <c r="B412" s="364"/>
      <c r="E412" s="364"/>
      <c r="H412" s="364"/>
      <c r="K412" s="363"/>
      <c r="L412" s="364"/>
      <c r="M412" s="363"/>
      <c r="N412" s="363"/>
      <c r="O412" s="363"/>
      <c r="P412" s="364"/>
      <c r="Q412" s="363"/>
      <c r="R412" s="363"/>
      <c r="S412" s="363"/>
      <c r="T412" s="363"/>
      <c r="U412" s="363"/>
      <c r="V412" s="363"/>
      <c r="W412" s="363"/>
      <c r="X412" s="363"/>
      <c r="Y412" s="363"/>
      <c r="Z412" s="363"/>
    </row>
    <row r="413" spans="1:26" ht="15.75" customHeight="1" x14ac:dyDescent="0.35">
      <c r="A413" s="363"/>
      <c r="B413" s="364"/>
      <c r="E413" s="364"/>
      <c r="H413" s="364"/>
      <c r="K413" s="363"/>
      <c r="L413" s="364"/>
      <c r="M413" s="363"/>
      <c r="N413" s="363"/>
      <c r="O413" s="363"/>
      <c r="P413" s="364"/>
      <c r="Q413" s="363"/>
      <c r="R413" s="363"/>
      <c r="S413" s="363"/>
      <c r="T413" s="363"/>
      <c r="U413" s="363"/>
      <c r="V413" s="363"/>
      <c r="W413" s="363"/>
      <c r="X413" s="363"/>
      <c r="Y413" s="363"/>
      <c r="Z413" s="363"/>
    </row>
    <row r="414" spans="1:26" ht="15.75" customHeight="1" x14ac:dyDescent="0.35">
      <c r="A414" s="363"/>
      <c r="B414" s="364"/>
      <c r="E414" s="364"/>
      <c r="H414" s="364"/>
      <c r="K414" s="363"/>
      <c r="L414" s="364"/>
      <c r="M414" s="363"/>
      <c r="N414" s="363"/>
      <c r="O414" s="363"/>
      <c r="P414" s="364"/>
      <c r="Q414" s="363"/>
      <c r="R414" s="363"/>
      <c r="S414" s="363"/>
      <c r="T414" s="363"/>
      <c r="U414" s="363"/>
      <c r="V414" s="363"/>
      <c r="W414" s="363"/>
      <c r="X414" s="363"/>
      <c r="Y414" s="363"/>
      <c r="Z414" s="363"/>
    </row>
    <row r="415" spans="1:26" ht="15.75" customHeight="1" x14ac:dyDescent="0.35">
      <c r="A415" s="363"/>
      <c r="B415" s="364"/>
      <c r="E415" s="364"/>
      <c r="H415" s="364"/>
      <c r="K415" s="363"/>
      <c r="L415" s="364"/>
      <c r="M415" s="363"/>
      <c r="N415" s="363"/>
      <c r="O415" s="363"/>
      <c r="P415" s="364"/>
      <c r="Q415" s="363"/>
      <c r="R415" s="363"/>
      <c r="S415" s="363"/>
      <c r="T415" s="363"/>
      <c r="U415" s="363"/>
      <c r="V415" s="363"/>
      <c r="W415" s="363"/>
      <c r="X415" s="363"/>
      <c r="Y415" s="363"/>
      <c r="Z415" s="363"/>
    </row>
    <row r="416" spans="1:26" ht="15.75" customHeight="1" x14ac:dyDescent="0.35">
      <c r="A416" s="363"/>
      <c r="B416" s="364"/>
      <c r="E416" s="364"/>
      <c r="H416" s="364"/>
      <c r="K416" s="363"/>
      <c r="L416" s="364"/>
      <c r="M416" s="363"/>
      <c r="N416" s="363"/>
      <c r="O416" s="363"/>
      <c r="P416" s="364"/>
      <c r="Q416" s="363"/>
      <c r="R416" s="363"/>
      <c r="S416" s="363"/>
      <c r="T416" s="363"/>
      <c r="U416" s="363"/>
      <c r="V416" s="363"/>
      <c r="W416" s="363"/>
      <c r="X416" s="363"/>
      <c r="Y416" s="363"/>
      <c r="Z416" s="363"/>
    </row>
    <row r="417" spans="1:26" ht="15.75" customHeight="1" x14ac:dyDescent="0.35">
      <c r="A417" s="363"/>
      <c r="B417" s="364"/>
      <c r="E417" s="364"/>
      <c r="H417" s="364"/>
      <c r="K417" s="363"/>
      <c r="L417" s="364"/>
      <c r="M417" s="363"/>
      <c r="N417" s="363"/>
      <c r="O417" s="363"/>
      <c r="P417" s="364"/>
      <c r="Q417" s="363"/>
      <c r="R417" s="363"/>
      <c r="S417" s="363"/>
      <c r="T417" s="363"/>
      <c r="U417" s="363"/>
      <c r="V417" s="363"/>
      <c r="W417" s="363"/>
      <c r="X417" s="363"/>
      <c r="Y417" s="363"/>
      <c r="Z417" s="363"/>
    </row>
    <row r="418" spans="1:26" ht="15.75" customHeight="1" x14ac:dyDescent="0.35">
      <c r="A418" s="363"/>
      <c r="B418" s="364"/>
      <c r="E418" s="364"/>
      <c r="H418" s="364"/>
      <c r="K418" s="363"/>
      <c r="L418" s="364"/>
      <c r="M418" s="363"/>
      <c r="N418" s="363"/>
      <c r="O418" s="363"/>
      <c r="P418" s="364"/>
      <c r="Q418" s="363"/>
      <c r="R418" s="363"/>
      <c r="S418" s="363"/>
      <c r="T418" s="363"/>
      <c r="U418" s="363"/>
      <c r="V418" s="363"/>
      <c r="W418" s="363"/>
      <c r="X418" s="363"/>
      <c r="Y418" s="363"/>
      <c r="Z418" s="363"/>
    </row>
    <row r="419" spans="1:26" ht="15.75" customHeight="1" x14ac:dyDescent="0.35">
      <c r="A419" s="363"/>
      <c r="B419" s="364"/>
      <c r="E419" s="364"/>
      <c r="H419" s="364"/>
      <c r="K419" s="363"/>
      <c r="L419" s="364"/>
      <c r="M419" s="363"/>
      <c r="N419" s="363"/>
      <c r="O419" s="363"/>
      <c r="P419" s="364"/>
      <c r="Q419" s="363"/>
      <c r="R419" s="363"/>
      <c r="S419" s="363"/>
      <c r="T419" s="363"/>
      <c r="U419" s="363"/>
      <c r="V419" s="363"/>
      <c r="W419" s="363"/>
      <c r="X419" s="363"/>
      <c r="Y419" s="363"/>
      <c r="Z419" s="363"/>
    </row>
    <row r="420" spans="1:26" ht="15.75" customHeight="1" x14ac:dyDescent="0.35">
      <c r="A420" s="363"/>
      <c r="B420" s="364"/>
      <c r="E420" s="364"/>
      <c r="H420" s="364"/>
      <c r="K420" s="363"/>
      <c r="L420" s="364"/>
      <c r="M420" s="363"/>
      <c r="N420" s="363"/>
      <c r="O420" s="363"/>
      <c r="P420" s="364"/>
      <c r="Q420" s="363"/>
      <c r="R420" s="363"/>
      <c r="S420" s="363"/>
      <c r="T420" s="363"/>
      <c r="U420" s="363"/>
      <c r="V420" s="363"/>
      <c r="W420" s="363"/>
      <c r="X420" s="363"/>
      <c r="Y420" s="363"/>
      <c r="Z420" s="363"/>
    </row>
    <row r="421" spans="1:26" ht="15.75" customHeight="1" x14ac:dyDescent="0.35">
      <c r="A421" s="363"/>
      <c r="B421" s="364"/>
      <c r="E421" s="364"/>
      <c r="H421" s="364"/>
      <c r="K421" s="363"/>
      <c r="L421" s="364"/>
      <c r="M421" s="363"/>
      <c r="N421" s="363"/>
      <c r="O421" s="363"/>
      <c r="P421" s="364"/>
      <c r="Q421" s="363"/>
      <c r="R421" s="363"/>
      <c r="S421" s="363"/>
      <c r="T421" s="363"/>
      <c r="U421" s="363"/>
      <c r="V421" s="363"/>
      <c r="W421" s="363"/>
      <c r="X421" s="363"/>
      <c r="Y421" s="363"/>
      <c r="Z421" s="363"/>
    </row>
    <row r="422" spans="1:26" ht="15.75" customHeight="1" x14ac:dyDescent="0.35">
      <c r="A422" s="363"/>
      <c r="B422" s="364"/>
      <c r="E422" s="364"/>
      <c r="H422" s="364"/>
      <c r="K422" s="363"/>
      <c r="L422" s="364"/>
      <c r="M422" s="363"/>
      <c r="N422" s="363"/>
      <c r="O422" s="363"/>
      <c r="P422" s="364"/>
      <c r="Q422" s="363"/>
      <c r="R422" s="363"/>
      <c r="S422" s="363"/>
      <c r="T422" s="363"/>
      <c r="U422" s="363"/>
      <c r="V422" s="363"/>
      <c r="W422" s="363"/>
      <c r="X422" s="363"/>
      <c r="Y422" s="363"/>
      <c r="Z422" s="363"/>
    </row>
    <row r="423" spans="1:26" ht="15.75" customHeight="1" x14ac:dyDescent="0.35">
      <c r="A423" s="363"/>
      <c r="B423" s="364"/>
      <c r="E423" s="364"/>
      <c r="H423" s="364"/>
      <c r="K423" s="363"/>
      <c r="L423" s="364"/>
      <c r="M423" s="363"/>
      <c r="N423" s="363"/>
      <c r="O423" s="363"/>
      <c r="P423" s="364"/>
      <c r="Q423" s="363"/>
      <c r="R423" s="363"/>
      <c r="S423" s="363"/>
      <c r="T423" s="363"/>
      <c r="U423" s="363"/>
      <c r="V423" s="363"/>
      <c r="W423" s="363"/>
      <c r="X423" s="363"/>
      <c r="Y423" s="363"/>
      <c r="Z423" s="363"/>
    </row>
    <row r="424" spans="1:26" ht="15.75" customHeight="1" x14ac:dyDescent="0.35">
      <c r="A424" s="363"/>
      <c r="B424" s="364"/>
      <c r="E424" s="364"/>
      <c r="H424" s="364"/>
      <c r="K424" s="363"/>
      <c r="L424" s="364"/>
      <c r="M424" s="363"/>
      <c r="N424" s="363"/>
      <c r="O424" s="363"/>
      <c r="P424" s="364"/>
      <c r="Q424" s="363"/>
      <c r="R424" s="363"/>
      <c r="S424" s="363"/>
      <c r="T424" s="363"/>
      <c r="U424" s="363"/>
      <c r="V424" s="363"/>
      <c r="W424" s="363"/>
      <c r="X424" s="363"/>
      <c r="Y424" s="363"/>
      <c r="Z424" s="363"/>
    </row>
    <row r="425" spans="1:26" ht="15.75" customHeight="1" x14ac:dyDescent="0.35">
      <c r="A425" s="363"/>
      <c r="B425" s="364"/>
      <c r="E425" s="364"/>
      <c r="H425" s="364"/>
      <c r="K425" s="363"/>
      <c r="L425" s="364"/>
      <c r="M425" s="363"/>
      <c r="N425" s="363"/>
      <c r="O425" s="363"/>
      <c r="P425" s="364"/>
      <c r="Q425" s="363"/>
      <c r="R425" s="363"/>
      <c r="S425" s="363"/>
      <c r="T425" s="363"/>
      <c r="U425" s="363"/>
      <c r="V425" s="363"/>
      <c r="W425" s="363"/>
      <c r="X425" s="363"/>
      <c r="Y425" s="363"/>
      <c r="Z425" s="363"/>
    </row>
    <row r="426" spans="1:26" ht="15.75" customHeight="1" x14ac:dyDescent="0.35">
      <c r="A426" s="363"/>
      <c r="B426" s="364"/>
      <c r="E426" s="364"/>
      <c r="H426" s="364"/>
      <c r="K426" s="363"/>
      <c r="L426" s="364"/>
      <c r="M426" s="363"/>
      <c r="N426" s="363"/>
      <c r="O426" s="363"/>
      <c r="P426" s="364"/>
      <c r="Q426" s="363"/>
      <c r="R426" s="363"/>
      <c r="S426" s="363"/>
      <c r="T426" s="363"/>
      <c r="U426" s="363"/>
      <c r="V426" s="363"/>
      <c r="W426" s="363"/>
      <c r="X426" s="363"/>
      <c r="Y426" s="363"/>
      <c r="Z426" s="363"/>
    </row>
    <row r="427" spans="1:26" ht="15.75" customHeight="1" x14ac:dyDescent="0.35">
      <c r="A427" s="363"/>
      <c r="B427" s="364"/>
      <c r="E427" s="364"/>
      <c r="H427" s="364"/>
      <c r="K427" s="363"/>
      <c r="L427" s="364"/>
      <c r="M427" s="363"/>
      <c r="N427" s="363"/>
      <c r="O427" s="363"/>
      <c r="P427" s="364"/>
      <c r="Q427" s="363"/>
      <c r="R427" s="363"/>
      <c r="S427" s="363"/>
      <c r="T427" s="363"/>
      <c r="U427" s="363"/>
      <c r="V427" s="363"/>
      <c r="W427" s="363"/>
      <c r="X427" s="363"/>
      <c r="Y427" s="363"/>
      <c r="Z427" s="363"/>
    </row>
    <row r="428" spans="1:26" ht="15.75" customHeight="1" x14ac:dyDescent="0.35">
      <c r="A428" s="363"/>
      <c r="B428" s="364"/>
      <c r="E428" s="364"/>
      <c r="H428" s="364"/>
      <c r="K428" s="363"/>
      <c r="L428" s="364"/>
      <c r="M428" s="363"/>
      <c r="N428" s="363"/>
      <c r="O428" s="363"/>
      <c r="P428" s="364"/>
      <c r="Q428" s="363"/>
      <c r="R428" s="363"/>
      <c r="S428" s="363"/>
      <c r="T428" s="363"/>
      <c r="U428" s="363"/>
      <c r="V428" s="363"/>
      <c r="W428" s="363"/>
      <c r="X428" s="363"/>
      <c r="Y428" s="363"/>
      <c r="Z428" s="363"/>
    </row>
    <row r="429" spans="1:26" ht="15.75" customHeight="1" x14ac:dyDescent="0.35">
      <c r="A429" s="363"/>
      <c r="B429" s="364"/>
      <c r="E429" s="364"/>
      <c r="H429" s="364"/>
      <c r="K429" s="363"/>
      <c r="L429" s="364"/>
      <c r="M429" s="363"/>
      <c r="N429" s="363"/>
      <c r="O429" s="363"/>
      <c r="P429" s="364"/>
      <c r="Q429" s="363"/>
      <c r="R429" s="363"/>
      <c r="S429" s="363"/>
      <c r="T429" s="363"/>
      <c r="U429" s="363"/>
      <c r="V429" s="363"/>
      <c r="W429" s="363"/>
      <c r="X429" s="363"/>
      <c r="Y429" s="363"/>
      <c r="Z429" s="363"/>
    </row>
    <row r="430" spans="1:26" ht="15.75" customHeight="1" x14ac:dyDescent="0.35">
      <c r="A430" s="363"/>
      <c r="B430" s="364"/>
      <c r="E430" s="364"/>
      <c r="H430" s="364"/>
      <c r="K430" s="363"/>
      <c r="L430" s="364"/>
      <c r="M430" s="363"/>
      <c r="N430" s="363"/>
      <c r="O430" s="363"/>
      <c r="P430" s="364"/>
      <c r="Q430" s="363"/>
      <c r="R430" s="363"/>
      <c r="S430" s="363"/>
      <c r="T430" s="363"/>
      <c r="U430" s="363"/>
      <c r="V430" s="363"/>
      <c r="W430" s="363"/>
      <c r="X430" s="363"/>
      <c r="Y430" s="363"/>
      <c r="Z430" s="363"/>
    </row>
    <row r="431" spans="1:26" ht="15.75" customHeight="1" x14ac:dyDescent="0.35">
      <c r="A431" s="363"/>
      <c r="B431" s="364"/>
      <c r="E431" s="364"/>
      <c r="H431" s="364"/>
      <c r="K431" s="363"/>
      <c r="L431" s="364"/>
      <c r="M431" s="363"/>
      <c r="N431" s="363"/>
      <c r="O431" s="363"/>
      <c r="P431" s="364"/>
      <c r="Q431" s="363"/>
      <c r="R431" s="363"/>
      <c r="S431" s="363"/>
      <c r="T431" s="363"/>
      <c r="U431" s="363"/>
      <c r="V431" s="363"/>
      <c r="W431" s="363"/>
      <c r="X431" s="363"/>
      <c r="Y431" s="363"/>
      <c r="Z431" s="363"/>
    </row>
    <row r="432" spans="1:26" ht="15.75" customHeight="1" x14ac:dyDescent="0.35">
      <c r="A432" s="363"/>
      <c r="B432" s="364"/>
      <c r="E432" s="364"/>
      <c r="H432" s="364"/>
      <c r="K432" s="363"/>
      <c r="L432" s="364"/>
      <c r="M432" s="363"/>
      <c r="N432" s="363"/>
      <c r="O432" s="363"/>
      <c r="P432" s="364"/>
      <c r="Q432" s="363"/>
      <c r="R432" s="363"/>
      <c r="S432" s="363"/>
      <c r="T432" s="363"/>
      <c r="U432" s="363"/>
      <c r="V432" s="363"/>
      <c r="W432" s="363"/>
      <c r="X432" s="363"/>
      <c r="Y432" s="363"/>
      <c r="Z432" s="363"/>
    </row>
    <row r="433" spans="1:26" ht="15.75" customHeight="1" x14ac:dyDescent="0.35">
      <c r="A433" s="363"/>
      <c r="B433" s="364"/>
      <c r="E433" s="364"/>
      <c r="H433" s="364"/>
      <c r="K433" s="363"/>
      <c r="L433" s="364"/>
      <c r="M433" s="363"/>
      <c r="N433" s="363"/>
      <c r="O433" s="363"/>
      <c r="P433" s="364"/>
      <c r="Q433" s="363"/>
      <c r="R433" s="363"/>
      <c r="S433" s="363"/>
      <c r="T433" s="363"/>
      <c r="U433" s="363"/>
      <c r="V433" s="363"/>
      <c r="W433" s="363"/>
      <c r="X433" s="363"/>
      <c r="Y433" s="363"/>
      <c r="Z433" s="363"/>
    </row>
    <row r="434" spans="1:26" ht="15.75" customHeight="1" x14ac:dyDescent="0.35">
      <c r="A434" s="363"/>
      <c r="B434" s="364"/>
      <c r="E434" s="364"/>
      <c r="H434" s="364"/>
      <c r="K434" s="363"/>
      <c r="L434" s="364"/>
      <c r="M434" s="363"/>
      <c r="N434" s="363"/>
      <c r="O434" s="363"/>
      <c r="P434" s="364"/>
      <c r="Q434" s="363"/>
      <c r="R434" s="363"/>
      <c r="S434" s="363"/>
      <c r="T434" s="363"/>
      <c r="U434" s="363"/>
      <c r="V434" s="363"/>
      <c r="W434" s="363"/>
      <c r="X434" s="363"/>
      <c r="Y434" s="363"/>
      <c r="Z434" s="363"/>
    </row>
    <row r="435" spans="1:26" ht="15.75" customHeight="1" x14ac:dyDescent="0.35">
      <c r="A435" s="363"/>
      <c r="B435" s="364"/>
      <c r="E435" s="364"/>
      <c r="H435" s="364"/>
      <c r="K435" s="363"/>
      <c r="L435" s="364"/>
      <c r="M435" s="363"/>
      <c r="N435" s="363"/>
      <c r="O435" s="363"/>
      <c r="P435" s="364"/>
      <c r="Q435" s="363"/>
      <c r="R435" s="363"/>
      <c r="S435" s="363"/>
      <c r="T435" s="363"/>
      <c r="U435" s="363"/>
      <c r="V435" s="363"/>
      <c r="W435" s="363"/>
      <c r="X435" s="363"/>
      <c r="Y435" s="363"/>
      <c r="Z435" s="363"/>
    </row>
    <row r="436" spans="1:26" ht="15.75" customHeight="1" x14ac:dyDescent="0.35">
      <c r="A436" s="363"/>
      <c r="B436" s="364"/>
      <c r="E436" s="364"/>
      <c r="H436" s="364"/>
      <c r="K436" s="363"/>
      <c r="L436" s="364"/>
      <c r="M436" s="363"/>
      <c r="N436" s="363"/>
      <c r="O436" s="363"/>
      <c r="P436" s="364"/>
      <c r="Q436" s="363"/>
      <c r="R436" s="363"/>
      <c r="S436" s="363"/>
      <c r="T436" s="363"/>
      <c r="U436" s="363"/>
      <c r="V436" s="363"/>
      <c r="W436" s="363"/>
      <c r="X436" s="363"/>
      <c r="Y436" s="363"/>
      <c r="Z436" s="363"/>
    </row>
    <row r="437" spans="1:26" ht="15.75" customHeight="1" x14ac:dyDescent="0.35">
      <c r="A437" s="363"/>
      <c r="B437" s="364"/>
      <c r="E437" s="364"/>
      <c r="H437" s="364"/>
      <c r="K437" s="363"/>
      <c r="L437" s="364"/>
      <c r="M437" s="363"/>
      <c r="N437" s="363"/>
      <c r="O437" s="363"/>
      <c r="P437" s="364"/>
      <c r="Q437" s="363"/>
      <c r="R437" s="363"/>
      <c r="S437" s="363"/>
      <c r="T437" s="363"/>
      <c r="U437" s="363"/>
      <c r="V437" s="363"/>
      <c r="W437" s="363"/>
      <c r="X437" s="363"/>
      <c r="Y437" s="363"/>
      <c r="Z437" s="363"/>
    </row>
    <row r="438" spans="1:26" ht="15.75" customHeight="1" x14ac:dyDescent="0.35">
      <c r="A438" s="363"/>
      <c r="B438" s="364"/>
      <c r="E438" s="364"/>
      <c r="H438" s="364"/>
      <c r="K438" s="363"/>
      <c r="L438" s="364"/>
      <c r="M438" s="363"/>
      <c r="N438" s="363"/>
      <c r="O438" s="363"/>
      <c r="P438" s="364"/>
      <c r="Q438" s="363"/>
      <c r="R438" s="363"/>
      <c r="S438" s="363"/>
      <c r="T438" s="363"/>
      <c r="U438" s="363"/>
      <c r="V438" s="363"/>
      <c r="W438" s="363"/>
      <c r="X438" s="363"/>
      <c r="Y438" s="363"/>
      <c r="Z438" s="363"/>
    </row>
    <row r="439" spans="1:26" ht="15.75" customHeight="1" x14ac:dyDescent="0.35">
      <c r="A439" s="363"/>
      <c r="B439" s="364"/>
      <c r="E439" s="364"/>
      <c r="H439" s="364"/>
      <c r="K439" s="363"/>
      <c r="L439" s="364"/>
      <c r="M439" s="363"/>
      <c r="N439" s="363"/>
      <c r="O439" s="363"/>
      <c r="P439" s="364"/>
      <c r="Q439" s="363"/>
      <c r="R439" s="363"/>
      <c r="S439" s="363"/>
      <c r="T439" s="363"/>
      <c r="U439" s="363"/>
      <c r="V439" s="363"/>
      <c r="W439" s="363"/>
      <c r="X439" s="363"/>
      <c r="Y439" s="363"/>
      <c r="Z439" s="363"/>
    </row>
    <row r="440" spans="1:26" ht="15.75" customHeight="1" x14ac:dyDescent="0.35">
      <c r="A440" s="363"/>
      <c r="B440" s="364"/>
      <c r="E440" s="364"/>
      <c r="H440" s="364"/>
      <c r="K440" s="363"/>
      <c r="L440" s="364"/>
      <c r="M440" s="363"/>
      <c r="N440" s="363"/>
      <c r="O440" s="363"/>
      <c r="P440" s="364"/>
      <c r="Q440" s="363"/>
      <c r="R440" s="363"/>
      <c r="S440" s="363"/>
      <c r="T440" s="363"/>
      <c r="U440" s="363"/>
      <c r="V440" s="363"/>
      <c r="W440" s="363"/>
      <c r="X440" s="363"/>
      <c r="Y440" s="363"/>
      <c r="Z440" s="363"/>
    </row>
    <row r="441" spans="1:26" ht="15.75" customHeight="1" x14ac:dyDescent="0.35">
      <c r="A441" s="363"/>
      <c r="B441" s="364"/>
      <c r="E441" s="364"/>
      <c r="H441" s="364"/>
      <c r="K441" s="363"/>
      <c r="L441" s="364"/>
      <c r="M441" s="363"/>
      <c r="N441" s="363"/>
      <c r="O441" s="363"/>
      <c r="P441" s="364"/>
      <c r="Q441" s="363"/>
      <c r="R441" s="363"/>
      <c r="S441" s="363"/>
      <c r="T441" s="363"/>
      <c r="U441" s="363"/>
      <c r="V441" s="363"/>
      <c r="W441" s="363"/>
      <c r="X441" s="363"/>
      <c r="Y441" s="363"/>
      <c r="Z441" s="363"/>
    </row>
    <row r="442" spans="1:26" ht="15.75" customHeight="1" x14ac:dyDescent="0.35">
      <c r="A442" s="363"/>
      <c r="B442" s="364"/>
      <c r="E442" s="364"/>
      <c r="H442" s="364"/>
      <c r="K442" s="363"/>
      <c r="L442" s="364"/>
      <c r="M442" s="363"/>
      <c r="N442" s="363"/>
      <c r="O442" s="363"/>
      <c r="P442" s="364"/>
      <c r="Q442" s="363"/>
      <c r="R442" s="363"/>
      <c r="S442" s="363"/>
      <c r="T442" s="363"/>
      <c r="U442" s="363"/>
      <c r="V442" s="363"/>
      <c r="W442" s="363"/>
      <c r="X442" s="363"/>
      <c r="Y442" s="363"/>
      <c r="Z442" s="363"/>
    </row>
    <row r="443" spans="1:26" ht="15.75" customHeight="1" x14ac:dyDescent="0.35">
      <c r="A443" s="363"/>
      <c r="B443" s="364"/>
      <c r="E443" s="364"/>
      <c r="H443" s="364"/>
      <c r="K443" s="363"/>
      <c r="L443" s="364"/>
      <c r="M443" s="363"/>
      <c r="N443" s="363"/>
      <c r="O443" s="363"/>
      <c r="P443" s="364"/>
      <c r="Q443" s="363"/>
      <c r="R443" s="363"/>
      <c r="S443" s="363"/>
      <c r="T443" s="363"/>
      <c r="U443" s="363"/>
      <c r="V443" s="363"/>
      <c r="W443" s="363"/>
      <c r="X443" s="363"/>
      <c r="Y443" s="363"/>
      <c r="Z443" s="363"/>
    </row>
    <row r="444" spans="1:26" ht="15.75" customHeight="1" x14ac:dyDescent="0.35">
      <c r="A444" s="363"/>
      <c r="B444" s="364"/>
      <c r="E444" s="364"/>
      <c r="H444" s="364"/>
      <c r="K444" s="363"/>
      <c r="L444" s="364"/>
      <c r="M444" s="363"/>
      <c r="N444" s="363"/>
      <c r="O444" s="363"/>
      <c r="P444" s="364"/>
      <c r="Q444" s="363"/>
      <c r="R444" s="363"/>
      <c r="S444" s="363"/>
      <c r="T444" s="363"/>
      <c r="U444" s="363"/>
      <c r="V444" s="363"/>
      <c r="W444" s="363"/>
      <c r="X444" s="363"/>
      <c r="Y444" s="363"/>
      <c r="Z444" s="363"/>
    </row>
    <row r="445" spans="1:26" ht="15.75" customHeight="1" x14ac:dyDescent="0.35">
      <c r="A445" s="363"/>
      <c r="B445" s="364"/>
      <c r="E445" s="364"/>
      <c r="H445" s="364"/>
      <c r="K445" s="363"/>
      <c r="L445" s="364"/>
      <c r="M445" s="363"/>
      <c r="N445" s="363"/>
      <c r="O445" s="363"/>
      <c r="P445" s="364"/>
      <c r="Q445" s="363"/>
      <c r="R445" s="363"/>
      <c r="S445" s="363"/>
      <c r="T445" s="363"/>
      <c r="U445" s="363"/>
      <c r="V445" s="363"/>
      <c r="W445" s="363"/>
      <c r="X445" s="363"/>
      <c r="Y445" s="363"/>
      <c r="Z445" s="363"/>
    </row>
    <row r="446" spans="1:26" ht="15.75" customHeight="1" x14ac:dyDescent="0.35">
      <c r="A446" s="363"/>
      <c r="B446" s="364"/>
      <c r="E446" s="364"/>
      <c r="H446" s="364"/>
      <c r="K446" s="363"/>
      <c r="L446" s="364"/>
      <c r="M446" s="363"/>
      <c r="N446" s="363"/>
      <c r="O446" s="363"/>
      <c r="P446" s="364"/>
      <c r="Q446" s="363"/>
      <c r="R446" s="363"/>
      <c r="S446" s="363"/>
      <c r="T446" s="363"/>
      <c r="U446" s="363"/>
      <c r="V446" s="363"/>
      <c r="W446" s="363"/>
      <c r="X446" s="363"/>
      <c r="Y446" s="363"/>
      <c r="Z446" s="363"/>
    </row>
    <row r="447" spans="1:26" ht="15.75" customHeight="1" x14ac:dyDescent="0.35">
      <c r="A447" s="363"/>
      <c r="B447" s="364"/>
      <c r="E447" s="364"/>
      <c r="H447" s="364"/>
      <c r="K447" s="363"/>
      <c r="L447" s="364"/>
      <c r="M447" s="363"/>
      <c r="N447" s="363"/>
      <c r="O447" s="363"/>
      <c r="P447" s="364"/>
      <c r="Q447" s="363"/>
      <c r="R447" s="363"/>
      <c r="S447" s="363"/>
      <c r="T447" s="363"/>
      <c r="U447" s="363"/>
      <c r="V447" s="363"/>
      <c r="W447" s="363"/>
      <c r="X447" s="363"/>
      <c r="Y447" s="363"/>
      <c r="Z447" s="363"/>
    </row>
    <row r="448" spans="1:26" ht="15.75" customHeight="1" x14ac:dyDescent="0.35">
      <c r="A448" s="363"/>
      <c r="B448" s="364"/>
      <c r="E448" s="364"/>
      <c r="H448" s="364"/>
      <c r="K448" s="363"/>
      <c r="L448" s="364"/>
      <c r="M448" s="363"/>
      <c r="N448" s="363"/>
      <c r="O448" s="363"/>
      <c r="P448" s="364"/>
      <c r="Q448" s="363"/>
      <c r="R448" s="363"/>
      <c r="S448" s="363"/>
      <c r="T448" s="363"/>
      <c r="U448" s="363"/>
      <c r="V448" s="363"/>
      <c r="W448" s="363"/>
      <c r="X448" s="363"/>
      <c r="Y448" s="363"/>
      <c r="Z448" s="363"/>
    </row>
    <row r="449" spans="1:26" ht="15.75" customHeight="1" x14ac:dyDescent="0.35">
      <c r="A449" s="363"/>
      <c r="B449" s="364"/>
      <c r="E449" s="364"/>
      <c r="H449" s="364"/>
      <c r="K449" s="363"/>
      <c r="L449" s="364"/>
      <c r="M449" s="363"/>
      <c r="N449" s="363"/>
      <c r="O449" s="363"/>
      <c r="P449" s="364"/>
      <c r="Q449" s="363"/>
      <c r="R449" s="363"/>
      <c r="S449" s="363"/>
      <c r="T449" s="363"/>
      <c r="U449" s="363"/>
      <c r="V449" s="363"/>
      <c r="W449" s="363"/>
      <c r="X449" s="363"/>
      <c r="Y449" s="363"/>
      <c r="Z449" s="363"/>
    </row>
    <row r="450" spans="1:26" ht="15.75" customHeight="1" x14ac:dyDescent="0.35">
      <c r="A450" s="363"/>
      <c r="B450" s="364"/>
      <c r="E450" s="364"/>
      <c r="H450" s="364"/>
      <c r="K450" s="363"/>
      <c r="L450" s="364"/>
      <c r="M450" s="363"/>
      <c r="N450" s="363"/>
      <c r="O450" s="363"/>
      <c r="P450" s="364"/>
      <c r="Q450" s="363"/>
      <c r="R450" s="363"/>
      <c r="S450" s="363"/>
      <c r="T450" s="363"/>
      <c r="U450" s="363"/>
      <c r="V450" s="363"/>
      <c r="W450" s="363"/>
      <c r="X450" s="363"/>
      <c r="Y450" s="363"/>
      <c r="Z450" s="363"/>
    </row>
    <row r="451" spans="1:26" ht="15.75" customHeight="1" x14ac:dyDescent="0.35">
      <c r="A451" s="363"/>
      <c r="B451" s="364"/>
      <c r="E451" s="364"/>
      <c r="H451" s="364"/>
      <c r="K451" s="363"/>
      <c r="L451" s="364"/>
      <c r="M451" s="363"/>
      <c r="N451" s="363"/>
      <c r="O451" s="363"/>
      <c r="P451" s="364"/>
      <c r="Q451" s="363"/>
      <c r="R451" s="363"/>
      <c r="S451" s="363"/>
      <c r="T451" s="363"/>
      <c r="U451" s="363"/>
      <c r="V451" s="363"/>
      <c r="W451" s="363"/>
      <c r="X451" s="363"/>
      <c r="Y451" s="363"/>
      <c r="Z451" s="363"/>
    </row>
    <row r="452" spans="1:26" ht="15.75" customHeight="1" x14ac:dyDescent="0.35">
      <c r="A452" s="363"/>
      <c r="B452" s="364"/>
      <c r="E452" s="364"/>
      <c r="H452" s="364"/>
      <c r="K452" s="363"/>
      <c r="L452" s="364"/>
      <c r="M452" s="363"/>
      <c r="N452" s="363"/>
      <c r="O452" s="363"/>
      <c r="P452" s="364"/>
      <c r="Q452" s="363"/>
      <c r="R452" s="363"/>
      <c r="S452" s="363"/>
      <c r="T452" s="363"/>
      <c r="U452" s="363"/>
      <c r="V452" s="363"/>
      <c r="W452" s="363"/>
      <c r="X452" s="363"/>
      <c r="Y452" s="363"/>
      <c r="Z452" s="363"/>
    </row>
    <row r="453" spans="1:26" ht="15.75" customHeight="1" x14ac:dyDescent="0.35">
      <c r="A453" s="363"/>
      <c r="B453" s="364"/>
      <c r="E453" s="364"/>
      <c r="H453" s="364"/>
      <c r="K453" s="363"/>
      <c r="L453" s="364"/>
      <c r="M453" s="363"/>
      <c r="N453" s="363"/>
      <c r="O453" s="363"/>
      <c r="P453" s="364"/>
      <c r="Q453" s="363"/>
      <c r="R453" s="363"/>
      <c r="S453" s="363"/>
      <c r="T453" s="363"/>
      <c r="U453" s="363"/>
      <c r="V453" s="363"/>
      <c r="W453" s="363"/>
      <c r="X453" s="363"/>
      <c r="Y453" s="363"/>
      <c r="Z453" s="363"/>
    </row>
    <row r="454" spans="1:26" ht="15.75" customHeight="1" x14ac:dyDescent="0.35">
      <c r="A454" s="363"/>
      <c r="B454" s="364"/>
      <c r="E454" s="364"/>
      <c r="H454" s="364"/>
      <c r="K454" s="363"/>
      <c r="L454" s="364"/>
      <c r="M454" s="363"/>
      <c r="N454" s="363"/>
      <c r="O454" s="363"/>
      <c r="P454" s="364"/>
      <c r="Q454" s="363"/>
      <c r="R454" s="363"/>
      <c r="S454" s="363"/>
      <c r="T454" s="363"/>
      <c r="U454" s="363"/>
      <c r="V454" s="363"/>
      <c r="W454" s="363"/>
      <c r="X454" s="363"/>
      <c r="Y454" s="363"/>
      <c r="Z454" s="363"/>
    </row>
    <row r="455" spans="1:26" ht="15.75" customHeight="1" x14ac:dyDescent="0.35">
      <c r="A455" s="363"/>
      <c r="B455" s="364"/>
      <c r="E455" s="364"/>
      <c r="H455" s="364"/>
      <c r="K455" s="363"/>
      <c r="L455" s="364"/>
      <c r="M455" s="363"/>
      <c r="N455" s="363"/>
      <c r="O455" s="363"/>
      <c r="P455" s="364"/>
      <c r="Q455" s="363"/>
      <c r="R455" s="363"/>
      <c r="S455" s="363"/>
      <c r="T455" s="363"/>
      <c r="U455" s="363"/>
      <c r="V455" s="363"/>
      <c r="W455" s="363"/>
      <c r="X455" s="363"/>
      <c r="Y455" s="363"/>
      <c r="Z455" s="363"/>
    </row>
    <row r="456" spans="1:26" ht="15.75" customHeight="1" x14ac:dyDescent="0.35">
      <c r="A456" s="363"/>
      <c r="B456" s="364"/>
      <c r="E456" s="364"/>
      <c r="H456" s="364"/>
      <c r="K456" s="363"/>
      <c r="L456" s="364"/>
      <c r="M456" s="363"/>
      <c r="N456" s="363"/>
      <c r="O456" s="363"/>
      <c r="P456" s="364"/>
      <c r="Q456" s="363"/>
      <c r="R456" s="363"/>
      <c r="S456" s="363"/>
      <c r="T456" s="363"/>
      <c r="U456" s="363"/>
      <c r="V456" s="363"/>
      <c r="W456" s="363"/>
      <c r="X456" s="363"/>
      <c r="Y456" s="363"/>
      <c r="Z456" s="363"/>
    </row>
    <row r="457" spans="1:26" ht="15.75" customHeight="1" x14ac:dyDescent="0.35">
      <c r="A457" s="363"/>
      <c r="B457" s="364"/>
      <c r="E457" s="364"/>
      <c r="H457" s="364"/>
      <c r="K457" s="363"/>
      <c r="L457" s="364"/>
      <c r="M457" s="363"/>
      <c r="N457" s="363"/>
      <c r="O457" s="363"/>
      <c r="P457" s="364"/>
      <c r="Q457" s="363"/>
      <c r="R457" s="363"/>
      <c r="S457" s="363"/>
      <c r="T457" s="363"/>
      <c r="U457" s="363"/>
      <c r="V457" s="363"/>
      <c r="W457" s="363"/>
      <c r="X457" s="363"/>
      <c r="Y457" s="363"/>
      <c r="Z457" s="363"/>
    </row>
    <row r="458" spans="1:26" ht="15.75" customHeight="1" x14ac:dyDescent="0.35">
      <c r="A458" s="363"/>
      <c r="B458" s="364"/>
      <c r="E458" s="364"/>
      <c r="H458" s="364"/>
      <c r="K458" s="363"/>
      <c r="L458" s="364"/>
      <c r="M458" s="363"/>
      <c r="N458" s="363"/>
      <c r="O458" s="363"/>
      <c r="P458" s="364"/>
      <c r="Q458" s="363"/>
      <c r="R458" s="363"/>
      <c r="S458" s="363"/>
      <c r="T458" s="363"/>
      <c r="U458" s="363"/>
      <c r="V458" s="363"/>
      <c r="W458" s="363"/>
      <c r="X458" s="363"/>
      <c r="Y458" s="363"/>
      <c r="Z458" s="363"/>
    </row>
    <row r="459" spans="1:26" ht="15.75" customHeight="1" x14ac:dyDescent="0.35">
      <c r="A459" s="363"/>
      <c r="B459" s="364"/>
      <c r="E459" s="364"/>
      <c r="H459" s="364"/>
      <c r="K459" s="363"/>
      <c r="L459" s="364"/>
      <c r="M459" s="363"/>
      <c r="N459" s="363"/>
      <c r="O459" s="363"/>
      <c r="P459" s="364"/>
      <c r="Q459" s="363"/>
      <c r="R459" s="363"/>
      <c r="S459" s="363"/>
      <c r="T459" s="363"/>
      <c r="U459" s="363"/>
      <c r="V459" s="363"/>
      <c r="W459" s="363"/>
      <c r="X459" s="363"/>
      <c r="Y459" s="363"/>
      <c r="Z459" s="363"/>
    </row>
    <row r="460" spans="1:26" ht="15.75" customHeight="1" x14ac:dyDescent="0.35">
      <c r="A460" s="363"/>
      <c r="B460" s="364"/>
      <c r="E460" s="364"/>
      <c r="H460" s="364"/>
      <c r="K460" s="363"/>
      <c r="L460" s="364"/>
      <c r="M460" s="363"/>
      <c r="N460" s="363"/>
      <c r="O460" s="363"/>
      <c r="P460" s="364"/>
      <c r="Q460" s="363"/>
      <c r="R460" s="363"/>
      <c r="S460" s="363"/>
      <c r="T460" s="363"/>
      <c r="U460" s="363"/>
      <c r="V460" s="363"/>
      <c r="W460" s="363"/>
      <c r="X460" s="363"/>
      <c r="Y460" s="363"/>
      <c r="Z460" s="363"/>
    </row>
    <row r="461" spans="1:26" ht="15.75" customHeight="1" x14ac:dyDescent="0.35">
      <c r="A461" s="363"/>
      <c r="B461" s="364"/>
      <c r="E461" s="364"/>
      <c r="H461" s="364"/>
      <c r="K461" s="363"/>
      <c r="L461" s="364"/>
      <c r="M461" s="363"/>
      <c r="N461" s="363"/>
      <c r="O461" s="363"/>
      <c r="P461" s="364"/>
      <c r="Q461" s="363"/>
      <c r="R461" s="363"/>
      <c r="S461" s="363"/>
      <c r="T461" s="363"/>
      <c r="U461" s="363"/>
      <c r="V461" s="363"/>
      <c r="W461" s="363"/>
      <c r="X461" s="363"/>
      <c r="Y461" s="363"/>
      <c r="Z461" s="363"/>
    </row>
    <row r="462" spans="1:26" ht="15.75" customHeight="1" x14ac:dyDescent="0.35">
      <c r="A462" s="363"/>
      <c r="B462" s="364"/>
      <c r="E462" s="364"/>
      <c r="H462" s="364"/>
      <c r="K462" s="363"/>
      <c r="L462" s="364"/>
      <c r="M462" s="363"/>
      <c r="N462" s="363"/>
      <c r="O462" s="363"/>
      <c r="P462" s="364"/>
      <c r="Q462" s="363"/>
      <c r="R462" s="363"/>
      <c r="S462" s="363"/>
      <c r="T462" s="363"/>
      <c r="U462" s="363"/>
      <c r="V462" s="363"/>
      <c r="W462" s="363"/>
      <c r="X462" s="363"/>
      <c r="Y462" s="363"/>
      <c r="Z462" s="363"/>
    </row>
    <row r="463" spans="1:26" ht="15.75" customHeight="1" x14ac:dyDescent="0.35">
      <c r="A463" s="363"/>
      <c r="B463" s="364"/>
      <c r="E463" s="364"/>
      <c r="H463" s="364"/>
      <c r="K463" s="363"/>
      <c r="L463" s="364"/>
      <c r="M463" s="363"/>
      <c r="N463" s="363"/>
      <c r="O463" s="363"/>
      <c r="P463" s="364"/>
      <c r="Q463" s="363"/>
      <c r="R463" s="363"/>
      <c r="S463" s="363"/>
      <c r="T463" s="363"/>
      <c r="U463" s="363"/>
      <c r="V463" s="363"/>
      <c r="W463" s="363"/>
      <c r="X463" s="363"/>
      <c r="Y463" s="363"/>
      <c r="Z463" s="363"/>
    </row>
    <row r="464" spans="1:26" ht="15.75" customHeight="1" x14ac:dyDescent="0.35">
      <c r="A464" s="363"/>
      <c r="B464" s="364"/>
      <c r="E464" s="364"/>
      <c r="H464" s="364"/>
      <c r="K464" s="363"/>
      <c r="L464" s="364"/>
      <c r="M464" s="363"/>
      <c r="N464" s="363"/>
      <c r="O464" s="363"/>
      <c r="P464" s="364"/>
      <c r="Q464" s="363"/>
      <c r="R464" s="363"/>
      <c r="S464" s="363"/>
      <c r="T464" s="363"/>
      <c r="U464" s="363"/>
      <c r="V464" s="363"/>
      <c r="W464" s="363"/>
      <c r="X464" s="363"/>
      <c r="Y464" s="363"/>
      <c r="Z464" s="363"/>
    </row>
    <row r="465" spans="1:26" ht="15.75" customHeight="1" x14ac:dyDescent="0.35">
      <c r="A465" s="363"/>
      <c r="B465" s="364"/>
      <c r="E465" s="364"/>
      <c r="H465" s="364"/>
      <c r="K465" s="363"/>
      <c r="L465" s="364"/>
      <c r="M465" s="363"/>
      <c r="N465" s="363"/>
      <c r="O465" s="363"/>
      <c r="P465" s="364"/>
      <c r="Q465" s="363"/>
      <c r="R465" s="363"/>
      <c r="S465" s="363"/>
      <c r="T465" s="363"/>
      <c r="U465" s="363"/>
      <c r="V465" s="363"/>
      <c r="W465" s="363"/>
      <c r="X465" s="363"/>
      <c r="Y465" s="363"/>
      <c r="Z465" s="363"/>
    </row>
    <row r="466" spans="1:26" ht="15.75" customHeight="1" x14ac:dyDescent="0.35">
      <c r="A466" s="363"/>
      <c r="B466" s="364"/>
      <c r="E466" s="364"/>
      <c r="H466" s="364"/>
      <c r="K466" s="363"/>
      <c r="L466" s="364"/>
      <c r="M466" s="363"/>
      <c r="N466" s="363"/>
      <c r="O466" s="363"/>
      <c r="P466" s="364"/>
      <c r="Q466" s="363"/>
      <c r="R466" s="363"/>
      <c r="S466" s="363"/>
      <c r="T466" s="363"/>
      <c r="U466" s="363"/>
      <c r="V466" s="363"/>
      <c r="W466" s="363"/>
      <c r="X466" s="363"/>
      <c r="Y466" s="363"/>
      <c r="Z466" s="363"/>
    </row>
    <row r="467" spans="1:26" ht="15.75" customHeight="1" x14ac:dyDescent="0.35">
      <c r="A467" s="363"/>
      <c r="B467" s="364"/>
      <c r="E467" s="364"/>
      <c r="H467" s="364"/>
      <c r="K467" s="363"/>
      <c r="L467" s="364"/>
      <c r="M467" s="363"/>
      <c r="N467" s="363"/>
      <c r="O467" s="363"/>
      <c r="P467" s="364"/>
      <c r="Q467" s="363"/>
      <c r="R467" s="363"/>
      <c r="S467" s="363"/>
      <c r="T467" s="363"/>
      <c r="U467" s="363"/>
      <c r="V467" s="363"/>
      <c r="W467" s="363"/>
      <c r="X467" s="363"/>
      <c r="Y467" s="363"/>
      <c r="Z467" s="363"/>
    </row>
    <row r="468" spans="1:26" ht="15.75" customHeight="1" x14ac:dyDescent="0.35">
      <c r="A468" s="363"/>
      <c r="B468" s="364"/>
      <c r="E468" s="364"/>
      <c r="H468" s="364"/>
      <c r="K468" s="363"/>
      <c r="L468" s="364"/>
      <c r="M468" s="363"/>
      <c r="N468" s="363"/>
      <c r="O468" s="363"/>
      <c r="P468" s="364"/>
      <c r="Q468" s="363"/>
      <c r="R468" s="363"/>
      <c r="S468" s="363"/>
      <c r="T468" s="363"/>
      <c r="U468" s="363"/>
      <c r="V468" s="363"/>
      <c r="W468" s="363"/>
      <c r="X468" s="363"/>
      <c r="Y468" s="363"/>
      <c r="Z468" s="363"/>
    </row>
    <row r="469" spans="1:26" ht="15.75" customHeight="1" x14ac:dyDescent="0.35">
      <c r="A469" s="363"/>
      <c r="B469" s="364"/>
      <c r="E469" s="364"/>
      <c r="H469" s="364"/>
      <c r="K469" s="363"/>
      <c r="L469" s="364"/>
      <c r="M469" s="363"/>
      <c r="N469" s="363"/>
      <c r="O469" s="363"/>
      <c r="P469" s="364"/>
      <c r="Q469" s="363"/>
      <c r="R469" s="363"/>
      <c r="S469" s="363"/>
      <c r="T469" s="363"/>
      <c r="U469" s="363"/>
      <c r="V469" s="363"/>
      <c r="W469" s="363"/>
      <c r="X469" s="363"/>
      <c r="Y469" s="363"/>
      <c r="Z469" s="363"/>
    </row>
    <row r="470" spans="1:26" ht="15.75" customHeight="1" x14ac:dyDescent="0.35">
      <c r="A470" s="363"/>
      <c r="B470" s="364"/>
      <c r="E470" s="364"/>
      <c r="H470" s="364"/>
      <c r="K470" s="363"/>
      <c r="L470" s="364"/>
      <c r="M470" s="363"/>
      <c r="N470" s="363"/>
      <c r="O470" s="363"/>
      <c r="P470" s="364"/>
      <c r="Q470" s="363"/>
      <c r="R470" s="363"/>
      <c r="S470" s="363"/>
      <c r="T470" s="363"/>
      <c r="U470" s="363"/>
      <c r="V470" s="363"/>
      <c r="W470" s="363"/>
      <c r="X470" s="363"/>
      <c r="Y470" s="363"/>
      <c r="Z470" s="363"/>
    </row>
    <row r="471" spans="1:26" ht="15.75" customHeight="1" x14ac:dyDescent="0.35">
      <c r="A471" s="363"/>
      <c r="B471" s="364"/>
      <c r="E471" s="364"/>
      <c r="H471" s="364"/>
      <c r="K471" s="363"/>
      <c r="L471" s="364"/>
      <c r="M471" s="363"/>
      <c r="N471" s="363"/>
      <c r="O471" s="363"/>
      <c r="P471" s="364"/>
      <c r="Q471" s="363"/>
      <c r="R471" s="363"/>
      <c r="S471" s="363"/>
      <c r="T471" s="363"/>
      <c r="U471" s="363"/>
      <c r="V471" s="363"/>
      <c r="W471" s="363"/>
      <c r="X471" s="363"/>
      <c r="Y471" s="363"/>
      <c r="Z471" s="363"/>
    </row>
    <row r="472" spans="1:26" ht="15.75" customHeight="1" x14ac:dyDescent="0.35">
      <c r="A472" s="363"/>
      <c r="B472" s="364"/>
      <c r="E472" s="364"/>
      <c r="H472" s="364"/>
      <c r="K472" s="363"/>
      <c r="L472" s="364"/>
      <c r="M472" s="363"/>
      <c r="N472" s="363"/>
      <c r="O472" s="363"/>
      <c r="P472" s="364"/>
      <c r="Q472" s="363"/>
      <c r="R472" s="363"/>
      <c r="S472" s="363"/>
      <c r="T472" s="363"/>
      <c r="U472" s="363"/>
      <c r="V472" s="363"/>
      <c r="W472" s="363"/>
      <c r="X472" s="363"/>
      <c r="Y472" s="363"/>
      <c r="Z472" s="363"/>
    </row>
    <row r="473" spans="1:26" ht="15.75" customHeight="1" x14ac:dyDescent="0.35">
      <c r="A473" s="363"/>
      <c r="B473" s="364"/>
      <c r="E473" s="364"/>
      <c r="H473" s="364"/>
      <c r="K473" s="363"/>
      <c r="L473" s="364"/>
      <c r="M473" s="363"/>
      <c r="N473" s="363"/>
      <c r="O473" s="363"/>
      <c r="P473" s="364"/>
      <c r="Q473" s="363"/>
      <c r="R473" s="363"/>
      <c r="S473" s="363"/>
      <c r="T473" s="363"/>
      <c r="U473" s="363"/>
      <c r="V473" s="363"/>
      <c r="W473" s="363"/>
      <c r="X473" s="363"/>
      <c r="Y473" s="363"/>
      <c r="Z473" s="363"/>
    </row>
    <row r="474" spans="1:26" ht="15.75" customHeight="1" x14ac:dyDescent="0.35">
      <c r="A474" s="363"/>
      <c r="B474" s="364"/>
      <c r="E474" s="364"/>
      <c r="H474" s="364"/>
      <c r="K474" s="363"/>
      <c r="L474" s="364"/>
      <c r="M474" s="363"/>
      <c r="N474" s="363"/>
      <c r="O474" s="363"/>
      <c r="P474" s="364"/>
      <c r="Q474" s="363"/>
      <c r="R474" s="363"/>
      <c r="S474" s="363"/>
      <c r="T474" s="363"/>
      <c r="U474" s="363"/>
      <c r="V474" s="363"/>
      <c r="W474" s="363"/>
      <c r="X474" s="363"/>
      <c r="Y474" s="363"/>
      <c r="Z474" s="363"/>
    </row>
    <row r="475" spans="1:26" ht="15.75" customHeight="1" x14ac:dyDescent="0.35">
      <c r="A475" s="363"/>
      <c r="B475" s="364"/>
      <c r="E475" s="364"/>
      <c r="H475" s="364"/>
      <c r="K475" s="363"/>
      <c r="L475" s="364"/>
      <c r="M475" s="363"/>
      <c r="N475" s="363"/>
      <c r="O475" s="363"/>
      <c r="P475" s="364"/>
      <c r="Q475" s="363"/>
      <c r="R475" s="363"/>
      <c r="S475" s="363"/>
      <c r="T475" s="363"/>
      <c r="U475" s="363"/>
      <c r="V475" s="363"/>
      <c r="W475" s="363"/>
      <c r="X475" s="363"/>
      <c r="Y475" s="363"/>
      <c r="Z475" s="363"/>
    </row>
    <row r="476" spans="1:26" ht="15.75" customHeight="1" x14ac:dyDescent="0.35">
      <c r="A476" s="363"/>
      <c r="B476" s="364"/>
      <c r="E476" s="364"/>
      <c r="H476" s="364"/>
      <c r="K476" s="363"/>
      <c r="L476" s="364"/>
      <c r="M476" s="363"/>
      <c r="N476" s="363"/>
      <c r="O476" s="363"/>
      <c r="P476" s="364"/>
      <c r="Q476" s="363"/>
      <c r="R476" s="363"/>
      <c r="S476" s="363"/>
      <c r="T476" s="363"/>
      <c r="U476" s="363"/>
      <c r="V476" s="363"/>
      <c r="W476" s="363"/>
      <c r="X476" s="363"/>
      <c r="Y476" s="363"/>
      <c r="Z476" s="363"/>
    </row>
    <row r="477" spans="1:26" ht="15.75" customHeight="1" x14ac:dyDescent="0.35">
      <c r="A477" s="363"/>
      <c r="B477" s="364"/>
      <c r="E477" s="364"/>
      <c r="H477" s="364"/>
      <c r="K477" s="363"/>
      <c r="L477" s="364"/>
      <c r="M477" s="363"/>
      <c r="N477" s="363"/>
      <c r="O477" s="363"/>
      <c r="P477" s="364"/>
      <c r="Q477" s="363"/>
      <c r="R477" s="363"/>
      <c r="S477" s="363"/>
      <c r="T477" s="363"/>
      <c r="U477" s="363"/>
      <c r="V477" s="363"/>
      <c r="W477" s="363"/>
      <c r="X477" s="363"/>
      <c r="Y477" s="363"/>
      <c r="Z477" s="363"/>
    </row>
    <row r="478" spans="1:26" ht="15.75" customHeight="1" x14ac:dyDescent="0.35">
      <c r="A478" s="363"/>
      <c r="B478" s="364"/>
      <c r="E478" s="364"/>
      <c r="H478" s="364"/>
      <c r="K478" s="363"/>
      <c r="L478" s="364"/>
      <c r="M478" s="363"/>
      <c r="N478" s="363"/>
      <c r="O478" s="363"/>
      <c r="P478" s="364"/>
      <c r="Q478" s="363"/>
      <c r="R478" s="363"/>
      <c r="S478" s="363"/>
      <c r="T478" s="363"/>
      <c r="U478" s="363"/>
      <c r="V478" s="363"/>
      <c r="W478" s="363"/>
      <c r="X478" s="363"/>
      <c r="Y478" s="363"/>
      <c r="Z478" s="363"/>
    </row>
    <row r="479" spans="1:26" ht="15.75" customHeight="1" x14ac:dyDescent="0.35">
      <c r="A479" s="363"/>
      <c r="B479" s="364"/>
      <c r="E479" s="364"/>
      <c r="H479" s="364"/>
      <c r="K479" s="363"/>
      <c r="L479" s="364"/>
      <c r="M479" s="363"/>
      <c r="N479" s="363"/>
      <c r="O479" s="363"/>
      <c r="P479" s="364"/>
      <c r="Q479" s="363"/>
      <c r="R479" s="363"/>
      <c r="S479" s="363"/>
      <c r="T479" s="363"/>
      <c r="U479" s="363"/>
      <c r="V479" s="363"/>
      <c r="W479" s="363"/>
      <c r="X479" s="363"/>
      <c r="Y479" s="363"/>
      <c r="Z479" s="363"/>
    </row>
    <row r="480" spans="1:26" ht="15.75" customHeight="1" x14ac:dyDescent="0.35">
      <c r="A480" s="363"/>
      <c r="B480" s="364"/>
      <c r="E480" s="364"/>
      <c r="H480" s="364"/>
      <c r="K480" s="363"/>
      <c r="L480" s="364"/>
      <c r="M480" s="363"/>
      <c r="N480" s="363"/>
      <c r="O480" s="363"/>
      <c r="P480" s="364"/>
      <c r="Q480" s="363"/>
      <c r="R480" s="363"/>
      <c r="S480" s="363"/>
      <c r="T480" s="363"/>
      <c r="U480" s="363"/>
      <c r="V480" s="363"/>
      <c r="W480" s="363"/>
      <c r="X480" s="363"/>
      <c r="Y480" s="363"/>
      <c r="Z480" s="363"/>
    </row>
    <row r="481" spans="1:26" ht="15.75" customHeight="1" x14ac:dyDescent="0.35">
      <c r="A481" s="363"/>
      <c r="B481" s="364"/>
      <c r="E481" s="364"/>
      <c r="H481" s="364"/>
      <c r="K481" s="363"/>
      <c r="L481" s="364"/>
      <c r="M481" s="363"/>
      <c r="N481" s="363"/>
      <c r="O481" s="363"/>
      <c r="P481" s="364"/>
      <c r="Q481" s="363"/>
      <c r="R481" s="363"/>
      <c r="S481" s="363"/>
      <c r="T481" s="363"/>
      <c r="U481" s="363"/>
      <c r="V481" s="363"/>
      <c r="W481" s="363"/>
      <c r="X481" s="363"/>
      <c r="Y481" s="363"/>
      <c r="Z481" s="363"/>
    </row>
    <row r="482" spans="1:26" ht="15.75" customHeight="1" x14ac:dyDescent="0.35">
      <c r="A482" s="363"/>
      <c r="B482" s="364"/>
      <c r="E482" s="364"/>
      <c r="H482" s="364"/>
      <c r="K482" s="363"/>
      <c r="L482" s="364"/>
      <c r="M482" s="363"/>
      <c r="N482" s="363"/>
      <c r="O482" s="363"/>
      <c r="P482" s="364"/>
      <c r="Q482" s="363"/>
      <c r="R482" s="363"/>
      <c r="S482" s="363"/>
      <c r="T482" s="363"/>
      <c r="U482" s="363"/>
      <c r="V482" s="363"/>
      <c r="W482" s="363"/>
      <c r="X482" s="363"/>
      <c r="Y482" s="363"/>
      <c r="Z482" s="363"/>
    </row>
    <row r="483" spans="1:26" ht="15.75" customHeight="1" x14ac:dyDescent="0.35">
      <c r="A483" s="363"/>
      <c r="B483" s="364"/>
      <c r="E483" s="364"/>
      <c r="H483" s="364"/>
      <c r="K483" s="363"/>
      <c r="L483" s="364"/>
      <c r="M483" s="363"/>
      <c r="N483" s="363"/>
      <c r="O483" s="363"/>
      <c r="P483" s="364"/>
      <c r="Q483" s="363"/>
      <c r="R483" s="363"/>
      <c r="S483" s="363"/>
      <c r="T483" s="363"/>
      <c r="U483" s="363"/>
      <c r="V483" s="363"/>
      <c r="W483" s="363"/>
      <c r="X483" s="363"/>
      <c r="Y483" s="363"/>
      <c r="Z483" s="363"/>
    </row>
    <row r="484" spans="1:26" ht="15.75" customHeight="1" x14ac:dyDescent="0.35">
      <c r="A484" s="363"/>
      <c r="B484" s="364"/>
      <c r="E484" s="364"/>
      <c r="H484" s="364"/>
      <c r="K484" s="363"/>
      <c r="L484" s="364"/>
      <c r="M484" s="363"/>
      <c r="N484" s="363"/>
      <c r="O484" s="363"/>
      <c r="P484" s="364"/>
      <c r="Q484" s="363"/>
      <c r="R484" s="363"/>
      <c r="S484" s="363"/>
      <c r="T484" s="363"/>
      <c r="U484" s="363"/>
      <c r="V484" s="363"/>
      <c r="W484" s="363"/>
      <c r="X484" s="363"/>
      <c r="Y484" s="363"/>
      <c r="Z484" s="363"/>
    </row>
    <row r="485" spans="1:26" ht="15.75" customHeight="1" x14ac:dyDescent="0.35">
      <c r="A485" s="363"/>
      <c r="B485" s="364"/>
      <c r="E485" s="364"/>
      <c r="H485" s="364"/>
      <c r="K485" s="363"/>
      <c r="L485" s="364"/>
      <c r="M485" s="363"/>
      <c r="N485" s="363"/>
      <c r="O485" s="363"/>
      <c r="P485" s="364"/>
      <c r="Q485" s="363"/>
      <c r="R485" s="363"/>
      <c r="S485" s="363"/>
      <c r="T485" s="363"/>
      <c r="U485" s="363"/>
      <c r="V485" s="363"/>
      <c r="W485" s="363"/>
      <c r="X485" s="363"/>
      <c r="Y485" s="363"/>
      <c r="Z485" s="363"/>
    </row>
    <row r="486" spans="1:26" ht="15.75" customHeight="1" x14ac:dyDescent="0.35">
      <c r="A486" s="363"/>
      <c r="B486" s="364"/>
      <c r="E486" s="364"/>
      <c r="H486" s="364"/>
      <c r="K486" s="363"/>
      <c r="L486" s="364"/>
      <c r="M486" s="363"/>
      <c r="N486" s="363"/>
      <c r="O486" s="363"/>
      <c r="P486" s="364"/>
      <c r="Q486" s="363"/>
      <c r="R486" s="363"/>
      <c r="S486" s="363"/>
      <c r="T486" s="363"/>
      <c r="U486" s="363"/>
      <c r="V486" s="363"/>
      <c r="W486" s="363"/>
      <c r="X486" s="363"/>
      <c r="Y486" s="363"/>
      <c r="Z486" s="363"/>
    </row>
    <row r="487" spans="1:26" ht="15.75" customHeight="1" x14ac:dyDescent="0.35">
      <c r="A487" s="363"/>
      <c r="B487" s="364"/>
      <c r="E487" s="364"/>
      <c r="H487" s="364"/>
      <c r="K487" s="363"/>
      <c r="L487" s="364"/>
      <c r="M487" s="363"/>
      <c r="N487" s="363"/>
      <c r="O487" s="363"/>
      <c r="P487" s="364"/>
      <c r="Q487" s="363"/>
      <c r="R487" s="363"/>
      <c r="S487" s="363"/>
      <c r="T487" s="363"/>
      <c r="U487" s="363"/>
      <c r="V487" s="363"/>
      <c r="W487" s="363"/>
      <c r="X487" s="363"/>
      <c r="Y487" s="363"/>
      <c r="Z487" s="363"/>
    </row>
    <row r="488" spans="1:26" ht="15.75" customHeight="1" x14ac:dyDescent="0.35">
      <c r="A488" s="363"/>
      <c r="B488" s="364"/>
      <c r="E488" s="364"/>
      <c r="H488" s="364"/>
      <c r="K488" s="363"/>
      <c r="L488" s="364"/>
      <c r="M488" s="363"/>
      <c r="N488" s="363"/>
      <c r="O488" s="363"/>
      <c r="P488" s="364"/>
      <c r="Q488" s="363"/>
      <c r="R488" s="363"/>
      <c r="S488" s="363"/>
      <c r="T488" s="363"/>
      <c r="U488" s="363"/>
      <c r="V488" s="363"/>
      <c r="W488" s="363"/>
      <c r="X488" s="363"/>
      <c r="Y488" s="363"/>
      <c r="Z488" s="363"/>
    </row>
    <row r="489" spans="1:26" ht="15.75" customHeight="1" x14ac:dyDescent="0.35">
      <c r="A489" s="363"/>
      <c r="B489" s="364"/>
      <c r="E489" s="364"/>
      <c r="H489" s="364"/>
      <c r="K489" s="363"/>
      <c r="L489" s="364"/>
      <c r="M489" s="363"/>
      <c r="N489" s="363"/>
      <c r="O489" s="363"/>
      <c r="P489" s="364"/>
      <c r="Q489" s="363"/>
      <c r="R489" s="363"/>
      <c r="S489" s="363"/>
      <c r="T489" s="363"/>
      <c r="U489" s="363"/>
      <c r="V489" s="363"/>
      <c r="W489" s="363"/>
      <c r="X489" s="363"/>
      <c r="Y489" s="363"/>
      <c r="Z489" s="363"/>
    </row>
    <row r="490" spans="1:26" ht="15.75" customHeight="1" x14ac:dyDescent="0.35">
      <c r="A490" s="363"/>
      <c r="B490" s="364"/>
      <c r="E490" s="364"/>
      <c r="H490" s="364"/>
      <c r="K490" s="363"/>
      <c r="L490" s="364"/>
      <c r="M490" s="363"/>
      <c r="N490" s="363"/>
      <c r="O490" s="363"/>
      <c r="P490" s="364"/>
      <c r="Q490" s="363"/>
      <c r="R490" s="363"/>
      <c r="S490" s="363"/>
      <c r="T490" s="363"/>
      <c r="U490" s="363"/>
      <c r="V490" s="363"/>
      <c r="W490" s="363"/>
      <c r="X490" s="363"/>
      <c r="Y490" s="363"/>
      <c r="Z490" s="363"/>
    </row>
    <row r="491" spans="1:26" ht="15.75" customHeight="1" x14ac:dyDescent="0.35">
      <c r="A491" s="363"/>
      <c r="B491" s="364"/>
      <c r="E491" s="364"/>
      <c r="H491" s="364"/>
      <c r="K491" s="363"/>
      <c r="L491" s="364"/>
      <c r="M491" s="363"/>
      <c r="N491" s="363"/>
      <c r="O491" s="363"/>
      <c r="P491" s="364"/>
      <c r="Q491" s="363"/>
      <c r="R491" s="363"/>
      <c r="S491" s="363"/>
      <c r="T491" s="363"/>
      <c r="U491" s="363"/>
      <c r="V491" s="363"/>
      <c r="W491" s="363"/>
      <c r="X491" s="363"/>
      <c r="Y491" s="363"/>
      <c r="Z491" s="363"/>
    </row>
    <row r="492" spans="1:26" ht="15.75" customHeight="1" x14ac:dyDescent="0.35">
      <c r="A492" s="363"/>
      <c r="B492" s="364"/>
      <c r="E492" s="364"/>
      <c r="H492" s="364"/>
      <c r="K492" s="363"/>
      <c r="L492" s="364"/>
      <c r="M492" s="363"/>
      <c r="N492" s="363"/>
      <c r="O492" s="363"/>
      <c r="P492" s="364"/>
      <c r="Q492" s="363"/>
      <c r="R492" s="363"/>
      <c r="S492" s="363"/>
      <c r="T492" s="363"/>
      <c r="U492" s="363"/>
      <c r="V492" s="363"/>
      <c r="W492" s="363"/>
      <c r="X492" s="363"/>
      <c r="Y492" s="363"/>
      <c r="Z492" s="363"/>
    </row>
    <row r="493" spans="1:26" ht="15.75" customHeight="1" x14ac:dyDescent="0.35">
      <c r="A493" s="363"/>
      <c r="B493" s="364"/>
      <c r="E493" s="364"/>
      <c r="H493" s="364"/>
      <c r="K493" s="363"/>
      <c r="L493" s="364"/>
      <c r="M493" s="363"/>
      <c r="N493" s="363"/>
      <c r="O493" s="363"/>
      <c r="P493" s="364"/>
      <c r="Q493" s="363"/>
      <c r="R493" s="363"/>
      <c r="S493" s="363"/>
      <c r="T493" s="363"/>
      <c r="U493" s="363"/>
      <c r="V493" s="363"/>
      <c r="W493" s="363"/>
      <c r="X493" s="363"/>
      <c r="Y493" s="363"/>
      <c r="Z493" s="363"/>
    </row>
    <row r="494" spans="1:26" ht="15.75" customHeight="1" x14ac:dyDescent="0.35">
      <c r="A494" s="363"/>
      <c r="B494" s="364"/>
      <c r="E494" s="364"/>
      <c r="H494" s="364"/>
      <c r="K494" s="363"/>
      <c r="L494" s="364"/>
      <c r="M494" s="363"/>
      <c r="N494" s="363"/>
      <c r="O494" s="363"/>
      <c r="P494" s="364"/>
      <c r="Q494" s="363"/>
      <c r="R494" s="363"/>
      <c r="S494" s="363"/>
      <c r="T494" s="363"/>
      <c r="U494" s="363"/>
      <c r="V494" s="363"/>
      <c r="W494" s="363"/>
      <c r="X494" s="363"/>
      <c r="Y494" s="363"/>
      <c r="Z494" s="363"/>
    </row>
    <row r="495" spans="1:26" ht="15.75" customHeight="1" x14ac:dyDescent="0.35">
      <c r="A495" s="363"/>
      <c r="B495" s="364"/>
      <c r="E495" s="364"/>
      <c r="H495" s="364"/>
      <c r="K495" s="363"/>
      <c r="L495" s="364"/>
      <c r="M495" s="363"/>
      <c r="N495" s="363"/>
      <c r="O495" s="363"/>
      <c r="P495" s="364"/>
      <c r="Q495" s="363"/>
      <c r="R495" s="363"/>
      <c r="S495" s="363"/>
      <c r="T495" s="363"/>
      <c r="U495" s="363"/>
      <c r="V495" s="363"/>
      <c r="W495" s="363"/>
      <c r="X495" s="363"/>
      <c r="Y495" s="363"/>
      <c r="Z495" s="363"/>
    </row>
    <row r="496" spans="1:26" ht="15.75" customHeight="1" x14ac:dyDescent="0.35">
      <c r="A496" s="363"/>
      <c r="B496" s="364"/>
      <c r="E496" s="364"/>
      <c r="H496" s="364"/>
      <c r="K496" s="363"/>
      <c r="L496" s="364"/>
      <c r="M496" s="363"/>
      <c r="N496" s="363"/>
      <c r="O496" s="363"/>
      <c r="P496" s="364"/>
      <c r="Q496" s="363"/>
      <c r="R496" s="363"/>
      <c r="S496" s="363"/>
      <c r="T496" s="363"/>
      <c r="U496" s="363"/>
      <c r="V496" s="363"/>
      <c r="W496" s="363"/>
      <c r="X496" s="363"/>
      <c r="Y496" s="363"/>
      <c r="Z496" s="363"/>
    </row>
    <row r="497" spans="1:26" ht="15.75" customHeight="1" x14ac:dyDescent="0.35">
      <c r="A497" s="363"/>
      <c r="B497" s="364"/>
      <c r="E497" s="364"/>
      <c r="H497" s="364"/>
      <c r="K497" s="363"/>
      <c r="L497" s="364"/>
      <c r="M497" s="363"/>
      <c r="N497" s="363"/>
      <c r="O497" s="363"/>
      <c r="P497" s="364"/>
      <c r="Q497" s="363"/>
      <c r="R497" s="363"/>
      <c r="S497" s="363"/>
      <c r="T497" s="363"/>
      <c r="U497" s="363"/>
      <c r="V497" s="363"/>
      <c r="W497" s="363"/>
      <c r="X497" s="363"/>
      <c r="Y497" s="363"/>
      <c r="Z497" s="363"/>
    </row>
    <row r="498" spans="1:26" ht="15.75" customHeight="1" x14ac:dyDescent="0.35">
      <c r="A498" s="363"/>
      <c r="B498" s="364"/>
      <c r="E498" s="364"/>
      <c r="H498" s="364"/>
      <c r="K498" s="363"/>
      <c r="L498" s="364"/>
      <c r="M498" s="363"/>
      <c r="N498" s="363"/>
      <c r="O498" s="363"/>
      <c r="P498" s="364"/>
      <c r="Q498" s="363"/>
      <c r="R498" s="363"/>
      <c r="S498" s="363"/>
      <c r="T498" s="363"/>
      <c r="U498" s="363"/>
      <c r="V498" s="363"/>
      <c r="W498" s="363"/>
      <c r="X498" s="363"/>
      <c r="Y498" s="363"/>
      <c r="Z498" s="363"/>
    </row>
    <row r="499" spans="1:26" ht="15.75" customHeight="1" x14ac:dyDescent="0.35">
      <c r="A499" s="363"/>
      <c r="B499" s="364"/>
      <c r="E499" s="364"/>
      <c r="H499" s="364"/>
      <c r="K499" s="363"/>
      <c r="L499" s="364"/>
      <c r="M499" s="363"/>
      <c r="N499" s="363"/>
      <c r="O499" s="363"/>
      <c r="P499" s="364"/>
      <c r="Q499" s="363"/>
      <c r="R499" s="363"/>
      <c r="S499" s="363"/>
      <c r="T499" s="363"/>
      <c r="U499" s="363"/>
      <c r="V499" s="363"/>
      <c r="W499" s="363"/>
      <c r="X499" s="363"/>
      <c r="Y499" s="363"/>
      <c r="Z499" s="363"/>
    </row>
    <row r="500" spans="1:26" ht="15.75" customHeight="1" x14ac:dyDescent="0.35">
      <c r="A500" s="363"/>
      <c r="B500" s="364"/>
      <c r="E500" s="364"/>
      <c r="H500" s="364"/>
      <c r="K500" s="363"/>
      <c r="L500" s="364"/>
      <c r="M500" s="363"/>
      <c r="N500" s="363"/>
      <c r="O500" s="363"/>
      <c r="P500" s="364"/>
      <c r="Q500" s="363"/>
      <c r="R500" s="363"/>
      <c r="S500" s="363"/>
      <c r="T500" s="363"/>
      <c r="U500" s="363"/>
      <c r="V500" s="363"/>
      <c r="W500" s="363"/>
      <c r="X500" s="363"/>
      <c r="Y500" s="363"/>
      <c r="Z500" s="363"/>
    </row>
    <row r="501" spans="1:26" ht="15.75" customHeight="1" x14ac:dyDescent="0.35">
      <c r="A501" s="363"/>
      <c r="B501" s="364"/>
      <c r="E501" s="364"/>
      <c r="H501" s="364"/>
      <c r="K501" s="363"/>
      <c r="L501" s="364"/>
      <c r="M501" s="363"/>
      <c r="N501" s="363"/>
      <c r="O501" s="363"/>
      <c r="P501" s="364"/>
      <c r="Q501" s="363"/>
      <c r="R501" s="363"/>
      <c r="S501" s="363"/>
      <c r="T501" s="363"/>
      <c r="U501" s="363"/>
      <c r="V501" s="363"/>
      <c r="W501" s="363"/>
      <c r="X501" s="363"/>
      <c r="Y501" s="363"/>
      <c r="Z501" s="363"/>
    </row>
    <row r="502" spans="1:26" ht="15.75" customHeight="1" x14ac:dyDescent="0.35">
      <c r="A502" s="363"/>
      <c r="B502" s="364"/>
      <c r="E502" s="364"/>
      <c r="H502" s="364"/>
      <c r="K502" s="363"/>
      <c r="L502" s="364"/>
      <c r="M502" s="363"/>
      <c r="N502" s="363"/>
      <c r="O502" s="363"/>
      <c r="P502" s="364"/>
      <c r="Q502" s="363"/>
      <c r="R502" s="363"/>
      <c r="S502" s="363"/>
      <c r="T502" s="363"/>
      <c r="U502" s="363"/>
      <c r="V502" s="363"/>
      <c r="W502" s="363"/>
      <c r="X502" s="363"/>
      <c r="Y502" s="363"/>
      <c r="Z502" s="363"/>
    </row>
    <row r="503" spans="1:26" ht="15.75" customHeight="1" x14ac:dyDescent="0.35">
      <c r="A503" s="363"/>
      <c r="B503" s="364"/>
      <c r="E503" s="364"/>
      <c r="H503" s="364"/>
      <c r="K503" s="363"/>
      <c r="L503" s="364"/>
      <c r="M503" s="363"/>
      <c r="N503" s="363"/>
      <c r="O503" s="363"/>
      <c r="P503" s="364"/>
      <c r="Q503" s="363"/>
      <c r="R503" s="363"/>
      <c r="S503" s="363"/>
      <c r="T503" s="363"/>
      <c r="U503" s="363"/>
      <c r="V503" s="363"/>
      <c r="W503" s="363"/>
      <c r="X503" s="363"/>
      <c r="Y503" s="363"/>
      <c r="Z503" s="363"/>
    </row>
    <row r="504" spans="1:26" ht="15.75" customHeight="1" x14ac:dyDescent="0.35">
      <c r="A504" s="363"/>
      <c r="B504" s="364"/>
      <c r="E504" s="364"/>
      <c r="H504" s="364"/>
      <c r="K504" s="363"/>
      <c r="L504" s="364"/>
      <c r="M504" s="363"/>
      <c r="N504" s="363"/>
      <c r="O504" s="363"/>
      <c r="P504" s="364"/>
      <c r="Q504" s="363"/>
      <c r="R504" s="363"/>
      <c r="S504" s="363"/>
      <c r="T504" s="363"/>
      <c r="U504" s="363"/>
      <c r="V504" s="363"/>
      <c r="W504" s="363"/>
      <c r="X504" s="363"/>
      <c r="Y504" s="363"/>
      <c r="Z504" s="363"/>
    </row>
    <row r="505" spans="1:26" ht="15.75" customHeight="1" x14ac:dyDescent="0.35">
      <c r="A505" s="363"/>
      <c r="B505" s="364"/>
      <c r="E505" s="364"/>
      <c r="H505" s="364"/>
      <c r="K505" s="363"/>
      <c r="L505" s="364"/>
      <c r="M505" s="363"/>
      <c r="N505" s="363"/>
      <c r="O505" s="363"/>
      <c r="P505" s="364"/>
      <c r="Q505" s="363"/>
      <c r="R505" s="363"/>
      <c r="S505" s="363"/>
      <c r="T505" s="363"/>
      <c r="U505" s="363"/>
      <c r="V505" s="363"/>
      <c r="W505" s="363"/>
      <c r="X505" s="363"/>
      <c r="Y505" s="363"/>
      <c r="Z505" s="363"/>
    </row>
    <row r="506" spans="1:26" ht="15.75" customHeight="1" x14ac:dyDescent="0.35">
      <c r="A506" s="363"/>
      <c r="B506" s="364"/>
      <c r="E506" s="364"/>
      <c r="H506" s="364"/>
      <c r="K506" s="363"/>
      <c r="L506" s="364"/>
      <c r="M506" s="363"/>
      <c r="N506" s="363"/>
      <c r="O506" s="363"/>
      <c r="P506" s="364"/>
      <c r="Q506" s="363"/>
      <c r="R506" s="363"/>
      <c r="S506" s="363"/>
      <c r="T506" s="363"/>
      <c r="U506" s="363"/>
      <c r="V506" s="363"/>
      <c r="W506" s="363"/>
      <c r="X506" s="363"/>
      <c r="Y506" s="363"/>
      <c r="Z506" s="363"/>
    </row>
    <row r="507" spans="1:26" ht="15.75" customHeight="1" x14ac:dyDescent="0.35">
      <c r="A507" s="363"/>
      <c r="B507" s="364"/>
      <c r="E507" s="364"/>
      <c r="H507" s="364"/>
      <c r="K507" s="363"/>
      <c r="L507" s="364"/>
      <c r="M507" s="363"/>
      <c r="N507" s="363"/>
      <c r="O507" s="363"/>
      <c r="P507" s="364"/>
      <c r="Q507" s="363"/>
      <c r="R507" s="363"/>
      <c r="S507" s="363"/>
      <c r="T507" s="363"/>
      <c r="U507" s="363"/>
      <c r="V507" s="363"/>
      <c r="W507" s="363"/>
      <c r="X507" s="363"/>
      <c r="Y507" s="363"/>
      <c r="Z507" s="363"/>
    </row>
    <row r="508" spans="1:26" ht="15.75" customHeight="1" x14ac:dyDescent="0.35">
      <c r="A508" s="363"/>
      <c r="B508" s="364"/>
      <c r="E508" s="364"/>
      <c r="H508" s="364"/>
      <c r="K508" s="363"/>
      <c r="L508" s="364"/>
      <c r="M508" s="363"/>
      <c r="N508" s="363"/>
      <c r="O508" s="363"/>
      <c r="P508" s="364"/>
      <c r="Q508" s="363"/>
      <c r="R508" s="363"/>
      <c r="S508" s="363"/>
      <c r="T508" s="363"/>
      <c r="U508" s="363"/>
      <c r="V508" s="363"/>
      <c r="W508" s="363"/>
      <c r="X508" s="363"/>
      <c r="Y508" s="363"/>
      <c r="Z508" s="363"/>
    </row>
    <row r="509" spans="1:26" ht="15.75" customHeight="1" x14ac:dyDescent="0.35">
      <c r="A509" s="363"/>
      <c r="B509" s="364"/>
      <c r="E509" s="364"/>
      <c r="H509" s="364"/>
      <c r="K509" s="363"/>
      <c r="L509" s="364"/>
      <c r="M509" s="363"/>
      <c r="N509" s="363"/>
      <c r="O509" s="363"/>
      <c r="P509" s="364"/>
      <c r="Q509" s="363"/>
      <c r="R509" s="363"/>
      <c r="S509" s="363"/>
      <c r="T509" s="363"/>
      <c r="U509" s="363"/>
      <c r="V509" s="363"/>
      <c r="W509" s="363"/>
      <c r="X509" s="363"/>
      <c r="Y509" s="363"/>
      <c r="Z509" s="363"/>
    </row>
    <row r="510" spans="1:26" ht="15.75" customHeight="1" x14ac:dyDescent="0.35">
      <c r="A510" s="363"/>
      <c r="B510" s="364"/>
      <c r="E510" s="364"/>
      <c r="H510" s="364"/>
      <c r="K510" s="363"/>
      <c r="L510" s="364"/>
      <c r="M510" s="363"/>
      <c r="N510" s="363"/>
      <c r="O510" s="363"/>
      <c r="P510" s="364"/>
      <c r="Q510" s="363"/>
      <c r="R510" s="363"/>
      <c r="S510" s="363"/>
      <c r="T510" s="363"/>
      <c r="U510" s="363"/>
      <c r="V510" s="363"/>
      <c r="W510" s="363"/>
      <c r="X510" s="363"/>
      <c r="Y510" s="363"/>
      <c r="Z510" s="363"/>
    </row>
    <row r="511" spans="1:26" ht="15.75" customHeight="1" x14ac:dyDescent="0.35">
      <c r="A511" s="363"/>
      <c r="B511" s="364"/>
      <c r="E511" s="364"/>
      <c r="H511" s="364"/>
      <c r="K511" s="363"/>
      <c r="L511" s="364"/>
      <c r="M511" s="363"/>
      <c r="N511" s="363"/>
      <c r="O511" s="363"/>
      <c r="P511" s="364"/>
      <c r="Q511" s="363"/>
      <c r="R511" s="363"/>
      <c r="S511" s="363"/>
      <c r="T511" s="363"/>
      <c r="U511" s="363"/>
      <c r="V511" s="363"/>
      <c r="W511" s="363"/>
      <c r="X511" s="363"/>
      <c r="Y511" s="363"/>
      <c r="Z511" s="363"/>
    </row>
    <row r="512" spans="1:26" ht="15.75" customHeight="1" x14ac:dyDescent="0.35">
      <c r="A512" s="363"/>
      <c r="B512" s="364"/>
      <c r="E512" s="364"/>
      <c r="H512" s="364"/>
      <c r="K512" s="363"/>
      <c r="L512" s="364"/>
      <c r="M512" s="363"/>
      <c r="N512" s="363"/>
      <c r="O512" s="363"/>
      <c r="P512" s="364"/>
      <c r="Q512" s="363"/>
      <c r="R512" s="363"/>
      <c r="S512" s="363"/>
      <c r="T512" s="363"/>
      <c r="U512" s="363"/>
      <c r="V512" s="363"/>
      <c r="W512" s="363"/>
      <c r="X512" s="363"/>
      <c r="Y512" s="363"/>
      <c r="Z512" s="363"/>
    </row>
    <row r="513" spans="1:26" ht="15.75" customHeight="1" x14ac:dyDescent="0.35">
      <c r="A513" s="363"/>
      <c r="B513" s="364"/>
      <c r="E513" s="364"/>
      <c r="H513" s="364"/>
      <c r="K513" s="363"/>
      <c r="L513" s="364"/>
      <c r="M513" s="363"/>
      <c r="N513" s="363"/>
      <c r="O513" s="363"/>
      <c r="P513" s="364"/>
      <c r="Q513" s="363"/>
      <c r="R513" s="363"/>
      <c r="S513" s="363"/>
      <c r="T513" s="363"/>
      <c r="U513" s="363"/>
      <c r="V513" s="363"/>
      <c r="W513" s="363"/>
      <c r="X513" s="363"/>
      <c r="Y513" s="363"/>
      <c r="Z513" s="363"/>
    </row>
    <row r="514" spans="1:26" ht="15.75" customHeight="1" x14ac:dyDescent="0.35">
      <c r="A514" s="363"/>
      <c r="B514" s="364"/>
      <c r="E514" s="364"/>
      <c r="H514" s="364"/>
      <c r="K514" s="363"/>
      <c r="L514" s="364"/>
      <c r="M514" s="363"/>
      <c r="N514" s="363"/>
      <c r="O514" s="363"/>
      <c r="P514" s="364"/>
      <c r="Q514" s="363"/>
      <c r="R514" s="363"/>
      <c r="S514" s="363"/>
      <c r="T514" s="363"/>
      <c r="U514" s="363"/>
      <c r="V514" s="363"/>
      <c r="W514" s="363"/>
      <c r="X514" s="363"/>
      <c r="Y514" s="363"/>
      <c r="Z514" s="363"/>
    </row>
    <row r="515" spans="1:26" ht="15.75" customHeight="1" x14ac:dyDescent="0.35">
      <c r="A515" s="363"/>
      <c r="B515" s="364"/>
      <c r="E515" s="364"/>
      <c r="H515" s="364"/>
      <c r="K515" s="363"/>
      <c r="L515" s="364"/>
      <c r="M515" s="363"/>
      <c r="N515" s="363"/>
      <c r="O515" s="363"/>
      <c r="P515" s="364"/>
      <c r="Q515" s="363"/>
      <c r="R515" s="363"/>
      <c r="S515" s="363"/>
      <c r="T515" s="363"/>
      <c r="U515" s="363"/>
      <c r="V515" s="363"/>
      <c r="W515" s="363"/>
      <c r="X515" s="363"/>
      <c r="Y515" s="363"/>
      <c r="Z515" s="363"/>
    </row>
    <row r="516" spans="1:26" ht="15.75" customHeight="1" x14ac:dyDescent="0.35">
      <c r="A516" s="363"/>
      <c r="B516" s="364"/>
      <c r="E516" s="364"/>
      <c r="H516" s="364"/>
      <c r="K516" s="363"/>
      <c r="L516" s="364"/>
      <c r="M516" s="363"/>
      <c r="N516" s="363"/>
      <c r="O516" s="363"/>
      <c r="P516" s="364"/>
      <c r="Q516" s="363"/>
      <c r="R516" s="363"/>
      <c r="S516" s="363"/>
      <c r="T516" s="363"/>
      <c r="U516" s="363"/>
      <c r="V516" s="363"/>
      <c r="W516" s="363"/>
      <c r="X516" s="363"/>
      <c r="Y516" s="363"/>
      <c r="Z516" s="363"/>
    </row>
    <row r="517" spans="1:26" ht="15.75" customHeight="1" x14ac:dyDescent="0.35">
      <c r="A517" s="363"/>
      <c r="B517" s="364"/>
      <c r="E517" s="364"/>
      <c r="H517" s="364"/>
      <c r="K517" s="363"/>
      <c r="L517" s="364"/>
      <c r="M517" s="363"/>
      <c r="N517" s="363"/>
      <c r="O517" s="363"/>
      <c r="P517" s="364"/>
      <c r="Q517" s="363"/>
      <c r="R517" s="363"/>
      <c r="S517" s="363"/>
      <c r="T517" s="363"/>
      <c r="U517" s="363"/>
      <c r="V517" s="363"/>
      <c r="W517" s="363"/>
      <c r="X517" s="363"/>
      <c r="Y517" s="363"/>
      <c r="Z517" s="363"/>
    </row>
    <row r="518" spans="1:26" ht="15.75" customHeight="1" x14ac:dyDescent="0.35">
      <c r="A518" s="363"/>
      <c r="B518" s="364"/>
      <c r="E518" s="364"/>
      <c r="H518" s="364"/>
      <c r="K518" s="363"/>
      <c r="L518" s="364"/>
      <c r="M518" s="363"/>
      <c r="N518" s="363"/>
      <c r="O518" s="363"/>
      <c r="P518" s="364"/>
      <c r="Q518" s="363"/>
      <c r="R518" s="363"/>
      <c r="S518" s="363"/>
      <c r="T518" s="363"/>
      <c r="U518" s="363"/>
      <c r="V518" s="363"/>
      <c r="W518" s="363"/>
      <c r="X518" s="363"/>
      <c r="Y518" s="363"/>
      <c r="Z518" s="363"/>
    </row>
    <row r="519" spans="1:26" ht="15.75" customHeight="1" x14ac:dyDescent="0.35">
      <c r="A519" s="363"/>
      <c r="B519" s="364"/>
      <c r="E519" s="364"/>
      <c r="H519" s="364"/>
      <c r="K519" s="363"/>
      <c r="L519" s="364"/>
      <c r="M519" s="363"/>
      <c r="N519" s="363"/>
      <c r="O519" s="363"/>
      <c r="P519" s="364"/>
      <c r="Q519" s="363"/>
      <c r="R519" s="363"/>
      <c r="S519" s="363"/>
      <c r="T519" s="363"/>
      <c r="U519" s="363"/>
      <c r="V519" s="363"/>
      <c r="W519" s="363"/>
      <c r="X519" s="363"/>
      <c r="Y519" s="363"/>
      <c r="Z519" s="363"/>
    </row>
    <row r="520" spans="1:26" ht="15.75" customHeight="1" x14ac:dyDescent="0.35">
      <c r="A520" s="363"/>
      <c r="B520" s="364"/>
      <c r="E520" s="364"/>
      <c r="H520" s="364"/>
      <c r="K520" s="363"/>
      <c r="L520" s="364"/>
      <c r="M520" s="363"/>
      <c r="N520" s="363"/>
      <c r="O520" s="363"/>
      <c r="P520" s="364"/>
      <c r="Q520" s="363"/>
      <c r="R520" s="363"/>
      <c r="S520" s="363"/>
      <c r="T520" s="363"/>
      <c r="U520" s="363"/>
      <c r="V520" s="363"/>
      <c r="W520" s="363"/>
      <c r="X520" s="363"/>
      <c r="Y520" s="363"/>
      <c r="Z520" s="363"/>
    </row>
    <row r="521" spans="1:26" ht="15.75" customHeight="1" x14ac:dyDescent="0.35">
      <c r="A521" s="363"/>
      <c r="B521" s="364"/>
      <c r="E521" s="364"/>
      <c r="H521" s="364"/>
      <c r="K521" s="363"/>
      <c r="L521" s="364"/>
      <c r="M521" s="363"/>
      <c r="N521" s="363"/>
      <c r="O521" s="363"/>
      <c r="P521" s="364"/>
      <c r="Q521" s="363"/>
      <c r="R521" s="363"/>
      <c r="S521" s="363"/>
      <c r="T521" s="363"/>
      <c r="U521" s="363"/>
      <c r="V521" s="363"/>
      <c r="W521" s="363"/>
      <c r="X521" s="363"/>
      <c r="Y521" s="363"/>
      <c r="Z521" s="363"/>
    </row>
    <row r="522" spans="1:26" ht="15.75" customHeight="1" x14ac:dyDescent="0.35">
      <c r="A522" s="363"/>
      <c r="B522" s="364"/>
      <c r="E522" s="364"/>
      <c r="H522" s="364"/>
      <c r="K522" s="363"/>
      <c r="L522" s="364"/>
      <c r="M522" s="363"/>
      <c r="N522" s="363"/>
      <c r="O522" s="363"/>
      <c r="P522" s="364"/>
      <c r="Q522" s="363"/>
      <c r="R522" s="363"/>
      <c r="S522" s="363"/>
      <c r="T522" s="363"/>
      <c r="U522" s="363"/>
      <c r="V522" s="363"/>
      <c r="W522" s="363"/>
      <c r="X522" s="363"/>
      <c r="Y522" s="363"/>
      <c r="Z522" s="363"/>
    </row>
    <row r="523" spans="1:26" ht="15.75" customHeight="1" x14ac:dyDescent="0.35">
      <c r="A523" s="363"/>
      <c r="B523" s="364"/>
      <c r="E523" s="364"/>
      <c r="H523" s="364"/>
      <c r="K523" s="363"/>
      <c r="L523" s="364"/>
      <c r="M523" s="363"/>
      <c r="N523" s="363"/>
      <c r="O523" s="363"/>
      <c r="P523" s="364"/>
      <c r="Q523" s="363"/>
      <c r="R523" s="363"/>
      <c r="S523" s="363"/>
      <c r="T523" s="363"/>
      <c r="U523" s="363"/>
      <c r="V523" s="363"/>
      <c r="W523" s="363"/>
      <c r="X523" s="363"/>
      <c r="Y523" s="363"/>
      <c r="Z523" s="363"/>
    </row>
    <row r="524" spans="1:26" ht="15.75" customHeight="1" x14ac:dyDescent="0.35">
      <c r="A524" s="363"/>
      <c r="B524" s="364"/>
      <c r="E524" s="364"/>
      <c r="H524" s="364"/>
      <c r="K524" s="363"/>
      <c r="L524" s="364"/>
      <c r="M524" s="363"/>
      <c r="N524" s="363"/>
      <c r="O524" s="363"/>
      <c r="P524" s="364"/>
      <c r="Q524" s="363"/>
      <c r="R524" s="363"/>
      <c r="S524" s="363"/>
      <c r="T524" s="363"/>
      <c r="U524" s="363"/>
      <c r="V524" s="363"/>
      <c r="W524" s="363"/>
      <c r="X524" s="363"/>
      <c r="Y524" s="363"/>
      <c r="Z524" s="363"/>
    </row>
    <row r="525" spans="1:26" ht="15.75" customHeight="1" x14ac:dyDescent="0.35">
      <c r="A525" s="363"/>
      <c r="B525" s="364"/>
      <c r="E525" s="364"/>
      <c r="H525" s="364"/>
      <c r="K525" s="363"/>
      <c r="L525" s="364"/>
      <c r="M525" s="363"/>
      <c r="N525" s="363"/>
      <c r="O525" s="363"/>
      <c r="P525" s="364"/>
      <c r="Q525" s="363"/>
      <c r="R525" s="363"/>
      <c r="S525" s="363"/>
      <c r="T525" s="363"/>
      <c r="U525" s="363"/>
      <c r="V525" s="363"/>
      <c r="W525" s="363"/>
      <c r="X525" s="363"/>
      <c r="Y525" s="363"/>
      <c r="Z525" s="363"/>
    </row>
    <row r="526" spans="1:26" ht="15.75" customHeight="1" x14ac:dyDescent="0.35">
      <c r="A526" s="363"/>
      <c r="B526" s="364"/>
      <c r="E526" s="364"/>
      <c r="H526" s="364"/>
      <c r="K526" s="363"/>
      <c r="L526" s="364"/>
      <c r="M526" s="363"/>
      <c r="N526" s="363"/>
      <c r="O526" s="363"/>
      <c r="P526" s="364"/>
      <c r="Q526" s="363"/>
      <c r="R526" s="363"/>
      <c r="S526" s="363"/>
      <c r="T526" s="363"/>
      <c r="U526" s="363"/>
      <c r="V526" s="363"/>
      <c r="W526" s="363"/>
      <c r="X526" s="363"/>
      <c r="Y526" s="363"/>
      <c r="Z526" s="363"/>
    </row>
    <row r="527" spans="1:26" ht="15.75" customHeight="1" x14ac:dyDescent="0.35">
      <c r="A527" s="363"/>
      <c r="B527" s="364"/>
      <c r="E527" s="364"/>
      <c r="H527" s="364"/>
      <c r="K527" s="363"/>
      <c r="L527" s="364"/>
      <c r="M527" s="363"/>
      <c r="N527" s="363"/>
      <c r="O527" s="363"/>
      <c r="P527" s="364"/>
      <c r="Q527" s="363"/>
      <c r="R527" s="363"/>
      <c r="S527" s="363"/>
      <c r="T527" s="363"/>
      <c r="U527" s="363"/>
      <c r="V527" s="363"/>
      <c r="W527" s="363"/>
      <c r="X527" s="363"/>
      <c r="Y527" s="363"/>
      <c r="Z527" s="363"/>
    </row>
    <row r="528" spans="1:26" ht="15.75" customHeight="1" x14ac:dyDescent="0.35">
      <c r="A528" s="363"/>
      <c r="B528" s="364"/>
      <c r="E528" s="364"/>
      <c r="H528" s="364"/>
      <c r="K528" s="363"/>
      <c r="L528" s="364"/>
      <c r="M528" s="363"/>
      <c r="N528" s="363"/>
      <c r="O528" s="363"/>
      <c r="P528" s="364"/>
      <c r="Q528" s="363"/>
      <c r="R528" s="363"/>
      <c r="S528" s="363"/>
      <c r="T528" s="363"/>
      <c r="U528" s="363"/>
      <c r="V528" s="363"/>
      <c r="W528" s="363"/>
      <c r="X528" s="363"/>
      <c r="Y528" s="363"/>
      <c r="Z528" s="363"/>
    </row>
    <row r="529" spans="1:26" ht="15.75" customHeight="1" x14ac:dyDescent="0.35">
      <c r="A529" s="363"/>
      <c r="B529" s="364"/>
      <c r="E529" s="364"/>
      <c r="H529" s="364"/>
      <c r="K529" s="363"/>
      <c r="L529" s="364"/>
      <c r="M529" s="363"/>
      <c r="N529" s="363"/>
      <c r="O529" s="363"/>
      <c r="P529" s="364"/>
      <c r="Q529" s="363"/>
      <c r="R529" s="363"/>
      <c r="S529" s="363"/>
      <c r="T529" s="363"/>
      <c r="U529" s="363"/>
      <c r="V529" s="363"/>
      <c r="W529" s="363"/>
      <c r="X529" s="363"/>
      <c r="Y529" s="363"/>
      <c r="Z529" s="363"/>
    </row>
    <row r="530" spans="1:26" ht="15.75" customHeight="1" x14ac:dyDescent="0.35">
      <c r="A530" s="363"/>
      <c r="B530" s="364"/>
      <c r="E530" s="364"/>
      <c r="H530" s="364"/>
      <c r="K530" s="363"/>
      <c r="L530" s="364"/>
      <c r="M530" s="363"/>
      <c r="N530" s="363"/>
      <c r="O530" s="363"/>
      <c r="P530" s="364"/>
      <c r="Q530" s="363"/>
      <c r="R530" s="363"/>
      <c r="S530" s="363"/>
      <c r="T530" s="363"/>
      <c r="U530" s="363"/>
      <c r="V530" s="363"/>
      <c r="W530" s="363"/>
      <c r="X530" s="363"/>
      <c r="Y530" s="363"/>
      <c r="Z530" s="363"/>
    </row>
    <row r="531" spans="1:26" ht="15.75" customHeight="1" x14ac:dyDescent="0.35">
      <c r="A531" s="363"/>
      <c r="B531" s="364"/>
      <c r="E531" s="364"/>
      <c r="H531" s="364"/>
      <c r="K531" s="363"/>
      <c r="L531" s="364"/>
      <c r="M531" s="363"/>
      <c r="N531" s="363"/>
      <c r="O531" s="363"/>
      <c r="P531" s="364"/>
      <c r="Q531" s="363"/>
      <c r="R531" s="363"/>
      <c r="S531" s="363"/>
      <c r="T531" s="363"/>
      <c r="U531" s="363"/>
      <c r="V531" s="363"/>
      <c r="W531" s="363"/>
      <c r="X531" s="363"/>
      <c r="Y531" s="363"/>
      <c r="Z531" s="363"/>
    </row>
    <row r="532" spans="1:26" ht="15.75" customHeight="1" x14ac:dyDescent="0.35">
      <c r="A532" s="363"/>
      <c r="B532" s="364"/>
      <c r="E532" s="364"/>
      <c r="H532" s="364"/>
      <c r="K532" s="363"/>
      <c r="L532" s="364"/>
      <c r="M532" s="363"/>
      <c r="N532" s="363"/>
      <c r="O532" s="363"/>
      <c r="P532" s="364"/>
      <c r="Q532" s="363"/>
      <c r="R532" s="363"/>
      <c r="S532" s="363"/>
      <c r="T532" s="363"/>
      <c r="U532" s="363"/>
      <c r="V532" s="363"/>
      <c r="W532" s="363"/>
      <c r="X532" s="363"/>
      <c r="Y532" s="363"/>
      <c r="Z532" s="363"/>
    </row>
    <row r="533" spans="1:26" ht="15.75" customHeight="1" x14ac:dyDescent="0.35">
      <c r="A533" s="363"/>
      <c r="B533" s="364"/>
      <c r="E533" s="364"/>
      <c r="H533" s="364"/>
      <c r="K533" s="363"/>
      <c r="L533" s="364"/>
      <c r="M533" s="363"/>
      <c r="N533" s="363"/>
      <c r="O533" s="363"/>
      <c r="P533" s="364"/>
      <c r="Q533" s="363"/>
      <c r="R533" s="363"/>
      <c r="S533" s="363"/>
      <c r="T533" s="363"/>
      <c r="U533" s="363"/>
      <c r="V533" s="363"/>
      <c r="W533" s="363"/>
      <c r="X533" s="363"/>
      <c r="Y533" s="363"/>
      <c r="Z533" s="363"/>
    </row>
    <row r="534" spans="1:26" ht="15.75" customHeight="1" x14ac:dyDescent="0.35">
      <c r="A534" s="363"/>
      <c r="B534" s="364"/>
      <c r="E534" s="364"/>
      <c r="H534" s="364"/>
      <c r="K534" s="363"/>
      <c r="L534" s="364"/>
      <c r="M534" s="363"/>
      <c r="N534" s="363"/>
      <c r="O534" s="363"/>
      <c r="P534" s="364"/>
      <c r="Q534" s="363"/>
      <c r="R534" s="363"/>
      <c r="S534" s="363"/>
      <c r="T534" s="363"/>
      <c r="U534" s="363"/>
      <c r="V534" s="363"/>
      <c r="W534" s="363"/>
      <c r="X534" s="363"/>
      <c r="Y534" s="363"/>
      <c r="Z534" s="363"/>
    </row>
    <row r="535" spans="1:26" ht="15.75" customHeight="1" x14ac:dyDescent="0.35">
      <c r="A535" s="363"/>
      <c r="B535" s="364"/>
      <c r="E535" s="364"/>
      <c r="H535" s="364"/>
      <c r="K535" s="363"/>
      <c r="L535" s="364"/>
      <c r="M535" s="363"/>
      <c r="N535" s="363"/>
      <c r="O535" s="363"/>
      <c r="P535" s="364"/>
      <c r="Q535" s="363"/>
      <c r="R535" s="363"/>
      <c r="S535" s="363"/>
      <c r="T535" s="363"/>
      <c r="U535" s="363"/>
      <c r="V535" s="363"/>
      <c r="W535" s="363"/>
      <c r="X535" s="363"/>
      <c r="Y535" s="363"/>
      <c r="Z535" s="363"/>
    </row>
    <row r="536" spans="1:26" ht="15.75" customHeight="1" x14ac:dyDescent="0.35">
      <c r="A536" s="363"/>
      <c r="B536" s="364"/>
      <c r="E536" s="364"/>
      <c r="H536" s="364"/>
      <c r="K536" s="363"/>
      <c r="L536" s="364"/>
      <c r="M536" s="363"/>
      <c r="N536" s="363"/>
      <c r="O536" s="363"/>
      <c r="P536" s="364"/>
      <c r="Q536" s="363"/>
      <c r="R536" s="363"/>
      <c r="S536" s="363"/>
      <c r="T536" s="363"/>
      <c r="U536" s="363"/>
      <c r="V536" s="363"/>
      <c r="W536" s="363"/>
      <c r="X536" s="363"/>
      <c r="Y536" s="363"/>
      <c r="Z536" s="363"/>
    </row>
    <row r="537" spans="1:26" ht="15.75" customHeight="1" x14ac:dyDescent="0.35">
      <c r="A537" s="363"/>
      <c r="B537" s="364"/>
      <c r="E537" s="364"/>
      <c r="H537" s="364"/>
      <c r="K537" s="363"/>
      <c r="L537" s="364"/>
      <c r="M537" s="363"/>
      <c r="N537" s="363"/>
      <c r="O537" s="363"/>
      <c r="P537" s="364"/>
      <c r="Q537" s="363"/>
      <c r="R537" s="363"/>
      <c r="S537" s="363"/>
      <c r="T537" s="363"/>
      <c r="U537" s="363"/>
      <c r="V537" s="363"/>
      <c r="W537" s="363"/>
      <c r="X537" s="363"/>
      <c r="Y537" s="363"/>
      <c r="Z537" s="363"/>
    </row>
    <row r="538" spans="1:26" ht="15.75" customHeight="1" x14ac:dyDescent="0.35">
      <c r="A538" s="363"/>
      <c r="B538" s="364"/>
      <c r="E538" s="364"/>
      <c r="H538" s="364"/>
      <c r="K538" s="363"/>
      <c r="L538" s="364"/>
      <c r="M538" s="363"/>
      <c r="N538" s="363"/>
      <c r="O538" s="363"/>
      <c r="P538" s="364"/>
      <c r="Q538" s="363"/>
      <c r="R538" s="363"/>
      <c r="S538" s="363"/>
      <c r="T538" s="363"/>
      <c r="U538" s="363"/>
      <c r="V538" s="363"/>
      <c r="W538" s="363"/>
      <c r="X538" s="363"/>
      <c r="Y538" s="363"/>
      <c r="Z538" s="363"/>
    </row>
    <row r="539" spans="1:26" ht="15.75" customHeight="1" x14ac:dyDescent="0.35">
      <c r="A539" s="363"/>
      <c r="B539" s="364"/>
      <c r="E539" s="364"/>
      <c r="H539" s="364"/>
      <c r="K539" s="363"/>
      <c r="L539" s="364"/>
      <c r="M539" s="363"/>
      <c r="N539" s="363"/>
      <c r="O539" s="363"/>
      <c r="P539" s="364"/>
      <c r="Q539" s="363"/>
      <c r="R539" s="363"/>
      <c r="S539" s="363"/>
      <c r="T539" s="363"/>
      <c r="U539" s="363"/>
      <c r="V539" s="363"/>
      <c r="W539" s="363"/>
      <c r="X539" s="363"/>
      <c r="Y539" s="363"/>
      <c r="Z539" s="363"/>
    </row>
    <row r="540" spans="1:26" ht="15.75" customHeight="1" x14ac:dyDescent="0.35">
      <c r="A540" s="363"/>
      <c r="B540" s="364"/>
      <c r="E540" s="364"/>
      <c r="H540" s="364"/>
      <c r="K540" s="363"/>
      <c r="L540" s="364"/>
      <c r="M540" s="363"/>
      <c r="N540" s="363"/>
      <c r="O540" s="363"/>
      <c r="P540" s="364"/>
      <c r="Q540" s="363"/>
      <c r="R540" s="363"/>
      <c r="S540" s="363"/>
      <c r="T540" s="363"/>
      <c r="U540" s="363"/>
      <c r="V540" s="363"/>
      <c r="W540" s="363"/>
      <c r="X540" s="363"/>
      <c r="Y540" s="363"/>
      <c r="Z540" s="363"/>
    </row>
    <row r="541" spans="1:26" ht="15.75" customHeight="1" x14ac:dyDescent="0.35">
      <c r="A541" s="363"/>
      <c r="B541" s="364"/>
      <c r="E541" s="364"/>
      <c r="H541" s="364"/>
      <c r="K541" s="363"/>
      <c r="L541" s="364"/>
      <c r="M541" s="363"/>
      <c r="N541" s="363"/>
      <c r="O541" s="363"/>
      <c r="P541" s="364"/>
      <c r="Q541" s="363"/>
      <c r="R541" s="363"/>
      <c r="S541" s="363"/>
      <c r="T541" s="363"/>
      <c r="U541" s="363"/>
      <c r="V541" s="363"/>
      <c r="W541" s="363"/>
      <c r="X541" s="363"/>
      <c r="Y541" s="363"/>
      <c r="Z541" s="363"/>
    </row>
    <row r="542" spans="1:26" ht="15.75" customHeight="1" x14ac:dyDescent="0.35">
      <c r="A542" s="363"/>
      <c r="B542" s="364"/>
      <c r="E542" s="364"/>
      <c r="H542" s="364"/>
      <c r="K542" s="363"/>
      <c r="L542" s="364"/>
      <c r="M542" s="363"/>
      <c r="N542" s="363"/>
      <c r="O542" s="363"/>
      <c r="P542" s="364"/>
      <c r="Q542" s="363"/>
      <c r="R542" s="363"/>
      <c r="S542" s="363"/>
      <c r="T542" s="363"/>
      <c r="U542" s="363"/>
      <c r="V542" s="363"/>
      <c r="W542" s="363"/>
      <c r="X542" s="363"/>
      <c r="Y542" s="363"/>
      <c r="Z542" s="363"/>
    </row>
    <row r="543" spans="1:26" ht="15.75" customHeight="1" x14ac:dyDescent="0.35">
      <c r="A543" s="363"/>
      <c r="B543" s="364"/>
      <c r="E543" s="364"/>
      <c r="H543" s="364"/>
      <c r="K543" s="363"/>
      <c r="L543" s="364"/>
      <c r="M543" s="363"/>
      <c r="N543" s="363"/>
      <c r="O543" s="363"/>
      <c r="P543" s="364"/>
      <c r="Q543" s="363"/>
      <c r="R543" s="363"/>
      <c r="S543" s="363"/>
      <c r="T543" s="363"/>
      <c r="U543" s="363"/>
      <c r="V543" s="363"/>
      <c r="W543" s="363"/>
      <c r="X543" s="363"/>
      <c r="Y543" s="363"/>
      <c r="Z543" s="363"/>
    </row>
    <row r="544" spans="1:26" ht="15.75" customHeight="1" x14ac:dyDescent="0.35">
      <c r="A544" s="363"/>
      <c r="B544" s="364"/>
      <c r="E544" s="364"/>
      <c r="H544" s="364"/>
      <c r="K544" s="363"/>
      <c r="L544" s="364"/>
      <c r="M544" s="363"/>
      <c r="N544" s="363"/>
      <c r="O544" s="363"/>
      <c r="P544" s="364"/>
      <c r="Q544" s="363"/>
      <c r="R544" s="363"/>
      <c r="S544" s="363"/>
      <c r="T544" s="363"/>
      <c r="U544" s="363"/>
      <c r="V544" s="363"/>
      <c r="W544" s="363"/>
      <c r="X544" s="363"/>
      <c r="Y544" s="363"/>
      <c r="Z544" s="363"/>
    </row>
    <row r="545" spans="1:26" ht="15.75" customHeight="1" x14ac:dyDescent="0.35">
      <c r="A545" s="363"/>
      <c r="B545" s="364"/>
      <c r="E545" s="364"/>
      <c r="H545" s="364"/>
      <c r="K545" s="363"/>
      <c r="L545" s="364"/>
      <c r="M545" s="363"/>
      <c r="N545" s="363"/>
      <c r="O545" s="363"/>
      <c r="P545" s="364"/>
      <c r="Q545" s="363"/>
      <c r="R545" s="363"/>
      <c r="S545" s="363"/>
      <c r="T545" s="363"/>
      <c r="U545" s="363"/>
      <c r="V545" s="363"/>
      <c r="W545" s="363"/>
      <c r="X545" s="363"/>
      <c r="Y545" s="363"/>
      <c r="Z545" s="363"/>
    </row>
    <row r="546" spans="1:26" ht="15.75" customHeight="1" x14ac:dyDescent="0.35">
      <c r="A546" s="363"/>
      <c r="B546" s="364"/>
      <c r="E546" s="364"/>
      <c r="H546" s="364"/>
      <c r="K546" s="363"/>
      <c r="L546" s="364"/>
      <c r="M546" s="363"/>
      <c r="N546" s="363"/>
      <c r="O546" s="363"/>
      <c r="P546" s="364"/>
      <c r="Q546" s="363"/>
      <c r="R546" s="363"/>
      <c r="S546" s="363"/>
      <c r="T546" s="363"/>
      <c r="U546" s="363"/>
      <c r="V546" s="363"/>
      <c r="W546" s="363"/>
      <c r="X546" s="363"/>
      <c r="Y546" s="363"/>
      <c r="Z546" s="363"/>
    </row>
    <row r="547" spans="1:26" ht="15.75" customHeight="1" x14ac:dyDescent="0.35">
      <c r="A547" s="363"/>
      <c r="B547" s="364"/>
      <c r="E547" s="364"/>
      <c r="H547" s="364"/>
      <c r="K547" s="363"/>
      <c r="L547" s="364"/>
      <c r="M547" s="363"/>
      <c r="N547" s="363"/>
      <c r="O547" s="363"/>
      <c r="P547" s="364"/>
      <c r="Q547" s="363"/>
      <c r="R547" s="363"/>
      <c r="S547" s="363"/>
      <c r="T547" s="363"/>
      <c r="U547" s="363"/>
      <c r="V547" s="363"/>
      <c r="W547" s="363"/>
      <c r="X547" s="363"/>
      <c r="Y547" s="363"/>
      <c r="Z547" s="363"/>
    </row>
    <row r="548" spans="1:26" ht="15.75" customHeight="1" x14ac:dyDescent="0.35">
      <c r="A548" s="363"/>
      <c r="B548" s="364"/>
      <c r="E548" s="364"/>
      <c r="H548" s="364"/>
      <c r="K548" s="363"/>
      <c r="L548" s="364"/>
      <c r="M548" s="363"/>
      <c r="N548" s="363"/>
      <c r="O548" s="363"/>
      <c r="P548" s="364"/>
      <c r="Q548" s="363"/>
      <c r="R548" s="363"/>
      <c r="S548" s="363"/>
      <c r="T548" s="363"/>
      <c r="U548" s="363"/>
      <c r="V548" s="363"/>
      <c r="W548" s="363"/>
      <c r="X548" s="363"/>
      <c r="Y548" s="363"/>
      <c r="Z548" s="363"/>
    </row>
    <row r="549" spans="1:26" ht="15.75" customHeight="1" x14ac:dyDescent="0.35">
      <c r="A549" s="363"/>
      <c r="B549" s="364"/>
      <c r="E549" s="364"/>
      <c r="H549" s="364"/>
      <c r="K549" s="363"/>
      <c r="L549" s="364"/>
      <c r="M549" s="363"/>
      <c r="N549" s="363"/>
      <c r="O549" s="363"/>
      <c r="P549" s="364"/>
      <c r="Q549" s="363"/>
      <c r="R549" s="363"/>
      <c r="S549" s="363"/>
      <c r="T549" s="363"/>
      <c r="U549" s="363"/>
      <c r="V549" s="363"/>
      <c r="W549" s="363"/>
      <c r="X549" s="363"/>
      <c r="Y549" s="363"/>
      <c r="Z549" s="363"/>
    </row>
    <row r="550" spans="1:26" ht="15.75" customHeight="1" x14ac:dyDescent="0.35">
      <c r="A550" s="363"/>
      <c r="B550" s="364"/>
      <c r="E550" s="364"/>
      <c r="H550" s="364"/>
      <c r="K550" s="363"/>
      <c r="L550" s="364"/>
      <c r="M550" s="363"/>
      <c r="N550" s="363"/>
      <c r="O550" s="363"/>
      <c r="P550" s="364"/>
      <c r="Q550" s="363"/>
      <c r="R550" s="363"/>
      <c r="S550" s="363"/>
      <c r="T550" s="363"/>
      <c r="U550" s="363"/>
      <c r="V550" s="363"/>
      <c r="W550" s="363"/>
      <c r="X550" s="363"/>
      <c r="Y550" s="363"/>
      <c r="Z550" s="363"/>
    </row>
    <row r="551" spans="1:26" ht="15.75" customHeight="1" x14ac:dyDescent="0.35">
      <c r="A551" s="363"/>
      <c r="B551" s="364"/>
      <c r="E551" s="364"/>
      <c r="H551" s="364"/>
      <c r="K551" s="363"/>
      <c r="L551" s="364"/>
      <c r="M551" s="363"/>
      <c r="N551" s="363"/>
      <c r="O551" s="363"/>
      <c r="P551" s="364"/>
      <c r="Q551" s="363"/>
      <c r="R551" s="363"/>
      <c r="S551" s="363"/>
      <c r="T551" s="363"/>
      <c r="U551" s="363"/>
      <c r="V551" s="363"/>
      <c r="W551" s="363"/>
      <c r="X551" s="363"/>
      <c r="Y551" s="363"/>
      <c r="Z551" s="363"/>
    </row>
    <row r="552" spans="1:26" ht="15.75" customHeight="1" x14ac:dyDescent="0.35">
      <c r="A552" s="363"/>
      <c r="B552" s="364"/>
      <c r="E552" s="364"/>
      <c r="H552" s="364"/>
      <c r="K552" s="363"/>
      <c r="L552" s="364"/>
      <c r="M552" s="363"/>
      <c r="N552" s="363"/>
      <c r="O552" s="363"/>
      <c r="P552" s="364"/>
      <c r="Q552" s="363"/>
      <c r="R552" s="363"/>
      <c r="S552" s="363"/>
      <c r="T552" s="363"/>
      <c r="U552" s="363"/>
      <c r="V552" s="363"/>
      <c r="W552" s="363"/>
      <c r="X552" s="363"/>
      <c r="Y552" s="363"/>
      <c r="Z552" s="363"/>
    </row>
    <row r="553" spans="1:26" ht="15.75" customHeight="1" x14ac:dyDescent="0.35">
      <c r="A553" s="363"/>
      <c r="B553" s="364"/>
      <c r="E553" s="364"/>
      <c r="H553" s="364"/>
      <c r="K553" s="363"/>
      <c r="L553" s="364"/>
      <c r="M553" s="363"/>
      <c r="N553" s="363"/>
      <c r="O553" s="363"/>
      <c r="P553" s="364"/>
      <c r="Q553" s="363"/>
      <c r="R553" s="363"/>
      <c r="S553" s="363"/>
      <c r="T553" s="363"/>
      <c r="U553" s="363"/>
      <c r="V553" s="363"/>
      <c r="W553" s="363"/>
      <c r="X553" s="363"/>
      <c r="Y553" s="363"/>
      <c r="Z553" s="363"/>
    </row>
    <row r="554" spans="1:26" ht="15.75" customHeight="1" x14ac:dyDescent="0.35">
      <c r="A554" s="363"/>
      <c r="B554" s="364"/>
      <c r="E554" s="364"/>
      <c r="H554" s="364"/>
      <c r="K554" s="363"/>
      <c r="L554" s="364"/>
      <c r="M554" s="363"/>
      <c r="N554" s="363"/>
      <c r="O554" s="363"/>
      <c r="P554" s="364"/>
      <c r="Q554" s="363"/>
      <c r="R554" s="363"/>
      <c r="S554" s="363"/>
      <c r="T554" s="363"/>
      <c r="U554" s="363"/>
      <c r="V554" s="363"/>
      <c r="W554" s="363"/>
      <c r="X554" s="363"/>
      <c r="Y554" s="363"/>
      <c r="Z554" s="363"/>
    </row>
    <row r="555" spans="1:26" ht="15.75" customHeight="1" x14ac:dyDescent="0.35">
      <c r="A555" s="363"/>
      <c r="B555" s="364"/>
      <c r="E555" s="364"/>
      <c r="H555" s="364"/>
      <c r="K555" s="363"/>
      <c r="L555" s="364"/>
      <c r="M555" s="363"/>
      <c r="N555" s="363"/>
      <c r="O555" s="363"/>
      <c r="P555" s="364"/>
      <c r="Q555" s="363"/>
      <c r="R555" s="363"/>
      <c r="S555" s="363"/>
      <c r="T555" s="363"/>
      <c r="U555" s="363"/>
      <c r="V555" s="363"/>
      <c r="W555" s="363"/>
      <c r="X555" s="363"/>
      <c r="Y555" s="363"/>
      <c r="Z555" s="363"/>
    </row>
    <row r="556" spans="1:26" ht="15.75" customHeight="1" x14ac:dyDescent="0.35">
      <c r="A556" s="363"/>
      <c r="B556" s="364"/>
      <c r="E556" s="364"/>
      <c r="H556" s="364"/>
      <c r="K556" s="363"/>
      <c r="L556" s="364"/>
      <c r="M556" s="363"/>
      <c r="N556" s="363"/>
      <c r="O556" s="363"/>
      <c r="P556" s="364"/>
      <c r="Q556" s="363"/>
      <c r="R556" s="363"/>
      <c r="S556" s="363"/>
      <c r="T556" s="363"/>
      <c r="U556" s="363"/>
      <c r="V556" s="363"/>
      <c r="W556" s="363"/>
      <c r="X556" s="363"/>
      <c r="Y556" s="363"/>
      <c r="Z556" s="363"/>
    </row>
    <row r="557" spans="1:26" ht="15.75" customHeight="1" x14ac:dyDescent="0.35">
      <c r="A557" s="363"/>
      <c r="B557" s="364"/>
      <c r="E557" s="364"/>
      <c r="H557" s="364"/>
      <c r="K557" s="363"/>
      <c r="L557" s="364"/>
      <c r="M557" s="363"/>
      <c r="N557" s="363"/>
      <c r="O557" s="363"/>
      <c r="P557" s="364"/>
      <c r="Q557" s="363"/>
      <c r="R557" s="363"/>
      <c r="S557" s="363"/>
      <c r="T557" s="363"/>
      <c r="U557" s="363"/>
      <c r="V557" s="363"/>
      <c r="W557" s="363"/>
      <c r="X557" s="363"/>
      <c r="Y557" s="363"/>
      <c r="Z557" s="363"/>
    </row>
    <row r="558" spans="1:26" ht="15.75" customHeight="1" x14ac:dyDescent="0.35">
      <c r="A558" s="363"/>
      <c r="B558" s="364"/>
      <c r="E558" s="364"/>
      <c r="H558" s="364"/>
      <c r="K558" s="363"/>
      <c r="L558" s="364"/>
      <c r="M558" s="363"/>
      <c r="N558" s="363"/>
      <c r="O558" s="363"/>
      <c r="P558" s="364"/>
      <c r="Q558" s="363"/>
      <c r="R558" s="363"/>
      <c r="S558" s="363"/>
      <c r="T558" s="363"/>
      <c r="U558" s="363"/>
      <c r="V558" s="363"/>
      <c r="W558" s="363"/>
      <c r="X558" s="363"/>
      <c r="Y558" s="363"/>
      <c r="Z558" s="363"/>
    </row>
    <row r="559" spans="1:26" ht="15.75" customHeight="1" x14ac:dyDescent="0.35">
      <c r="A559" s="363"/>
      <c r="B559" s="364"/>
      <c r="E559" s="364"/>
      <c r="H559" s="364"/>
      <c r="K559" s="363"/>
      <c r="L559" s="364"/>
      <c r="M559" s="363"/>
      <c r="N559" s="363"/>
      <c r="O559" s="363"/>
      <c r="P559" s="364"/>
      <c r="Q559" s="363"/>
      <c r="R559" s="363"/>
      <c r="S559" s="363"/>
      <c r="T559" s="363"/>
      <c r="U559" s="363"/>
      <c r="V559" s="363"/>
      <c r="W559" s="363"/>
      <c r="X559" s="363"/>
      <c r="Y559" s="363"/>
      <c r="Z559" s="363"/>
    </row>
    <row r="560" spans="1:26" ht="15.75" customHeight="1" x14ac:dyDescent="0.35">
      <c r="A560" s="363"/>
      <c r="B560" s="364"/>
      <c r="E560" s="364"/>
      <c r="H560" s="364"/>
      <c r="K560" s="363"/>
      <c r="L560" s="364"/>
      <c r="M560" s="363"/>
      <c r="N560" s="363"/>
      <c r="O560" s="363"/>
      <c r="P560" s="364"/>
      <c r="Q560" s="363"/>
      <c r="R560" s="363"/>
      <c r="S560" s="363"/>
      <c r="T560" s="363"/>
      <c r="U560" s="363"/>
      <c r="V560" s="363"/>
      <c r="W560" s="363"/>
      <c r="X560" s="363"/>
      <c r="Y560" s="363"/>
      <c r="Z560" s="363"/>
    </row>
    <row r="561" spans="1:26" ht="15.75" customHeight="1" x14ac:dyDescent="0.35">
      <c r="A561" s="363"/>
      <c r="B561" s="364"/>
      <c r="E561" s="364"/>
      <c r="H561" s="364"/>
      <c r="K561" s="363"/>
      <c r="L561" s="364"/>
      <c r="M561" s="363"/>
      <c r="N561" s="363"/>
      <c r="O561" s="363"/>
      <c r="P561" s="364"/>
      <c r="Q561" s="363"/>
      <c r="R561" s="363"/>
      <c r="S561" s="363"/>
      <c r="T561" s="363"/>
      <c r="U561" s="363"/>
      <c r="V561" s="363"/>
      <c r="W561" s="363"/>
      <c r="X561" s="363"/>
      <c r="Y561" s="363"/>
      <c r="Z561" s="363"/>
    </row>
    <row r="562" spans="1:26" ht="15.75" customHeight="1" x14ac:dyDescent="0.35">
      <c r="A562" s="363"/>
      <c r="B562" s="364"/>
      <c r="E562" s="364"/>
      <c r="H562" s="364"/>
      <c r="K562" s="363"/>
      <c r="L562" s="364"/>
      <c r="M562" s="363"/>
      <c r="N562" s="363"/>
      <c r="O562" s="363"/>
      <c r="P562" s="364"/>
      <c r="Q562" s="363"/>
      <c r="R562" s="363"/>
      <c r="S562" s="363"/>
      <c r="T562" s="363"/>
      <c r="U562" s="363"/>
      <c r="V562" s="363"/>
      <c r="W562" s="363"/>
      <c r="X562" s="363"/>
      <c r="Y562" s="363"/>
      <c r="Z562" s="363"/>
    </row>
    <row r="563" spans="1:26" ht="15.75" customHeight="1" x14ac:dyDescent="0.35">
      <c r="A563" s="363"/>
      <c r="B563" s="364"/>
      <c r="E563" s="364"/>
      <c r="H563" s="364"/>
      <c r="K563" s="363"/>
      <c r="L563" s="364"/>
      <c r="M563" s="363"/>
      <c r="N563" s="363"/>
      <c r="O563" s="363"/>
      <c r="P563" s="364"/>
      <c r="Q563" s="363"/>
      <c r="R563" s="363"/>
      <c r="S563" s="363"/>
      <c r="T563" s="363"/>
      <c r="U563" s="363"/>
      <c r="V563" s="363"/>
      <c r="W563" s="363"/>
      <c r="X563" s="363"/>
      <c r="Y563" s="363"/>
      <c r="Z563" s="363"/>
    </row>
    <row r="564" spans="1:26" ht="15.75" customHeight="1" x14ac:dyDescent="0.35">
      <c r="A564" s="363"/>
      <c r="B564" s="364"/>
      <c r="E564" s="364"/>
      <c r="H564" s="364"/>
      <c r="K564" s="363"/>
      <c r="L564" s="364"/>
      <c r="M564" s="363"/>
      <c r="N564" s="363"/>
      <c r="O564" s="363"/>
      <c r="P564" s="364"/>
      <c r="Q564" s="363"/>
      <c r="R564" s="363"/>
      <c r="S564" s="363"/>
      <c r="T564" s="363"/>
      <c r="U564" s="363"/>
      <c r="V564" s="363"/>
      <c r="W564" s="363"/>
      <c r="X564" s="363"/>
      <c r="Y564" s="363"/>
      <c r="Z564" s="363"/>
    </row>
    <row r="565" spans="1:26" ht="15.75" customHeight="1" x14ac:dyDescent="0.35">
      <c r="A565" s="363"/>
      <c r="B565" s="364"/>
      <c r="E565" s="364"/>
      <c r="H565" s="364"/>
      <c r="K565" s="363"/>
      <c r="L565" s="364"/>
      <c r="M565" s="363"/>
      <c r="N565" s="363"/>
      <c r="O565" s="363"/>
      <c r="P565" s="364"/>
      <c r="Q565" s="363"/>
      <c r="R565" s="363"/>
      <c r="S565" s="363"/>
      <c r="T565" s="363"/>
      <c r="U565" s="363"/>
      <c r="V565" s="363"/>
      <c r="W565" s="363"/>
      <c r="X565" s="363"/>
      <c r="Y565" s="363"/>
      <c r="Z565" s="363"/>
    </row>
    <row r="566" spans="1:26" ht="15.75" customHeight="1" x14ac:dyDescent="0.35">
      <c r="A566" s="363"/>
      <c r="B566" s="364"/>
      <c r="E566" s="364"/>
      <c r="H566" s="364"/>
      <c r="K566" s="363"/>
      <c r="L566" s="364"/>
      <c r="M566" s="363"/>
      <c r="N566" s="363"/>
      <c r="O566" s="363"/>
      <c r="P566" s="364"/>
      <c r="Q566" s="363"/>
      <c r="R566" s="363"/>
      <c r="S566" s="363"/>
      <c r="T566" s="363"/>
      <c r="U566" s="363"/>
      <c r="V566" s="363"/>
      <c r="W566" s="363"/>
      <c r="X566" s="363"/>
      <c r="Y566" s="363"/>
      <c r="Z566" s="363"/>
    </row>
    <row r="567" spans="1:26" ht="15.75" customHeight="1" x14ac:dyDescent="0.35">
      <c r="A567" s="363"/>
      <c r="B567" s="364"/>
      <c r="E567" s="364"/>
      <c r="H567" s="364"/>
      <c r="K567" s="363"/>
      <c r="L567" s="364"/>
      <c r="M567" s="363"/>
      <c r="N567" s="363"/>
      <c r="O567" s="363"/>
      <c r="P567" s="364"/>
      <c r="Q567" s="363"/>
      <c r="R567" s="363"/>
      <c r="S567" s="363"/>
      <c r="T567" s="363"/>
      <c r="U567" s="363"/>
      <c r="V567" s="363"/>
      <c r="W567" s="363"/>
      <c r="X567" s="363"/>
      <c r="Y567" s="363"/>
      <c r="Z567" s="363"/>
    </row>
    <row r="568" spans="1:26" ht="15.75" customHeight="1" x14ac:dyDescent="0.35">
      <c r="A568" s="363"/>
      <c r="B568" s="364"/>
      <c r="E568" s="364"/>
      <c r="H568" s="364"/>
      <c r="K568" s="363"/>
      <c r="L568" s="364"/>
      <c r="M568" s="363"/>
      <c r="N568" s="363"/>
      <c r="O568" s="363"/>
      <c r="P568" s="364"/>
      <c r="Q568" s="363"/>
      <c r="R568" s="363"/>
      <c r="S568" s="363"/>
      <c r="T568" s="363"/>
      <c r="U568" s="363"/>
      <c r="V568" s="363"/>
      <c r="W568" s="363"/>
      <c r="X568" s="363"/>
      <c r="Y568" s="363"/>
      <c r="Z568" s="363"/>
    </row>
    <row r="569" spans="1:26" ht="15.75" customHeight="1" x14ac:dyDescent="0.35">
      <c r="A569" s="363"/>
      <c r="B569" s="364"/>
      <c r="E569" s="364"/>
      <c r="H569" s="364"/>
      <c r="K569" s="363"/>
      <c r="L569" s="364"/>
      <c r="M569" s="363"/>
      <c r="N569" s="363"/>
      <c r="O569" s="363"/>
      <c r="P569" s="364"/>
      <c r="Q569" s="363"/>
      <c r="R569" s="363"/>
      <c r="S569" s="363"/>
      <c r="T569" s="363"/>
      <c r="U569" s="363"/>
      <c r="V569" s="363"/>
      <c r="W569" s="363"/>
      <c r="X569" s="363"/>
      <c r="Y569" s="363"/>
      <c r="Z569" s="363"/>
    </row>
    <row r="570" spans="1:26" ht="15.75" customHeight="1" x14ac:dyDescent="0.35">
      <c r="A570" s="363"/>
      <c r="B570" s="364"/>
      <c r="E570" s="364"/>
      <c r="H570" s="364"/>
      <c r="K570" s="363"/>
      <c r="L570" s="364"/>
      <c r="M570" s="363"/>
      <c r="N570" s="363"/>
      <c r="O570" s="363"/>
      <c r="P570" s="364"/>
      <c r="Q570" s="363"/>
      <c r="R570" s="363"/>
      <c r="S570" s="363"/>
      <c r="T570" s="363"/>
      <c r="U570" s="363"/>
      <c r="V570" s="363"/>
      <c r="W570" s="363"/>
      <c r="X570" s="363"/>
      <c r="Y570" s="363"/>
      <c r="Z570" s="363"/>
    </row>
    <row r="571" spans="1:26" ht="15.75" customHeight="1" x14ac:dyDescent="0.35">
      <c r="A571" s="363"/>
      <c r="B571" s="364"/>
      <c r="E571" s="364"/>
      <c r="H571" s="364"/>
      <c r="K571" s="363"/>
      <c r="L571" s="364"/>
      <c r="M571" s="363"/>
      <c r="N571" s="363"/>
      <c r="O571" s="363"/>
      <c r="P571" s="364"/>
      <c r="Q571" s="363"/>
      <c r="R571" s="363"/>
      <c r="S571" s="363"/>
      <c r="T571" s="363"/>
      <c r="U571" s="363"/>
      <c r="V571" s="363"/>
      <c r="W571" s="363"/>
      <c r="X571" s="363"/>
      <c r="Y571" s="363"/>
      <c r="Z571" s="363"/>
    </row>
    <row r="572" spans="1:26" ht="15.75" customHeight="1" x14ac:dyDescent="0.35">
      <c r="A572" s="363"/>
      <c r="B572" s="364"/>
      <c r="E572" s="364"/>
      <c r="H572" s="364"/>
      <c r="K572" s="363"/>
      <c r="L572" s="364"/>
      <c r="M572" s="363"/>
      <c r="N572" s="363"/>
      <c r="O572" s="363"/>
      <c r="P572" s="364"/>
      <c r="Q572" s="363"/>
      <c r="R572" s="363"/>
      <c r="S572" s="363"/>
      <c r="T572" s="363"/>
      <c r="U572" s="363"/>
      <c r="V572" s="363"/>
      <c r="W572" s="363"/>
      <c r="X572" s="363"/>
      <c r="Y572" s="363"/>
      <c r="Z572" s="363"/>
    </row>
    <row r="573" spans="1:26" ht="15.75" customHeight="1" x14ac:dyDescent="0.35">
      <c r="A573" s="363"/>
      <c r="B573" s="364"/>
      <c r="E573" s="364"/>
      <c r="H573" s="364"/>
      <c r="K573" s="363"/>
      <c r="L573" s="364"/>
      <c r="M573" s="363"/>
      <c r="N573" s="363"/>
      <c r="O573" s="363"/>
      <c r="P573" s="364"/>
      <c r="Q573" s="363"/>
      <c r="R573" s="363"/>
      <c r="S573" s="363"/>
      <c r="T573" s="363"/>
      <c r="U573" s="363"/>
      <c r="V573" s="363"/>
      <c r="W573" s="363"/>
      <c r="X573" s="363"/>
      <c r="Y573" s="363"/>
      <c r="Z573" s="363"/>
    </row>
    <row r="574" spans="1:26" ht="15.75" customHeight="1" x14ac:dyDescent="0.35">
      <c r="A574" s="363"/>
      <c r="B574" s="364"/>
      <c r="E574" s="364"/>
      <c r="H574" s="364"/>
      <c r="K574" s="363"/>
      <c r="L574" s="364"/>
      <c r="M574" s="363"/>
      <c r="N574" s="363"/>
      <c r="O574" s="363"/>
      <c r="P574" s="364"/>
      <c r="Q574" s="363"/>
      <c r="R574" s="363"/>
      <c r="S574" s="363"/>
      <c r="T574" s="363"/>
      <c r="U574" s="363"/>
      <c r="V574" s="363"/>
      <c r="W574" s="363"/>
      <c r="X574" s="363"/>
      <c r="Y574" s="363"/>
      <c r="Z574" s="363"/>
    </row>
    <row r="575" spans="1:26" ht="15.75" customHeight="1" x14ac:dyDescent="0.35">
      <c r="A575" s="363"/>
      <c r="B575" s="364"/>
      <c r="E575" s="364"/>
      <c r="H575" s="364"/>
      <c r="K575" s="363"/>
      <c r="L575" s="364"/>
      <c r="M575" s="363"/>
      <c r="N575" s="363"/>
      <c r="O575" s="363"/>
      <c r="P575" s="364"/>
      <c r="Q575" s="363"/>
      <c r="R575" s="363"/>
      <c r="S575" s="363"/>
      <c r="T575" s="363"/>
      <c r="U575" s="363"/>
      <c r="V575" s="363"/>
      <c r="W575" s="363"/>
      <c r="X575" s="363"/>
      <c r="Y575" s="363"/>
      <c r="Z575" s="363"/>
    </row>
    <row r="576" spans="1:26" ht="15.75" customHeight="1" x14ac:dyDescent="0.35">
      <c r="A576" s="363"/>
      <c r="B576" s="364"/>
      <c r="E576" s="364"/>
      <c r="H576" s="364"/>
      <c r="K576" s="363"/>
      <c r="L576" s="364"/>
      <c r="M576" s="363"/>
      <c r="N576" s="363"/>
      <c r="O576" s="363"/>
      <c r="P576" s="364"/>
      <c r="Q576" s="363"/>
      <c r="R576" s="363"/>
      <c r="S576" s="363"/>
      <c r="T576" s="363"/>
      <c r="U576" s="363"/>
      <c r="V576" s="363"/>
      <c r="W576" s="363"/>
      <c r="X576" s="363"/>
      <c r="Y576" s="363"/>
      <c r="Z576" s="363"/>
    </row>
    <row r="577" spans="1:26" ht="15.75" customHeight="1" x14ac:dyDescent="0.35">
      <c r="A577" s="363"/>
      <c r="B577" s="364"/>
      <c r="E577" s="364"/>
      <c r="H577" s="364"/>
      <c r="K577" s="363"/>
      <c r="L577" s="364"/>
      <c r="M577" s="363"/>
      <c r="N577" s="363"/>
      <c r="O577" s="363"/>
      <c r="P577" s="364"/>
      <c r="Q577" s="363"/>
      <c r="R577" s="363"/>
      <c r="S577" s="363"/>
      <c r="T577" s="363"/>
      <c r="U577" s="363"/>
      <c r="V577" s="363"/>
      <c r="W577" s="363"/>
      <c r="X577" s="363"/>
      <c r="Y577" s="363"/>
      <c r="Z577" s="363"/>
    </row>
    <row r="578" spans="1:26" ht="15.75" customHeight="1" x14ac:dyDescent="0.35">
      <c r="A578" s="363"/>
      <c r="B578" s="364"/>
      <c r="E578" s="364"/>
      <c r="H578" s="364"/>
      <c r="K578" s="363"/>
      <c r="L578" s="364"/>
      <c r="M578" s="363"/>
      <c r="N578" s="363"/>
      <c r="O578" s="363"/>
      <c r="P578" s="364"/>
      <c r="Q578" s="363"/>
      <c r="R578" s="363"/>
      <c r="S578" s="363"/>
      <c r="T578" s="363"/>
      <c r="U578" s="363"/>
      <c r="V578" s="363"/>
      <c r="W578" s="363"/>
      <c r="X578" s="363"/>
      <c r="Y578" s="363"/>
      <c r="Z578" s="363"/>
    </row>
    <row r="579" spans="1:26" ht="15.75" customHeight="1" x14ac:dyDescent="0.35">
      <c r="A579" s="363"/>
      <c r="B579" s="364"/>
      <c r="E579" s="364"/>
      <c r="H579" s="364"/>
      <c r="K579" s="363"/>
      <c r="L579" s="364"/>
      <c r="M579" s="363"/>
      <c r="N579" s="363"/>
      <c r="O579" s="363"/>
      <c r="P579" s="364"/>
      <c r="Q579" s="363"/>
      <c r="R579" s="363"/>
      <c r="S579" s="363"/>
      <c r="T579" s="363"/>
      <c r="U579" s="363"/>
      <c r="V579" s="363"/>
      <c r="W579" s="363"/>
      <c r="X579" s="363"/>
      <c r="Y579" s="363"/>
      <c r="Z579" s="363"/>
    </row>
    <row r="580" spans="1:26" ht="15.75" customHeight="1" x14ac:dyDescent="0.35">
      <c r="A580" s="363"/>
      <c r="B580" s="364"/>
      <c r="E580" s="364"/>
      <c r="H580" s="364"/>
      <c r="K580" s="363"/>
      <c r="L580" s="364"/>
      <c r="M580" s="363"/>
      <c r="N580" s="363"/>
      <c r="O580" s="363"/>
      <c r="P580" s="364"/>
      <c r="Q580" s="363"/>
      <c r="R580" s="363"/>
      <c r="S580" s="363"/>
      <c r="T580" s="363"/>
      <c r="U580" s="363"/>
      <c r="V580" s="363"/>
      <c r="W580" s="363"/>
      <c r="X580" s="363"/>
      <c r="Y580" s="363"/>
      <c r="Z580" s="363"/>
    </row>
    <row r="581" spans="1:26" ht="15.75" customHeight="1" x14ac:dyDescent="0.35">
      <c r="A581" s="363"/>
      <c r="B581" s="364"/>
      <c r="E581" s="364"/>
      <c r="H581" s="364"/>
      <c r="K581" s="363"/>
      <c r="L581" s="364"/>
      <c r="M581" s="363"/>
      <c r="N581" s="363"/>
      <c r="O581" s="363"/>
      <c r="P581" s="364"/>
      <c r="Q581" s="363"/>
      <c r="R581" s="363"/>
      <c r="S581" s="363"/>
      <c r="T581" s="363"/>
      <c r="U581" s="363"/>
      <c r="V581" s="363"/>
      <c r="W581" s="363"/>
      <c r="X581" s="363"/>
      <c r="Y581" s="363"/>
      <c r="Z581" s="363"/>
    </row>
    <row r="582" spans="1:26" ht="15.75" customHeight="1" x14ac:dyDescent="0.35">
      <c r="A582" s="363"/>
      <c r="B582" s="364"/>
      <c r="E582" s="364"/>
      <c r="H582" s="364"/>
      <c r="K582" s="363"/>
      <c r="L582" s="364"/>
      <c r="M582" s="363"/>
      <c r="N582" s="363"/>
      <c r="O582" s="363"/>
      <c r="P582" s="364"/>
      <c r="Q582" s="363"/>
      <c r="R582" s="363"/>
      <c r="S582" s="363"/>
      <c r="T582" s="363"/>
      <c r="U582" s="363"/>
      <c r="V582" s="363"/>
      <c r="W582" s="363"/>
      <c r="X582" s="363"/>
      <c r="Y582" s="363"/>
      <c r="Z582" s="363"/>
    </row>
    <row r="583" spans="1:26" ht="15.75" customHeight="1" x14ac:dyDescent="0.35">
      <c r="A583" s="363"/>
      <c r="B583" s="364"/>
      <c r="E583" s="364"/>
      <c r="H583" s="364"/>
      <c r="K583" s="363"/>
      <c r="L583" s="364"/>
      <c r="M583" s="363"/>
      <c r="N583" s="363"/>
      <c r="O583" s="363"/>
      <c r="P583" s="364"/>
      <c r="Q583" s="363"/>
      <c r="R583" s="363"/>
      <c r="S583" s="363"/>
      <c r="T583" s="363"/>
      <c r="U583" s="363"/>
      <c r="V583" s="363"/>
      <c r="W583" s="363"/>
      <c r="X583" s="363"/>
      <c r="Y583" s="363"/>
      <c r="Z583" s="363"/>
    </row>
    <row r="584" spans="1:26" ht="15.75" customHeight="1" x14ac:dyDescent="0.35">
      <c r="A584" s="363"/>
      <c r="B584" s="364"/>
      <c r="E584" s="364"/>
      <c r="H584" s="364"/>
      <c r="K584" s="363"/>
      <c r="L584" s="364"/>
      <c r="M584" s="363"/>
      <c r="N584" s="363"/>
      <c r="O584" s="363"/>
      <c r="P584" s="364"/>
      <c r="Q584" s="363"/>
      <c r="R584" s="363"/>
      <c r="S584" s="363"/>
      <c r="T584" s="363"/>
      <c r="U584" s="363"/>
      <c r="V584" s="363"/>
      <c r="W584" s="363"/>
      <c r="X584" s="363"/>
      <c r="Y584" s="363"/>
      <c r="Z584" s="363"/>
    </row>
    <row r="585" spans="1:26" ht="15.75" customHeight="1" x14ac:dyDescent="0.35">
      <c r="A585" s="363"/>
      <c r="B585" s="364"/>
      <c r="E585" s="364"/>
      <c r="H585" s="364"/>
      <c r="K585" s="363"/>
      <c r="L585" s="364"/>
      <c r="M585" s="363"/>
      <c r="N585" s="363"/>
      <c r="O585" s="363"/>
      <c r="P585" s="364"/>
      <c r="Q585" s="363"/>
      <c r="R585" s="363"/>
      <c r="S585" s="363"/>
      <c r="T585" s="363"/>
      <c r="U585" s="363"/>
      <c r="V585" s="363"/>
      <c r="W585" s="363"/>
      <c r="X585" s="363"/>
      <c r="Y585" s="363"/>
      <c r="Z585" s="363"/>
    </row>
    <row r="586" spans="1:26" ht="15.75" customHeight="1" x14ac:dyDescent="0.35">
      <c r="A586" s="363"/>
      <c r="B586" s="364"/>
      <c r="E586" s="364"/>
      <c r="H586" s="364"/>
      <c r="K586" s="363"/>
      <c r="L586" s="364"/>
      <c r="M586" s="363"/>
      <c r="N586" s="363"/>
      <c r="O586" s="363"/>
      <c r="P586" s="364"/>
      <c r="Q586" s="363"/>
      <c r="R586" s="363"/>
      <c r="S586" s="363"/>
      <c r="T586" s="363"/>
      <c r="U586" s="363"/>
      <c r="V586" s="363"/>
      <c r="W586" s="363"/>
      <c r="X586" s="363"/>
      <c r="Y586" s="363"/>
      <c r="Z586" s="363"/>
    </row>
    <row r="587" spans="1:26" ht="15.75" customHeight="1" x14ac:dyDescent="0.35">
      <c r="A587" s="363"/>
      <c r="B587" s="364"/>
      <c r="E587" s="364"/>
      <c r="H587" s="364"/>
      <c r="K587" s="363"/>
      <c r="L587" s="364"/>
      <c r="M587" s="363"/>
      <c r="N587" s="363"/>
      <c r="O587" s="363"/>
      <c r="P587" s="364"/>
      <c r="Q587" s="363"/>
      <c r="R587" s="363"/>
      <c r="S587" s="363"/>
      <c r="T587" s="363"/>
      <c r="U587" s="363"/>
      <c r="V587" s="363"/>
      <c r="W587" s="363"/>
      <c r="X587" s="363"/>
      <c r="Y587" s="363"/>
      <c r="Z587" s="363"/>
    </row>
    <row r="588" spans="1:26" ht="15.75" customHeight="1" x14ac:dyDescent="0.35">
      <c r="A588" s="363"/>
      <c r="B588" s="364"/>
      <c r="E588" s="364"/>
      <c r="H588" s="364"/>
      <c r="K588" s="363"/>
      <c r="L588" s="364"/>
      <c r="M588" s="363"/>
      <c r="N588" s="363"/>
      <c r="O588" s="363"/>
      <c r="P588" s="364"/>
      <c r="Q588" s="363"/>
      <c r="R588" s="363"/>
      <c r="S588" s="363"/>
      <c r="T588" s="363"/>
      <c r="U588" s="363"/>
      <c r="V588" s="363"/>
      <c r="W588" s="363"/>
      <c r="X588" s="363"/>
      <c r="Y588" s="363"/>
      <c r="Z588" s="363"/>
    </row>
    <row r="589" spans="1:26" ht="15.75" customHeight="1" x14ac:dyDescent="0.35">
      <c r="A589" s="363"/>
      <c r="B589" s="364"/>
      <c r="E589" s="364"/>
      <c r="H589" s="364"/>
      <c r="K589" s="363"/>
      <c r="L589" s="364"/>
      <c r="M589" s="363"/>
      <c r="N589" s="363"/>
      <c r="O589" s="363"/>
      <c r="P589" s="364"/>
      <c r="Q589" s="363"/>
      <c r="R589" s="363"/>
      <c r="S589" s="363"/>
      <c r="T589" s="363"/>
      <c r="U589" s="363"/>
      <c r="V589" s="363"/>
      <c r="W589" s="363"/>
      <c r="X589" s="363"/>
      <c r="Y589" s="363"/>
      <c r="Z589" s="363"/>
    </row>
    <row r="590" spans="1:26" ht="15.75" customHeight="1" x14ac:dyDescent="0.35">
      <c r="A590" s="363"/>
      <c r="B590" s="364"/>
      <c r="E590" s="364"/>
      <c r="H590" s="364"/>
      <c r="K590" s="363"/>
      <c r="L590" s="364"/>
      <c r="M590" s="363"/>
      <c r="N590" s="363"/>
      <c r="O590" s="363"/>
      <c r="P590" s="364"/>
      <c r="Q590" s="363"/>
      <c r="R590" s="363"/>
      <c r="S590" s="363"/>
      <c r="T590" s="363"/>
      <c r="U590" s="363"/>
      <c r="V590" s="363"/>
      <c r="W590" s="363"/>
      <c r="X590" s="363"/>
      <c r="Y590" s="363"/>
      <c r="Z590" s="363"/>
    </row>
    <row r="591" spans="1:26" ht="15.75" customHeight="1" x14ac:dyDescent="0.35">
      <c r="A591" s="363"/>
      <c r="B591" s="364"/>
      <c r="E591" s="364"/>
      <c r="H591" s="364"/>
      <c r="K591" s="363"/>
      <c r="L591" s="364"/>
      <c r="M591" s="363"/>
      <c r="N591" s="363"/>
      <c r="O591" s="363"/>
      <c r="P591" s="364"/>
      <c r="Q591" s="363"/>
      <c r="R591" s="363"/>
      <c r="S591" s="363"/>
      <c r="T591" s="363"/>
      <c r="U591" s="363"/>
      <c r="V591" s="363"/>
      <c r="W591" s="363"/>
      <c r="X591" s="363"/>
      <c r="Y591" s="363"/>
      <c r="Z591" s="363"/>
    </row>
    <row r="592" spans="1:26" ht="15.75" customHeight="1" x14ac:dyDescent="0.35">
      <c r="A592" s="363"/>
      <c r="B592" s="364"/>
      <c r="E592" s="364"/>
      <c r="H592" s="364"/>
      <c r="K592" s="363"/>
      <c r="L592" s="364"/>
      <c r="M592" s="363"/>
      <c r="N592" s="363"/>
      <c r="O592" s="363"/>
      <c r="P592" s="364"/>
      <c r="Q592" s="363"/>
      <c r="R592" s="363"/>
      <c r="S592" s="363"/>
      <c r="T592" s="363"/>
      <c r="U592" s="363"/>
      <c r="V592" s="363"/>
      <c r="W592" s="363"/>
      <c r="X592" s="363"/>
      <c r="Y592" s="363"/>
      <c r="Z592" s="363"/>
    </row>
    <row r="593" spans="1:26" ht="15.75" customHeight="1" x14ac:dyDescent="0.35">
      <c r="A593" s="363"/>
      <c r="B593" s="364"/>
      <c r="E593" s="364"/>
      <c r="H593" s="364"/>
      <c r="K593" s="363"/>
      <c r="L593" s="364"/>
      <c r="M593" s="363"/>
      <c r="N593" s="363"/>
      <c r="O593" s="363"/>
      <c r="P593" s="364"/>
      <c r="Q593" s="363"/>
      <c r="R593" s="363"/>
      <c r="S593" s="363"/>
      <c r="T593" s="363"/>
      <c r="U593" s="363"/>
      <c r="V593" s="363"/>
      <c r="W593" s="363"/>
      <c r="X593" s="363"/>
      <c r="Y593" s="363"/>
      <c r="Z593" s="363"/>
    </row>
    <row r="594" spans="1:26" ht="15.75" customHeight="1" x14ac:dyDescent="0.35">
      <c r="A594" s="363"/>
      <c r="B594" s="364"/>
      <c r="E594" s="364"/>
      <c r="H594" s="364"/>
      <c r="K594" s="363"/>
      <c r="L594" s="364"/>
      <c r="M594" s="363"/>
      <c r="N594" s="363"/>
      <c r="O594" s="363"/>
      <c r="P594" s="364"/>
      <c r="Q594" s="363"/>
      <c r="R594" s="363"/>
      <c r="S594" s="363"/>
      <c r="T594" s="363"/>
      <c r="U594" s="363"/>
      <c r="V594" s="363"/>
      <c r="W594" s="363"/>
      <c r="X594" s="363"/>
      <c r="Y594" s="363"/>
      <c r="Z594" s="363"/>
    </row>
    <row r="595" spans="1:26" ht="15.75" customHeight="1" x14ac:dyDescent="0.35">
      <c r="A595" s="363"/>
      <c r="B595" s="364"/>
      <c r="E595" s="364"/>
      <c r="H595" s="364"/>
      <c r="K595" s="363"/>
      <c r="L595" s="364"/>
      <c r="M595" s="363"/>
      <c r="N595" s="363"/>
      <c r="O595" s="363"/>
      <c r="P595" s="364"/>
      <c r="Q595" s="363"/>
      <c r="R595" s="363"/>
      <c r="S595" s="363"/>
      <c r="T595" s="363"/>
      <c r="U595" s="363"/>
      <c r="V595" s="363"/>
      <c r="W595" s="363"/>
      <c r="X595" s="363"/>
      <c r="Y595" s="363"/>
      <c r="Z595" s="363"/>
    </row>
    <row r="596" spans="1:26" ht="15.75" customHeight="1" x14ac:dyDescent="0.35">
      <c r="A596" s="363"/>
      <c r="B596" s="364"/>
      <c r="E596" s="364"/>
      <c r="H596" s="364"/>
      <c r="K596" s="363"/>
      <c r="L596" s="364"/>
      <c r="M596" s="363"/>
      <c r="N596" s="363"/>
      <c r="O596" s="363"/>
      <c r="P596" s="364"/>
      <c r="Q596" s="363"/>
      <c r="R596" s="363"/>
      <c r="S596" s="363"/>
      <c r="T596" s="363"/>
      <c r="U596" s="363"/>
      <c r="V596" s="363"/>
      <c r="W596" s="363"/>
      <c r="X596" s="363"/>
      <c r="Y596" s="363"/>
      <c r="Z596" s="363"/>
    </row>
    <row r="597" spans="1:26" ht="15.75" customHeight="1" x14ac:dyDescent="0.35">
      <c r="A597" s="363"/>
      <c r="B597" s="364"/>
      <c r="E597" s="364"/>
      <c r="H597" s="364"/>
      <c r="K597" s="363"/>
      <c r="L597" s="364"/>
      <c r="M597" s="363"/>
      <c r="N597" s="363"/>
      <c r="O597" s="363"/>
      <c r="P597" s="364"/>
      <c r="Q597" s="363"/>
      <c r="R597" s="363"/>
      <c r="S597" s="363"/>
      <c r="T597" s="363"/>
      <c r="U597" s="363"/>
      <c r="V597" s="363"/>
      <c r="W597" s="363"/>
      <c r="X597" s="363"/>
      <c r="Y597" s="363"/>
      <c r="Z597" s="363"/>
    </row>
    <row r="598" spans="1:26" ht="15.75" customHeight="1" x14ac:dyDescent="0.35">
      <c r="A598" s="363"/>
      <c r="B598" s="364"/>
      <c r="E598" s="364"/>
      <c r="H598" s="364"/>
      <c r="K598" s="363"/>
      <c r="L598" s="364"/>
      <c r="M598" s="363"/>
      <c r="N598" s="363"/>
      <c r="O598" s="363"/>
      <c r="P598" s="364"/>
      <c r="Q598" s="363"/>
      <c r="R598" s="363"/>
      <c r="S598" s="363"/>
      <c r="T598" s="363"/>
      <c r="U598" s="363"/>
      <c r="V598" s="363"/>
      <c r="W598" s="363"/>
      <c r="X598" s="363"/>
      <c r="Y598" s="363"/>
      <c r="Z598" s="363"/>
    </row>
    <row r="599" spans="1:26" ht="15.75" customHeight="1" x14ac:dyDescent="0.35">
      <c r="A599" s="363"/>
      <c r="B599" s="364"/>
      <c r="E599" s="364"/>
      <c r="H599" s="364"/>
      <c r="K599" s="363"/>
      <c r="L599" s="364"/>
      <c r="M599" s="363"/>
      <c r="N599" s="363"/>
      <c r="O599" s="363"/>
      <c r="P599" s="364"/>
      <c r="Q599" s="363"/>
      <c r="R599" s="363"/>
      <c r="S599" s="363"/>
      <c r="T599" s="363"/>
      <c r="U599" s="363"/>
      <c r="V599" s="363"/>
      <c r="W599" s="363"/>
      <c r="X599" s="363"/>
      <c r="Y599" s="363"/>
      <c r="Z599" s="363"/>
    </row>
    <row r="600" spans="1:26" ht="15.75" customHeight="1" x14ac:dyDescent="0.35">
      <c r="A600" s="363"/>
      <c r="B600" s="364"/>
      <c r="E600" s="364"/>
      <c r="H600" s="364"/>
      <c r="K600" s="363"/>
      <c r="L600" s="364"/>
      <c r="M600" s="363"/>
      <c r="N600" s="363"/>
      <c r="O600" s="363"/>
      <c r="P600" s="364"/>
      <c r="Q600" s="363"/>
      <c r="R600" s="363"/>
      <c r="S600" s="363"/>
      <c r="T600" s="363"/>
      <c r="U600" s="363"/>
      <c r="V600" s="363"/>
      <c r="W600" s="363"/>
      <c r="X600" s="363"/>
      <c r="Y600" s="363"/>
      <c r="Z600" s="363"/>
    </row>
    <row r="601" spans="1:26" ht="15.75" customHeight="1" x14ac:dyDescent="0.35">
      <c r="A601" s="363"/>
      <c r="B601" s="364"/>
      <c r="E601" s="364"/>
      <c r="H601" s="364"/>
      <c r="K601" s="363"/>
      <c r="L601" s="364"/>
      <c r="M601" s="363"/>
      <c r="N601" s="363"/>
      <c r="O601" s="363"/>
      <c r="P601" s="364"/>
      <c r="Q601" s="363"/>
      <c r="R601" s="363"/>
      <c r="S601" s="363"/>
      <c r="T601" s="363"/>
      <c r="U601" s="363"/>
      <c r="V601" s="363"/>
      <c r="W601" s="363"/>
      <c r="X601" s="363"/>
      <c r="Y601" s="363"/>
      <c r="Z601" s="363"/>
    </row>
    <row r="602" spans="1:26" ht="15.75" customHeight="1" x14ac:dyDescent="0.35">
      <c r="A602" s="363"/>
      <c r="B602" s="364"/>
      <c r="E602" s="364"/>
      <c r="H602" s="364"/>
      <c r="K602" s="363"/>
      <c r="L602" s="364"/>
      <c r="M602" s="363"/>
      <c r="N602" s="363"/>
      <c r="O602" s="363"/>
      <c r="P602" s="364"/>
      <c r="Q602" s="363"/>
      <c r="R602" s="363"/>
      <c r="S602" s="363"/>
      <c r="T602" s="363"/>
      <c r="U602" s="363"/>
      <c r="V602" s="363"/>
      <c r="W602" s="363"/>
      <c r="X602" s="363"/>
      <c r="Y602" s="363"/>
      <c r="Z602" s="363"/>
    </row>
    <row r="603" spans="1:26" ht="15.75" customHeight="1" x14ac:dyDescent="0.35">
      <c r="A603" s="363"/>
      <c r="B603" s="364"/>
      <c r="E603" s="364"/>
      <c r="H603" s="364"/>
      <c r="K603" s="363"/>
      <c r="L603" s="364"/>
      <c r="M603" s="363"/>
      <c r="N603" s="363"/>
      <c r="O603" s="363"/>
      <c r="P603" s="364"/>
      <c r="Q603" s="363"/>
      <c r="R603" s="363"/>
      <c r="S603" s="363"/>
      <c r="T603" s="363"/>
      <c r="U603" s="363"/>
      <c r="V603" s="363"/>
      <c r="W603" s="363"/>
      <c r="X603" s="363"/>
      <c r="Y603" s="363"/>
      <c r="Z603" s="363"/>
    </row>
    <row r="604" spans="1:26" ht="15.75" customHeight="1" x14ac:dyDescent="0.35">
      <c r="A604" s="363"/>
      <c r="B604" s="364"/>
      <c r="E604" s="364"/>
      <c r="H604" s="364"/>
      <c r="K604" s="363"/>
      <c r="L604" s="364"/>
      <c r="M604" s="363"/>
      <c r="N604" s="363"/>
      <c r="O604" s="363"/>
      <c r="P604" s="364"/>
      <c r="Q604" s="363"/>
      <c r="R604" s="363"/>
      <c r="S604" s="363"/>
      <c r="T604" s="363"/>
      <c r="U604" s="363"/>
      <c r="V604" s="363"/>
      <c r="W604" s="363"/>
      <c r="X604" s="363"/>
      <c r="Y604" s="363"/>
      <c r="Z604" s="363"/>
    </row>
    <row r="605" spans="1:26" ht="15.75" customHeight="1" x14ac:dyDescent="0.35">
      <c r="A605" s="363"/>
      <c r="B605" s="364"/>
      <c r="E605" s="364"/>
      <c r="H605" s="364"/>
      <c r="K605" s="363"/>
      <c r="L605" s="364"/>
      <c r="M605" s="363"/>
      <c r="N605" s="363"/>
      <c r="O605" s="363"/>
      <c r="P605" s="364"/>
      <c r="Q605" s="363"/>
      <c r="R605" s="363"/>
      <c r="S605" s="363"/>
      <c r="T605" s="363"/>
      <c r="U605" s="363"/>
      <c r="V605" s="363"/>
      <c r="W605" s="363"/>
      <c r="X605" s="363"/>
      <c r="Y605" s="363"/>
      <c r="Z605" s="363"/>
    </row>
    <row r="606" spans="1:26" ht="15.75" customHeight="1" x14ac:dyDescent="0.35">
      <c r="A606" s="363"/>
      <c r="B606" s="364"/>
      <c r="E606" s="364"/>
      <c r="H606" s="364"/>
      <c r="K606" s="363"/>
      <c r="L606" s="364"/>
      <c r="M606" s="363"/>
      <c r="N606" s="363"/>
      <c r="O606" s="363"/>
      <c r="P606" s="364"/>
      <c r="Q606" s="363"/>
      <c r="R606" s="363"/>
      <c r="S606" s="363"/>
      <c r="T606" s="363"/>
      <c r="U606" s="363"/>
      <c r="V606" s="363"/>
      <c r="W606" s="363"/>
      <c r="X606" s="363"/>
      <c r="Y606" s="363"/>
      <c r="Z606" s="363"/>
    </row>
    <row r="607" spans="1:26" ht="15.75" customHeight="1" x14ac:dyDescent="0.35">
      <c r="A607" s="363"/>
      <c r="B607" s="364"/>
      <c r="E607" s="364"/>
      <c r="H607" s="364"/>
      <c r="K607" s="363"/>
      <c r="L607" s="364"/>
      <c r="M607" s="363"/>
      <c r="N607" s="363"/>
      <c r="O607" s="363"/>
      <c r="P607" s="364"/>
      <c r="Q607" s="363"/>
      <c r="R607" s="363"/>
      <c r="S607" s="363"/>
      <c r="T607" s="363"/>
      <c r="U607" s="363"/>
      <c r="V607" s="363"/>
      <c r="W607" s="363"/>
      <c r="X607" s="363"/>
      <c r="Y607" s="363"/>
      <c r="Z607" s="363"/>
    </row>
    <row r="608" spans="1:26" ht="15.75" customHeight="1" x14ac:dyDescent="0.35">
      <c r="A608" s="363"/>
      <c r="B608" s="364"/>
      <c r="E608" s="364"/>
      <c r="H608" s="364"/>
      <c r="K608" s="363"/>
      <c r="L608" s="364"/>
      <c r="M608" s="363"/>
      <c r="N608" s="363"/>
      <c r="O608" s="363"/>
      <c r="P608" s="364"/>
      <c r="Q608" s="363"/>
      <c r="R608" s="363"/>
      <c r="S608" s="363"/>
      <c r="T608" s="363"/>
      <c r="U608" s="363"/>
      <c r="V608" s="363"/>
      <c r="W608" s="363"/>
      <c r="X608" s="363"/>
      <c r="Y608" s="363"/>
      <c r="Z608" s="363"/>
    </row>
    <row r="609" spans="1:26" ht="15.75" customHeight="1" x14ac:dyDescent="0.35">
      <c r="A609" s="363"/>
      <c r="B609" s="364"/>
      <c r="E609" s="364"/>
      <c r="H609" s="364"/>
      <c r="K609" s="363"/>
      <c r="L609" s="364"/>
      <c r="M609" s="363"/>
      <c r="N609" s="363"/>
      <c r="O609" s="363"/>
      <c r="P609" s="364"/>
      <c r="Q609" s="363"/>
      <c r="R609" s="363"/>
      <c r="S609" s="363"/>
      <c r="T609" s="363"/>
      <c r="U609" s="363"/>
      <c r="V609" s="363"/>
      <c r="W609" s="363"/>
      <c r="X609" s="363"/>
      <c r="Y609" s="363"/>
      <c r="Z609" s="363"/>
    </row>
    <row r="610" spans="1:26" ht="15.75" customHeight="1" x14ac:dyDescent="0.35">
      <c r="A610" s="363"/>
      <c r="B610" s="364"/>
      <c r="E610" s="364"/>
      <c r="H610" s="364"/>
      <c r="K610" s="363"/>
      <c r="L610" s="364"/>
      <c r="M610" s="363"/>
      <c r="N610" s="363"/>
      <c r="O610" s="363"/>
      <c r="P610" s="364"/>
      <c r="Q610" s="363"/>
      <c r="R610" s="363"/>
      <c r="S610" s="363"/>
      <c r="T610" s="363"/>
      <c r="U610" s="363"/>
      <c r="V610" s="363"/>
      <c r="W610" s="363"/>
      <c r="X610" s="363"/>
      <c r="Y610" s="363"/>
      <c r="Z610" s="363"/>
    </row>
    <row r="611" spans="1:26" ht="15.75" customHeight="1" x14ac:dyDescent="0.35">
      <c r="A611" s="363"/>
      <c r="B611" s="364"/>
      <c r="E611" s="364"/>
      <c r="H611" s="364"/>
      <c r="K611" s="363"/>
      <c r="L611" s="364"/>
      <c r="M611" s="363"/>
      <c r="N611" s="363"/>
      <c r="O611" s="363"/>
      <c r="P611" s="364"/>
      <c r="Q611" s="363"/>
      <c r="R611" s="363"/>
      <c r="S611" s="363"/>
      <c r="T611" s="363"/>
      <c r="U611" s="363"/>
      <c r="V611" s="363"/>
      <c r="W611" s="363"/>
      <c r="X611" s="363"/>
      <c r="Y611" s="363"/>
      <c r="Z611" s="363"/>
    </row>
    <row r="612" spans="1:26" ht="15.75" customHeight="1" x14ac:dyDescent="0.35">
      <c r="A612" s="363"/>
      <c r="B612" s="364"/>
      <c r="E612" s="364"/>
      <c r="H612" s="364"/>
      <c r="K612" s="363"/>
      <c r="L612" s="364"/>
      <c r="M612" s="363"/>
      <c r="N612" s="363"/>
      <c r="O612" s="363"/>
      <c r="P612" s="364"/>
      <c r="Q612" s="363"/>
      <c r="R612" s="363"/>
      <c r="S612" s="363"/>
      <c r="T612" s="363"/>
      <c r="U612" s="363"/>
      <c r="V612" s="363"/>
      <c r="W612" s="363"/>
      <c r="X612" s="363"/>
      <c r="Y612" s="363"/>
      <c r="Z612" s="363"/>
    </row>
    <row r="613" spans="1:26" ht="15.75" customHeight="1" x14ac:dyDescent="0.35">
      <c r="A613" s="363"/>
      <c r="B613" s="364"/>
      <c r="E613" s="364"/>
      <c r="H613" s="364"/>
      <c r="K613" s="363"/>
      <c r="L613" s="364"/>
      <c r="M613" s="363"/>
      <c r="N613" s="363"/>
      <c r="O613" s="363"/>
      <c r="P613" s="364"/>
      <c r="Q613" s="363"/>
      <c r="R613" s="363"/>
      <c r="S613" s="363"/>
      <c r="T613" s="363"/>
      <c r="U613" s="363"/>
      <c r="V613" s="363"/>
      <c r="W613" s="363"/>
      <c r="X613" s="363"/>
      <c r="Y613" s="363"/>
      <c r="Z613" s="363"/>
    </row>
    <row r="614" spans="1:26" ht="15.75" customHeight="1" x14ac:dyDescent="0.35">
      <c r="A614" s="363"/>
      <c r="B614" s="364"/>
      <c r="E614" s="364"/>
      <c r="H614" s="364"/>
      <c r="K614" s="363"/>
      <c r="L614" s="364"/>
      <c r="M614" s="363"/>
      <c r="N614" s="363"/>
      <c r="O614" s="363"/>
      <c r="P614" s="364"/>
      <c r="Q614" s="363"/>
      <c r="R614" s="363"/>
      <c r="S614" s="363"/>
      <c r="T614" s="363"/>
      <c r="U614" s="363"/>
      <c r="V614" s="363"/>
      <c r="W614" s="363"/>
      <c r="X614" s="363"/>
      <c r="Y614" s="363"/>
      <c r="Z614" s="363"/>
    </row>
    <row r="615" spans="1:26" ht="15.75" customHeight="1" x14ac:dyDescent="0.35">
      <c r="A615" s="363"/>
      <c r="B615" s="364"/>
      <c r="E615" s="364"/>
      <c r="H615" s="364"/>
      <c r="K615" s="363"/>
      <c r="L615" s="364"/>
      <c r="M615" s="363"/>
      <c r="N615" s="363"/>
      <c r="O615" s="363"/>
      <c r="P615" s="364"/>
      <c r="Q615" s="363"/>
      <c r="R615" s="363"/>
      <c r="S615" s="363"/>
      <c r="T615" s="363"/>
      <c r="U615" s="363"/>
      <c r="V615" s="363"/>
      <c r="W615" s="363"/>
      <c r="X615" s="363"/>
      <c r="Y615" s="363"/>
      <c r="Z615" s="363"/>
    </row>
    <row r="616" spans="1:26" ht="15.75" customHeight="1" x14ac:dyDescent="0.35">
      <c r="A616" s="363"/>
      <c r="B616" s="364"/>
      <c r="E616" s="364"/>
      <c r="H616" s="364"/>
      <c r="K616" s="363"/>
      <c r="L616" s="364"/>
      <c r="M616" s="363"/>
      <c r="N616" s="363"/>
      <c r="O616" s="363"/>
      <c r="P616" s="364"/>
      <c r="Q616" s="363"/>
      <c r="R616" s="363"/>
      <c r="S616" s="363"/>
      <c r="T616" s="363"/>
      <c r="U616" s="363"/>
      <c r="V616" s="363"/>
      <c r="W616" s="363"/>
      <c r="X616" s="363"/>
      <c r="Y616" s="363"/>
      <c r="Z616" s="363"/>
    </row>
    <row r="617" spans="1:26" ht="15.75" customHeight="1" x14ac:dyDescent="0.35">
      <c r="A617" s="363"/>
      <c r="B617" s="364"/>
      <c r="E617" s="364"/>
      <c r="H617" s="364"/>
      <c r="K617" s="363"/>
      <c r="L617" s="364"/>
      <c r="M617" s="363"/>
      <c r="N617" s="363"/>
      <c r="O617" s="363"/>
      <c r="P617" s="364"/>
      <c r="Q617" s="363"/>
      <c r="R617" s="363"/>
      <c r="S617" s="363"/>
      <c r="T617" s="363"/>
      <c r="U617" s="363"/>
      <c r="V617" s="363"/>
      <c r="W617" s="363"/>
      <c r="X617" s="363"/>
      <c r="Y617" s="363"/>
      <c r="Z617" s="363"/>
    </row>
    <row r="618" spans="1:26" ht="15.75" customHeight="1" x14ac:dyDescent="0.35">
      <c r="A618" s="363"/>
      <c r="B618" s="364"/>
      <c r="E618" s="364"/>
      <c r="H618" s="364"/>
      <c r="K618" s="363"/>
      <c r="L618" s="364"/>
      <c r="M618" s="363"/>
      <c r="N618" s="363"/>
      <c r="O618" s="363"/>
      <c r="P618" s="364"/>
      <c r="Q618" s="363"/>
      <c r="R618" s="363"/>
      <c r="S618" s="363"/>
      <c r="T618" s="363"/>
      <c r="U618" s="363"/>
      <c r="V618" s="363"/>
      <c r="W618" s="363"/>
      <c r="X618" s="363"/>
      <c r="Y618" s="363"/>
      <c r="Z618" s="363"/>
    </row>
    <row r="619" spans="1:26" ht="15.75" customHeight="1" x14ac:dyDescent="0.35">
      <c r="A619" s="363"/>
      <c r="B619" s="364"/>
      <c r="E619" s="364"/>
      <c r="H619" s="364"/>
      <c r="K619" s="363"/>
      <c r="L619" s="364"/>
      <c r="M619" s="363"/>
      <c r="N619" s="363"/>
      <c r="O619" s="363"/>
      <c r="P619" s="364"/>
      <c r="Q619" s="363"/>
      <c r="R619" s="363"/>
      <c r="S619" s="363"/>
      <c r="T619" s="363"/>
      <c r="U619" s="363"/>
      <c r="V619" s="363"/>
      <c r="W619" s="363"/>
      <c r="X619" s="363"/>
      <c r="Y619" s="363"/>
      <c r="Z619" s="363"/>
    </row>
    <row r="620" spans="1:26" ht="15.75" customHeight="1" x14ac:dyDescent="0.35">
      <c r="A620" s="363"/>
      <c r="B620" s="364"/>
      <c r="E620" s="364"/>
      <c r="H620" s="364"/>
      <c r="K620" s="363"/>
      <c r="L620" s="364"/>
      <c r="M620" s="363"/>
      <c r="N620" s="363"/>
      <c r="O620" s="363"/>
      <c r="P620" s="364"/>
      <c r="Q620" s="363"/>
      <c r="R620" s="363"/>
      <c r="S620" s="363"/>
      <c r="T620" s="363"/>
      <c r="U620" s="363"/>
      <c r="V620" s="363"/>
      <c r="W620" s="363"/>
      <c r="X620" s="363"/>
      <c r="Y620" s="363"/>
      <c r="Z620" s="363"/>
    </row>
    <row r="621" spans="1:26" ht="15.75" customHeight="1" x14ac:dyDescent="0.35">
      <c r="A621" s="363"/>
      <c r="B621" s="364"/>
      <c r="E621" s="364"/>
      <c r="H621" s="364"/>
      <c r="K621" s="363"/>
      <c r="L621" s="364"/>
      <c r="M621" s="363"/>
      <c r="N621" s="363"/>
      <c r="O621" s="363"/>
      <c r="P621" s="364"/>
      <c r="Q621" s="363"/>
      <c r="R621" s="363"/>
      <c r="S621" s="363"/>
      <c r="T621" s="363"/>
      <c r="U621" s="363"/>
      <c r="V621" s="363"/>
      <c r="W621" s="363"/>
      <c r="X621" s="363"/>
      <c r="Y621" s="363"/>
      <c r="Z621" s="363"/>
    </row>
    <row r="622" spans="1:26" ht="15.75" customHeight="1" x14ac:dyDescent="0.35">
      <c r="A622" s="363"/>
      <c r="B622" s="364"/>
      <c r="E622" s="364"/>
      <c r="H622" s="364"/>
      <c r="K622" s="363"/>
      <c r="L622" s="364"/>
      <c r="M622" s="363"/>
      <c r="N622" s="363"/>
      <c r="O622" s="363"/>
      <c r="P622" s="364"/>
      <c r="Q622" s="363"/>
      <c r="R622" s="363"/>
      <c r="S622" s="363"/>
      <c r="T622" s="363"/>
      <c r="U622" s="363"/>
      <c r="V622" s="363"/>
      <c r="W622" s="363"/>
      <c r="X622" s="363"/>
      <c r="Y622" s="363"/>
      <c r="Z622" s="363"/>
    </row>
    <row r="623" spans="1:26" ht="15.75" customHeight="1" x14ac:dyDescent="0.35">
      <c r="A623" s="363"/>
      <c r="B623" s="364"/>
      <c r="E623" s="364"/>
      <c r="H623" s="364"/>
      <c r="K623" s="363"/>
      <c r="L623" s="364"/>
      <c r="M623" s="363"/>
      <c r="N623" s="363"/>
      <c r="O623" s="363"/>
      <c r="P623" s="364"/>
      <c r="Q623" s="363"/>
      <c r="R623" s="363"/>
      <c r="S623" s="363"/>
      <c r="T623" s="363"/>
      <c r="U623" s="363"/>
      <c r="V623" s="363"/>
      <c r="W623" s="363"/>
      <c r="X623" s="363"/>
      <c r="Y623" s="363"/>
      <c r="Z623" s="363"/>
    </row>
    <row r="624" spans="1:26" ht="15.75" customHeight="1" x14ac:dyDescent="0.35">
      <c r="A624" s="363"/>
      <c r="B624" s="364"/>
      <c r="E624" s="364"/>
      <c r="H624" s="364"/>
      <c r="K624" s="363"/>
      <c r="L624" s="364"/>
      <c r="M624" s="363"/>
      <c r="N624" s="363"/>
      <c r="O624" s="363"/>
      <c r="P624" s="364"/>
      <c r="Q624" s="363"/>
      <c r="R624" s="363"/>
      <c r="S624" s="363"/>
      <c r="T624" s="363"/>
      <c r="U624" s="363"/>
      <c r="V624" s="363"/>
      <c r="W624" s="363"/>
      <c r="X624" s="363"/>
      <c r="Y624" s="363"/>
      <c r="Z624" s="363"/>
    </row>
    <row r="625" spans="1:26" ht="15.75" customHeight="1" x14ac:dyDescent="0.35">
      <c r="A625" s="363"/>
      <c r="B625" s="364"/>
      <c r="E625" s="364"/>
      <c r="H625" s="364"/>
      <c r="K625" s="363"/>
      <c r="L625" s="364"/>
      <c r="M625" s="363"/>
      <c r="N625" s="363"/>
      <c r="O625" s="363"/>
      <c r="P625" s="364"/>
      <c r="Q625" s="363"/>
      <c r="R625" s="363"/>
      <c r="S625" s="363"/>
      <c r="T625" s="363"/>
      <c r="U625" s="363"/>
      <c r="V625" s="363"/>
      <c r="W625" s="363"/>
      <c r="X625" s="363"/>
      <c r="Y625" s="363"/>
      <c r="Z625" s="363"/>
    </row>
    <row r="626" spans="1:26" ht="15.75" customHeight="1" x14ac:dyDescent="0.35">
      <c r="A626" s="363"/>
      <c r="B626" s="364"/>
      <c r="E626" s="364"/>
      <c r="H626" s="364"/>
      <c r="K626" s="363"/>
      <c r="L626" s="364"/>
      <c r="M626" s="363"/>
      <c r="N626" s="363"/>
      <c r="O626" s="363"/>
      <c r="P626" s="364"/>
      <c r="Q626" s="363"/>
      <c r="R626" s="363"/>
      <c r="S626" s="363"/>
      <c r="T626" s="363"/>
      <c r="U626" s="363"/>
      <c r="V626" s="363"/>
      <c r="W626" s="363"/>
      <c r="X626" s="363"/>
      <c r="Y626" s="363"/>
      <c r="Z626" s="363"/>
    </row>
    <row r="627" spans="1:26" ht="15.75" customHeight="1" x14ac:dyDescent="0.35">
      <c r="A627" s="363"/>
      <c r="B627" s="364"/>
      <c r="E627" s="364"/>
      <c r="H627" s="364"/>
      <c r="K627" s="363"/>
      <c r="L627" s="364"/>
      <c r="M627" s="363"/>
      <c r="N627" s="363"/>
      <c r="O627" s="363"/>
      <c r="P627" s="364"/>
      <c r="Q627" s="363"/>
      <c r="R627" s="363"/>
      <c r="S627" s="363"/>
      <c r="T627" s="363"/>
      <c r="U627" s="363"/>
      <c r="V627" s="363"/>
      <c r="W627" s="363"/>
      <c r="X627" s="363"/>
      <c r="Y627" s="363"/>
      <c r="Z627" s="363"/>
    </row>
    <row r="628" spans="1:26" ht="15.75" customHeight="1" x14ac:dyDescent="0.35">
      <c r="A628" s="363"/>
      <c r="B628" s="364"/>
      <c r="E628" s="364"/>
      <c r="H628" s="364"/>
      <c r="K628" s="363"/>
      <c r="L628" s="364"/>
      <c r="M628" s="363"/>
      <c r="N628" s="363"/>
      <c r="O628" s="363"/>
      <c r="P628" s="364"/>
      <c r="Q628" s="363"/>
      <c r="R628" s="363"/>
      <c r="S628" s="363"/>
      <c r="T628" s="363"/>
      <c r="U628" s="363"/>
      <c r="V628" s="363"/>
      <c r="W628" s="363"/>
      <c r="X628" s="363"/>
      <c r="Y628" s="363"/>
      <c r="Z628" s="363"/>
    </row>
    <row r="629" spans="1:26" ht="15.75" customHeight="1" x14ac:dyDescent="0.35">
      <c r="A629" s="363"/>
      <c r="B629" s="364"/>
      <c r="E629" s="364"/>
      <c r="H629" s="364"/>
      <c r="K629" s="363"/>
      <c r="L629" s="364"/>
      <c r="M629" s="363"/>
      <c r="N629" s="363"/>
      <c r="O629" s="363"/>
      <c r="P629" s="364"/>
      <c r="Q629" s="363"/>
      <c r="R629" s="363"/>
      <c r="S629" s="363"/>
      <c r="T629" s="363"/>
      <c r="U629" s="363"/>
      <c r="V629" s="363"/>
      <c r="W629" s="363"/>
      <c r="X629" s="363"/>
      <c r="Y629" s="363"/>
      <c r="Z629" s="363"/>
    </row>
    <row r="630" spans="1:26" ht="15.75" customHeight="1" x14ac:dyDescent="0.35">
      <c r="A630" s="363"/>
      <c r="B630" s="364"/>
      <c r="E630" s="364"/>
      <c r="H630" s="364"/>
      <c r="K630" s="363"/>
      <c r="L630" s="364"/>
      <c r="M630" s="363"/>
      <c r="N630" s="363"/>
      <c r="O630" s="363"/>
      <c r="P630" s="364"/>
      <c r="Q630" s="363"/>
      <c r="R630" s="363"/>
      <c r="S630" s="363"/>
      <c r="T630" s="363"/>
      <c r="U630" s="363"/>
      <c r="V630" s="363"/>
      <c r="W630" s="363"/>
      <c r="X630" s="363"/>
      <c r="Y630" s="363"/>
      <c r="Z630" s="363"/>
    </row>
    <row r="631" spans="1:26" ht="15.75" customHeight="1" x14ac:dyDescent="0.35">
      <c r="A631" s="363"/>
      <c r="B631" s="364"/>
      <c r="E631" s="364"/>
      <c r="H631" s="364"/>
      <c r="K631" s="363"/>
      <c r="L631" s="364"/>
      <c r="M631" s="363"/>
      <c r="N631" s="363"/>
      <c r="O631" s="363"/>
      <c r="P631" s="364"/>
      <c r="Q631" s="363"/>
      <c r="R631" s="363"/>
      <c r="S631" s="363"/>
      <c r="T631" s="363"/>
      <c r="U631" s="363"/>
      <c r="V631" s="363"/>
      <c r="W631" s="363"/>
      <c r="X631" s="363"/>
      <c r="Y631" s="363"/>
      <c r="Z631" s="363"/>
    </row>
    <row r="632" spans="1:26" ht="15.75" customHeight="1" x14ac:dyDescent="0.35">
      <c r="A632" s="363"/>
      <c r="B632" s="364"/>
      <c r="E632" s="364"/>
      <c r="H632" s="364"/>
      <c r="K632" s="363"/>
      <c r="L632" s="364"/>
      <c r="M632" s="363"/>
      <c r="N632" s="363"/>
      <c r="O632" s="363"/>
      <c r="P632" s="364"/>
      <c r="Q632" s="363"/>
      <c r="R632" s="363"/>
      <c r="S632" s="363"/>
      <c r="T632" s="363"/>
      <c r="U632" s="363"/>
      <c r="V632" s="363"/>
      <c r="W632" s="363"/>
      <c r="X632" s="363"/>
      <c r="Y632" s="363"/>
      <c r="Z632" s="363"/>
    </row>
    <row r="633" spans="1:26" ht="15.75" customHeight="1" x14ac:dyDescent="0.35">
      <c r="A633" s="363"/>
      <c r="B633" s="364"/>
      <c r="E633" s="364"/>
      <c r="H633" s="364"/>
      <c r="K633" s="363"/>
      <c r="L633" s="364"/>
      <c r="M633" s="363"/>
      <c r="N633" s="363"/>
      <c r="O633" s="363"/>
      <c r="P633" s="364"/>
      <c r="Q633" s="363"/>
      <c r="R633" s="363"/>
      <c r="S633" s="363"/>
      <c r="T633" s="363"/>
      <c r="U633" s="363"/>
      <c r="V633" s="363"/>
      <c r="W633" s="363"/>
      <c r="X633" s="363"/>
      <c r="Y633" s="363"/>
      <c r="Z633" s="363"/>
    </row>
    <row r="634" spans="1:26" ht="15.75" customHeight="1" x14ac:dyDescent="0.35">
      <c r="A634" s="363"/>
      <c r="B634" s="364"/>
      <c r="E634" s="364"/>
      <c r="H634" s="364"/>
      <c r="K634" s="363"/>
      <c r="L634" s="364"/>
      <c r="M634" s="363"/>
      <c r="N634" s="363"/>
      <c r="O634" s="363"/>
      <c r="P634" s="364"/>
      <c r="Q634" s="363"/>
      <c r="R634" s="363"/>
      <c r="S634" s="363"/>
      <c r="T634" s="363"/>
      <c r="U634" s="363"/>
      <c r="V634" s="363"/>
      <c r="W634" s="363"/>
      <c r="X634" s="363"/>
      <c r="Y634" s="363"/>
      <c r="Z634" s="363"/>
    </row>
    <row r="635" spans="1:26" ht="15.75" customHeight="1" x14ac:dyDescent="0.35">
      <c r="A635" s="363"/>
      <c r="B635" s="364"/>
      <c r="E635" s="364"/>
      <c r="H635" s="364"/>
      <c r="K635" s="363"/>
      <c r="L635" s="364"/>
      <c r="M635" s="363"/>
      <c r="N635" s="363"/>
      <c r="O635" s="363"/>
      <c r="P635" s="364"/>
      <c r="Q635" s="363"/>
      <c r="R635" s="363"/>
      <c r="S635" s="363"/>
      <c r="T635" s="363"/>
      <c r="U635" s="363"/>
      <c r="V635" s="363"/>
      <c r="W635" s="363"/>
      <c r="X635" s="363"/>
      <c r="Y635" s="363"/>
      <c r="Z635" s="363"/>
    </row>
    <row r="636" spans="1:26" ht="15.75" customHeight="1" x14ac:dyDescent="0.35">
      <c r="A636" s="363"/>
      <c r="B636" s="364"/>
      <c r="E636" s="364"/>
      <c r="H636" s="364"/>
      <c r="K636" s="363"/>
      <c r="L636" s="364"/>
      <c r="M636" s="363"/>
      <c r="N636" s="363"/>
      <c r="O636" s="363"/>
      <c r="P636" s="364"/>
      <c r="Q636" s="363"/>
      <c r="R636" s="363"/>
      <c r="S636" s="363"/>
      <c r="T636" s="363"/>
      <c r="U636" s="363"/>
      <c r="V636" s="363"/>
      <c r="W636" s="363"/>
      <c r="X636" s="363"/>
      <c r="Y636" s="363"/>
      <c r="Z636" s="363"/>
    </row>
    <row r="637" spans="1:26" ht="15.75" customHeight="1" x14ac:dyDescent="0.35">
      <c r="A637" s="363"/>
      <c r="B637" s="364"/>
      <c r="E637" s="364"/>
      <c r="H637" s="364"/>
      <c r="K637" s="363"/>
      <c r="L637" s="364"/>
      <c r="M637" s="363"/>
      <c r="N637" s="363"/>
      <c r="O637" s="363"/>
      <c r="P637" s="364"/>
      <c r="Q637" s="363"/>
      <c r="R637" s="363"/>
      <c r="S637" s="363"/>
      <c r="T637" s="363"/>
      <c r="U637" s="363"/>
      <c r="V637" s="363"/>
      <c r="W637" s="363"/>
      <c r="X637" s="363"/>
      <c r="Y637" s="363"/>
      <c r="Z637" s="363"/>
    </row>
    <row r="638" spans="1:26" ht="15.75" customHeight="1" x14ac:dyDescent="0.35">
      <c r="A638" s="363"/>
      <c r="B638" s="364"/>
      <c r="E638" s="364"/>
      <c r="H638" s="364"/>
      <c r="K638" s="363"/>
      <c r="L638" s="364"/>
      <c r="M638" s="363"/>
      <c r="N638" s="363"/>
      <c r="O638" s="363"/>
      <c r="P638" s="364"/>
      <c r="Q638" s="363"/>
      <c r="R638" s="363"/>
      <c r="S638" s="363"/>
      <c r="T638" s="363"/>
      <c r="U638" s="363"/>
      <c r="V638" s="363"/>
      <c r="W638" s="363"/>
      <c r="X638" s="363"/>
      <c r="Y638" s="363"/>
      <c r="Z638" s="363"/>
    </row>
    <row r="639" spans="1:26" ht="15.75" customHeight="1" x14ac:dyDescent="0.35">
      <c r="A639" s="363"/>
      <c r="B639" s="364"/>
      <c r="E639" s="364"/>
      <c r="H639" s="364"/>
      <c r="K639" s="363"/>
      <c r="L639" s="364"/>
      <c r="M639" s="363"/>
      <c r="N639" s="363"/>
      <c r="O639" s="363"/>
      <c r="P639" s="364"/>
      <c r="Q639" s="363"/>
      <c r="R639" s="363"/>
      <c r="S639" s="363"/>
      <c r="T639" s="363"/>
      <c r="U639" s="363"/>
      <c r="V639" s="363"/>
      <c r="W639" s="363"/>
      <c r="X639" s="363"/>
      <c r="Y639" s="363"/>
      <c r="Z639" s="363"/>
    </row>
    <row r="640" spans="1:26" ht="15.75" customHeight="1" x14ac:dyDescent="0.35">
      <c r="A640" s="363"/>
      <c r="B640" s="364"/>
      <c r="E640" s="364"/>
      <c r="H640" s="364"/>
      <c r="K640" s="363"/>
      <c r="L640" s="364"/>
      <c r="M640" s="363"/>
      <c r="N640" s="363"/>
      <c r="O640" s="363"/>
      <c r="P640" s="364"/>
      <c r="Q640" s="363"/>
      <c r="R640" s="363"/>
      <c r="S640" s="363"/>
      <c r="T640" s="363"/>
      <c r="U640" s="363"/>
      <c r="V640" s="363"/>
      <c r="W640" s="363"/>
      <c r="X640" s="363"/>
      <c r="Y640" s="363"/>
      <c r="Z640" s="363"/>
    </row>
    <row r="641" spans="1:26" ht="15.75" customHeight="1" x14ac:dyDescent="0.35">
      <c r="A641" s="363"/>
      <c r="B641" s="364"/>
      <c r="E641" s="364"/>
      <c r="H641" s="364"/>
      <c r="K641" s="363"/>
      <c r="L641" s="364"/>
      <c r="M641" s="363"/>
      <c r="N641" s="363"/>
      <c r="O641" s="363"/>
      <c r="P641" s="364"/>
      <c r="Q641" s="363"/>
      <c r="R641" s="363"/>
      <c r="S641" s="363"/>
      <c r="T641" s="363"/>
      <c r="U641" s="363"/>
      <c r="V641" s="363"/>
      <c r="W641" s="363"/>
      <c r="X641" s="363"/>
      <c r="Y641" s="363"/>
      <c r="Z641" s="363"/>
    </row>
    <row r="642" spans="1:26" ht="15.75" customHeight="1" x14ac:dyDescent="0.35">
      <c r="A642" s="363"/>
      <c r="B642" s="364"/>
      <c r="E642" s="364"/>
      <c r="H642" s="364"/>
      <c r="K642" s="363"/>
      <c r="L642" s="364"/>
      <c r="M642" s="363"/>
      <c r="N642" s="363"/>
      <c r="O642" s="363"/>
      <c r="P642" s="364"/>
      <c r="Q642" s="363"/>
      <c r="R642" s="363"/>
      <c r="S642" s="363"/>
      <c r="T642" s="363"/>
      <c r="U642" s="363"/>
      <c r="V642" s="363"/>
      <c r="W642" s="363"/>
      <c r="X642" s="363"/>
      <c r="Y642" s="363"/>
      <c r="Z642" s="363"/>
    </row>
    <row r="643" spans="1:26" ht="15.75" customHeight="1" x14ac:dyDescent="0.35">
      <c r="A643" s="363"/>
      <c r="B643" s="364"/>
      <c r="E643" s="364"/>
      <c r="H643" s="364"/>
      <c r="K643" s="363"/>
      <c r="L643" s="364"/>
      <c r="M643" s="363"/>
      <c r="N643" s="363"/>
      <c r="O643" s="363"/>
      <c r="P643" s="364"/>
      <c r="Q643" s="363"/>
      <c r="R643" s="363"/>
      <c r="S643" s="363"/>
      <c r="T643" s="363"/>
      <c r="U643" s="363"/>
      <c r="V643" s="363"/>
      <c r="W643" s="363"/>
      <c r="X643" s="363"/>
      <c r="Y643" s="363"/>
      <c r="Z643" s="363"/>
    </row>
    <row r="644" spans="1:26" ht="15.75" customHeight="1" x14ac:dyDescent="0.35">
      <c r="A644" s="363"/>
      <c r="B644" s="364"/>
      <c r="E644" s="364"/>
      <c r="H644" s="364"/>
      <c r="K644" s="363"/>
      <c r="L644" s="364"/>
      <c r="M644" s="363"/>
      <c r="N644" s="363"/>
      <c r="O644" s="363"/>
      <c r="P644" s="364"/>
      <c r="Q644" s="363"/>
      <c r="R644" s="363"/>
      <c r="S644" s="363"/>
      <c r="T644" s="363"/>
      <c r="U644" s="363"/>
      <c r="V644" s="363"/>
      <c r="W644" s="363"/>
      <c r="X644" s="363"/>
      <c r="Y644" s="363"/>
      <c r="Z644" s="363"/>
    </row>
    <row r="645" spans="1:26" ht="15.75" customHeight="1" x14ac:dyDescent="0.35">
      <c r="A645" s="363"/>
      <c r="B645" s="364"/>
      <c r="E645" s="364"/>
      <c r="H645" s="364"/>
      <c r="K645" s="363"/>
      <c r="L645" s="364"/>
      <c r="M645" s="363"/>
      <c r="N645" s="363"/>
      <c r="O645" s="363"/>
      <c r="P645" s="364"/>
      <c r="Q645" s="363"/>
      <c r="R645" s="363"/>
      <c r="S645" s="363"/>
      <c r="T645" s="363"/>
      <c r="U645" s="363"/>
      <c r="V645" s="363"/>
      <c r="W645" s="363"/>
      <c r="X645" s="363"/>
      <c r="Y645" s="363"/>
      <c r="Z645" s="363"/>
    </row>
    <row r="646" spans="1:26" ht="15.75" customHeight="1" x14ac:dyDescent="0.35">
      <c r="A646" s="363"/>
      <c r="B646" s="364"/>
      <c r="E646" s="364"/>
      <c r="H646" s="364"/>
      <c r="K646" s="363"/>
      <c r="L646" s="364"/>
      <c r="M646" s="363"/>
      <c r="N646" s="363"/>
      <c r="O646" s="363"/>
      <c r="P646" s="364"/>
      <c r="Q646" s="363"/>
      <c r="R646" s="363"/>
      <c r="S646" s="363"/>
      <c r="T646" s="363"/>
      <c r="U646" s="363"/>
      <c r="V646" s="363"/>
      <c r="W646" s="363"/>
      <c r="X646" s="363"/>
      <c r="Y646" s="363"/>
      <c r="Z646" s="363"/>
    </row>
    <row r="647" spans="1:26" ht="15.75" customHeight="1" x14ac:dyDescent="0.35">
      <c r="A647" s="363"/>
      <c r="B647" s="364"/>
      <c r="E647" s="364"/>
      <c r="H647" s="364"/>
      <c r="K647" s="363"/>
      <c r="L647" s="364"/>
      <c r="M647" s="363"/>
      <c r="N647" s="363"/>
      <c r="O647" s="363"/>
      <c r="P647" s="364"/>
      <c r="Q647" s="363"/>
      <c r="R647" s="363"/>
      <c r="S647" s="363"/>
      <c r="T647" s="363"/>
      <c r="U647" s="363"/>
      <c r="V647" s="363"/>
      <c r="W647" s="363"/>
      <c r="X647" s="363"/>
      <c r="Y647" s="363"/>
      <c r="Z647" s="363"/>
    </row>
    <row r="648" spans="1:26" ht="15.75" customHeight="1" x14ac:dyDescent="0.35">
      <c r="A648" s="363"/>
      <c r="B648" s="364"/>
      <c r="E648" s="364"/>
      <c r="H648" s="364"/>
      <c r="K648" s="363"/>
      <c r="L648" s="364"/>
      <c r="M648" s="363"/>
      <c r="N648" s="363"/>
      <c r="O648" s="363"/>
      <c r="P648" s="364"/>
      <c r="Q648" s="363"/>
      <c r="R648" s="363"/>
      <c r="S648" s="363"/>
      <c r="T648" s="363"/>
      <c r="U648" s="363"/>
      <c r="V648" s="363"/>
      <c r="W648" s="363"/>
      <c r="X648" s="363"/>
      <c r="Y648" s="363"/>
      <c r="Z648" s="363"/>
    </row>
    <row r="649" spans="1:26" ht="15.75" customHeight="1" x14ac:dyDescent="0.35">
      <c r="A649" s="363"/>
      <c r="B649" s="364"/>
      <c r="E649" s="364"/>
      <c r="H649" s="364"/>
      <c r="K649" s="363"/>
      <c r="L649" s="364"/>
      <c r="M649" s="363"/>
      <c r="N649" s="363"/>
      <c r="O649" s="363"/>
      <c r="P649" s="364"/>
      <c r="Q649" s="363"/>
      <c r="R649" s="363"/>
      <c r="S649" s="363"/>
      <c r="T649" s="363"/>
      <c r="U649" s="363"/>
      <c r="V649" s="363"/>
      <c r="W649" s="363"/>
      <c r="X649" s="363"/>
      <c r="Y649" s="363"/>
      <c r="Z649" s="363"/>
    </row>
    <row r="650" spans="1:26" ht="15.75" customHeight="1" x14ac:dyDescent="0.35">
      <c r="A650" s="363"/>
      <c r="B650" s="364"/>
      <c r="E650" s="364"/>
      <c r="H650" s="364"/>
      <c r="K650" s="363"/>
      <c r="L650" s="364"/>
      <c r="M650" s="363"/>
      <c r="N650" s="363"/>
      <c r="O650" s="363"/>
      <c r="P650" s="364"/>
      <c r="Q650" s="363"/>
      <c r="R650" s="363"/>
      <c r="S650" s="363"/>
      <c r="T650" s="363"/>
      <c r="U650" s="363"/>
      <c r="V650" s="363"/>
      <c r="W650" s="363"/>
      <c r="X650" s="363"/>
      <c r="Y650" s="363"/>
      <c r="Z650" s="363"/>
    </row>
    <row r="651" spans="1:26" ht="15.75" customHeight="1" x14ac:dyDescent="0.35">
      <c r="A651" s="363"/>
      <c r="B651" s="364"/>
      <c r="E651" s="364"/>
      <c r="H651" s="364"/>
      <c r="K651" s="363"/>
      <c r="L651" s="364"/>
      <c r="M651" s="363"/>
      <c r="N651" s="363"/>
      <c r="O651" s="363"/>
      <c r="P651" s="364"/>
      <c r="Q651" s="363"/>
      <c r="R651" s="363"/>
      <c r="S651" s="363"/>
      <c r="T651" s="363"/>
      <c r="U651" s="363"/>
      <c r="V651" s="363"/>
      <c r="W651" s="363"/>
      <c r="X651" s="363"/>
      <c r="Y651" s="363"/>
      <c r="Z651" s="363"/>
    </row>
    <row r="652" spans="1:26" ht="15.75" customHeight="1" x14ac:dyDescent="0.35">
      <c r="A652" s="363"/>
      <c r="B652" s="364"/>
      <c r="E652" s="364"/>
      <c r="H652" s="364"/>
      <c r="K652" s="363"/>
      <c r="L652" s="364"/>
      <c r="M652" s="363"/>
      <c r="N652" s="363"/>
      <c r="O652" s="363"/>
      <c r="P652" s="364"/>
      <c r="Q652" s="363"/>
      <c r="R652" s="363"/>
      <c r="S652" s="363"/>
      <c r="T652" s="363"/>
      <c r="U652" s="363"/>
      <c r="V652" s="363"/>
      <c r="W652" s="363"/>
      <c r="X652" s="363"/>
      <c r="Y652" s="363"/>
      <c r="Z652" s="363"/>
    </row>
    <row r="653" spans="1:26" ht="15.75" customHeight="1" x14ac:dyDescent="0.35">
      <c r="A653" s="363"/>
      <c r="B653" s="364"/>
      <c r="E653" s="364"/>
      <c r="H653" s="364"/>
      <c r="K653" s="363"/>
      <c r="L653" s="364"/>
      <c r="M653" s="363"/>
      <c r="N653" s="363"/>
      <c r="O653" s="363"/>
      <c r="P653" s="364"/>
      <c r="Q653" s="363"/>
      <c r="R653" s="363"/>
      <c r="S653" s="363"/>
      <c r="T653" s="363"/>
      <c r="U653" s="363"/>
      <c r="V653" s="363"/>
      <c r="W653" s="363"/>
      <c r="X653" s="363"/>
      <c r="Y653" s="363"/>
      <c r="Z653" s="363"/>
    </row>
    <row r="654" spans="1:26" ht="15.75" customHeight="1" x14ac:dyDescent="0.35">
      <c r="A654" s="363"/>
      <c r="B654" s="364"/>
      <c r="E654" s="364"/>
      <c r="H654" s="364"/>
      <c r="K654" s="363"/>
      <c r="L654" s="364"/>
      <c r="M654" s="363"/>
      <c r="N654" s="363"/>
      <c r="O654" s="363"/>
      <c r="P654" s="364"/>
      <c r="Q654" s="363"/>
      <c r="R654" s="363"/>
      <c r="S654" s="363"/>
      <c r="T654" s="363"/>
      <c r="U654" s="363"/>
      <c r="V654" s="363"/>
      <c r="W654" s="363"/>
      <c r="X654" s="363"/>
      <c r="Y654" s="363"/>
      <c r="Z654" s="363"/>
    </row>
    <row r="655" spans="1:26" ht="15.75" customHeight="1" x14ac:dyDescent="0.35">
      <c r="A655" s="363"/>
      <c r="B655" s="364"/>
      <c r="E655" s="364"/>
      <c r="H655" s="364"/>
      <c r="K655" s="363"/>
      <c r="L655" s="364"/>
      <c r="M655" s="363"/>
      <c r="N655" s="363"/>
      <c r="O655" s="363"/>
      <c r="P655" s="364"/>
      <c r="Q655" s="363"/>
      <c r="R655" s="363"/>
      <c r="S655" s="363"/>
      <c r="T655" s="363"/>
      <c r="U655" s="363"/>
      <c r="V655" s="363"/>
      <c r="W655" s="363"/>
      <c r="X655" s="363"/>
      <c r="Y655" s="363"/>
      <c r="Z655" s="363"/>
    </row>
    <row r="656" spans="1:26" ht="15.75" customHeight="1" x14ac:dyDescent="0.35">
      <c r="A656" s="363"/>
      <c r="B656" s="364"/>
      <c r="E656" s="364"/>
      <c r="H656" s="364"/>
      <c r="K656" s="363"/>
      <c r="L656" s="364"/>
      <c r="M656" s="363"/>
      <c r="N656" s="363"/>
      <c r="O656" s="363"/>
      <c r="P656" s="364"/>
      <c r="Q656" s="363"/>
      <c r="R656" s="363"/>
      <c r="S656" s="363"/>
      <c r="T656" s="363"/>
      <c r="U656" s="363"/>
      <c r="V656" s="363"/>
      <c r="W656" s="363"/>
      <c r="X656" s="363"/>
      <c r="Y656" s="363"/>
      <c r="Z656" s="363"/>
    </row>
    <row r="657" spans="1:26" ht="15.75" customHeight="1" x14ac:dyDescent="0.35">
      <c r="A657" s="363"/>
      <c r="B657" s="364"/>
      <c r="E657" s="364"/>
      <c r="H657" s="364"/>
      <c r="K657" s="363"/>
      <c r="L657" s="364"/>
      <c r="M657" s="363"/>
      <c r="N657" s="363"/>
      <c r="O657" s="363"/>
      <c r="P657" s="364"/>
      <c r="Q657" s="363"/>
      <c r="R657" s="363"/>
      <c r="S657" s="363"/>
      <c r="T657" s="363"/>
      <c r="U657" s="363"/>
      <c r="V657" s="363"/>
      <c r="W657" s="363"/>
      <c r="X657" s="363"/>
      <c r="Y657" s="363"/>
      <c r="Z657" s="363"/>
    </row>
    <row r="658" spans="1:26" ht="15.75" customHeight="1" x14ac:dyDescent="0.35">
      <c r="A658" s="363"/>
      <c r="B658" s="364"/>
      <c r="E658" s="364"/>
      <c r="H658" s="364"/>
      <c r="K658" s="363"/>
      <c r="L658" s="364"/>
      <c r="M658" s="363"/>
      <c r="N658" s="363"/>
      <c r="O658" s="363"/>
      <c r="P658" s="364"/>
      <c r="Q658" s="363"/>
      <c r="R658" s="363"/>
      <c r="S658" s="363"/>
      <c r="T658" s="363"/>
      <c r="U658" s="363"/>
      <c r="V658" s="363"/>
      <c r="W658" s="363"/>
      <c r="X658" s="363"/>
      <c r="Y658" s="363"/>
      <c r="Z658" s="363"/>
    </row>
    <row r="659" spans="1:26" ht="15.75" customHeight="1" x14ac:dyDescent="0.35">
      <c r="A659" s="363"/>
      <c r="B659" s="364"/>
      <c r="E659" s="364"/>
      <c r="H659" s="364"/>
      <c r="K659" s="363"/>
      <c r="L659" s="364"/>
      <c r="M659" s="363"/>
      <c r="N659" s="363"/>
      <c r="O659" s="363"/>
      <c r="P659" s="364"/>
      <c r="Q659" s="363"/>
      <c r="R659" s="363"/>
      <c r="S659" s="363"/>
      <c r="T659" s="363"/>
      <c r="U659" s="363"/>
      <c r="V659" s="363"/>
      <c r="W659" s="363"/>
      <c r="X659" s="363"/>
      <c r="Y659" s="363"/>
      <c r="Z659" s="363"/>
    </row>
    <row r="660" spans="1:26" ht="15.75" customHeight="1" x14ac:dyDescent="0.35">
      <c r="A660" s="363"/>
      <c r="B660" s="364"/>
      <c r="E660" s="364"/>
      <c r="H660" s="364"/>
      <c r="K660" s="363"/>
      <c r="L660" s="364"/>
      <c r="M660" s="363"/>
      <c r="N660" s="363"/>
      <c r="O660" s="363"/>
      <c r="P660" s="364"/>
      <c r="Q660" s="363"/>
      <c r="R660" s="363"/>
      <c r="S660" s="363"/>
      <c r="T660" s="363"/>
      <c r="U660" s="363"/>
      <c r="V660" s="363"/>
      <c r="W660" s="363"/>
      <c r="X660" s="363"/>
      <c r="Y660" s="363"/>
      <c r="Z660" s="363"/>
    </row>
    <row r="661" spans="1:26" ht="15.75" customHeight="1" x14ac:dyDescent="0.35">
      <c r="A661" s="363"/>
      <c r="B661" s="364"/>
      <c r="E661" s="364"/>
      <c r="H661" s="364"/>
      <c r="K661" s="363"/>
      <c r="L661" s="364"/>
      <c r="M661" s="363"/>
      <c r="N661" s="363"/>
      <c r="O661" s="363"/>
      <c r="P661" s="364"/>
      <c r="Q661" s="363"/>
      <c r="R661" s="363"/>
      <c r="S661" s="363"/>
      <c r="T661" s="363"/>
      <c r="U661" s="363"/>
      <c r="V661" s="363"/>
      <c r="W661" s="363"/>
      <c r="X661" s="363"/>
      <c r="Y661" s="363"/>
      <c r="Z661" s="363"/>
    </row>
    <row r="662" spans="1:26" ht="15.75" customHeight="1" x14ac:dyDescent="0.35">
      <c r="A662" s="363"/>
      <c r="B662" s="364"/>
      <c r="E662" s="364"/>
      <c r="H662" s="364"/>
      <c r="K662" s="363"/>
      <c r="L662" s="364"/>
      <c r="M662" s="363"/>
      <c r="N662" s="363"/>
      <c r="O662" s="363"/>
      <c r="P662" s="364"/>
      <c r="Q662" s="363"/>
      <c r="R662" s="363"/>
      <c r="S662" s="363"/>
      <c r="T662" s="363"/>
      <c r="U662" s="363"/>
      <c r="V662" s="363"/>
      <c r="W662" s="363"/>
      <c r="X662" s="363"/>
      <c r="Y662" s="363"/>
      <c r="Z662" s="363"/>
    </row>
    <row r="663" spans="1:26" ht="15.75" customHeight="1" x14ac:dyDescent="0.35">
      <c r="A663" s="363"/>
      <c r="B663" s="364"/>
      <c r="E663" s="364"/>
      <c r="H663" s="364"/>
      <c r="K663" s="363"/>
      <c r="L663" s="364"/>
      <c r="M663" s="363"/>
      <c r="N663" s="363"/>
      <c r="O663" s="363"/>
      <c r="P663" s="364"/>
      <c r="Q663" s="363"/>
      <c r="R663" s="363"/>
      <c r="S663" s="363"/>
      <c r="T663" s="363"/>
      <c r="U663" s="363"/>
      <c r="V663" s="363"/>
      <c r="W663" s="363"/>
      <c r="X663" s="363"/>
      <c r="Y663" s="363"/>
      <c r="Z663" s="363"/>
    </row>
    <row r="664" spans="1:26" ht="15.75" customHeight="1" x14ac:dyDescent="0.35">
      <c r="A664" s="363"/>
      <c r="B664" s="364"/>
      <c r="E664" s="364"/>
      <c r="H664" s="364"/>
      <c r="K664" s="363"/>
      <c r="L664" s="364"/>
      <c r="M664" s="363"/>
      <c r="N664" s="363"/>
      <c r="O664" s="363"/>
      <c r="P664" s="364"/>
      <c r="Q664" s="363"/>
      <c r="R664" s="363"/>
      <c r="S664" s="363"/>
      <c r="T664" s="363"/>
      <c r="U664" s="363"/>
      <c r="V664" s="363"/>
      <c r="W664" s="363"/>
      <c r="X664" s="363"/>
      <c r="Y664" s="363"/>
      <c r="Z664" s="363"/>
    </row>
    <row r="665" spans="1:26" ht="15.75" customHeight="1" x14ac:dyDescent="0.35">
      <c r="A665" s="363"/>
      <c r="B665" s="364"/>
      <c r="E665" s="364"/>
      <c r="H665" s="364"/>
      <c r="K665" s="363"/>
      <c r="L665" s="364"/>
      <c r="M665" s="363"/>
      <c r="N665" s="363"/>
      <c r="O665" s="363"/>
      <c r="P665" s="364"/>
      <c r="Q665" s="363"/>
      <c r="R665" s="363"/>
      <c r="S665" s="363"/>
      <c r="T665" s="363"/>
      <c r="U665" s="363"/>
      <c r="V665" s="363"/>
      <c r="W665" s="363"/>
      <c r="X665" s="363"/>
      <c r="Y665" s="363"/>
      <c r="Z665" s="363"/>
    </row>
    <row r="666" spans="1:26" ht="15.75" customHeight="1" x14ac:dyDescent="0.35">
      <c r="A666" s="363"/>
      <c r="B666" s="364"/>
      <c r="E666" s="364"/>
      <c r="H666" s="364"/>
      <c r="K666" s="363"/>
      <c r="L666" s="364"/>
      <c r="M666" s="363"/>
      <c r="N666" s="363"/>
      <c r="O666" s="363"/>
      <c r="P666" s="364"/>
      <c r="Q666" s="363"/>
      <c r="R666" s="363"/>
      <c r="S666" s="363"/>
      <c r="T666" s="363"/>
      <c r="U666" s="363"/>
      <c r="V666" s="363"/>
      <c r="W666" s="363"/>
      <c r="X666" s="363"/>
      <c r="Y666" s="363"/>
      <c r="Z666" s="363"/>
    </row>
    <row r="667" spans="1:26" ht="15.75" customHeight="1" x14ac:dyDescent="0.35">
      <c r="A667" s="363"/>
      <c r="B667" s="364"/>
      <c r="E667" s="364"/>
      <c r="H667" s="364"/>
      <c r="K667" s="363"/>
      <c r="L667" s="364"/>
      <c r="M667" s="363"/>
      <c r="N667" s="363"/>
      <c r="O667" s="363"/>
      <c r="P667" s="364"/>
      <c r="Q667" s="363"/>
      <c r="R667" s="363"/>
      <c r="S667" s="363"/>
      <c r="T667" s="363"/>
      <c r="U667" s="363"/>
      <c r="V667" s="363"/>
      <c r="W667" s="363"/>
      <c r="X667" s="363"/>
      <c r="Y667" s="363"/>
      <c r="Z667" s="363"/>
    </row>
    <row r="668" spans="1:26" ht="15.75" customHeight="1" x14ac:dyDescent="0.35">
      <c r="A668" s="363"/>
      <c r="B668" s="364"/>
      <c r="E668" s="364"/>
      <c r="H668" s="364"/>
      <c r="K668" s="363"/>
      <c r="L668" s="364"/>
      <c r="M668" s="363"/>
      <c r="N668" s="363"/>
      <c r="O668" s="363"/>
      <c r="P668" s="364"/>
      <c r="Q668" s="363"/>
      <c r="R668" s="363"/>
      <c r="S668" s="363"/>
      <c r="T668" s="363"/>
      <c r="U668" s="363"/>
      <c r="V668" s="363"/>
      <c r="W668" s="363"/>
      <c r="X668" s="363"/>
      <c r="Y668" s="363"/>
      <c r="Z668" s="363"/>
    </row>
    <row r="669" spans="1:26" ht="15.75" customHeight="1" x14ac:dyDescent="0.35">
      <c r="A669" s="363"/>
      <c r="B669" s="364"/>
      <c r="E669" s="364"/>
      <c r="H669" s="364"/>
      <c r="K669" s="363"/>
      <c r="L669" s="364"/>
      <c r="M669" s="363"/>
      <c r="N669" s="363"/>
      <c r="O669" s="363"/>
      <c r="P669" s="364"/>
      <c r="Q669" s="363"/>
      <c r="R669" s="363"/>
      <c r="S669" s="363"/>
      <c r="T669" s="363"/>
      <c r="U669" s="363"/>
      <c r="V669" s="363"/>
      <c r="W669" s="363"/>
      <c r="X669" s="363"/>
      <c r="Y669" s="363"/>
      <c r="Z669" s="363"/>
    </row>
    <row r="670" spans="1:26" ht="15.75" customHeight="1" x14ac:dyDescent="0.35">
      <c r="A670" s="363"/>
      <c r="B670" s="364"/>
      <c r="E670" s="364"/>
      <c r="H670" s="364"/>
      <c r="K670" s="363"/>
      <c r="L670" s="364"/>
      <c r="M670" s="363"/>
      <c r="N670" s="363"/>
      <c r="O670" s="363"/>
      <c r="P670" s="364"/>
      <c r="Q670" s="363"/>
      <c r="R670" s="363"/>
      <c r="S670" s="363"/>
      <c r="T670" s="363"/>
      <c r="U670" s="363"/>
      <c r="V670" s="363"/>
      <c r="W670" s="363"/>
      <c r="X670" s="363"/>
      <c r="Y670" s="363"/>
      <c r="Z670" s="363"/>
    </row>
    <row r="671" spans="1:26" ht="15.75" customHeight="1" x14ac:dyDescent="0.35">
      <c r="A671" s="363"/>
      <c r="B671" s="364"/>
      <c r="E671" s="364"/>
      <c r="H671" s="364"/>
      <c r="K671" s="363"/>
      <c r="L671" s="364"/>
      <c r="M671" s="363"/>
      <c r="N671" s="363"/>
      <c r="O671" s="363"/>
      <c r="P671" s="364"/>
      <c r="Q671" s="363"/>
      <c r="R671" s="363"/>
      <c r="S671" s="363"/>
      <c r="T671" s="363"/>
      <c r="U671" s="363"/>
      <c r="V671" s="363"/>
      <c r="W671" s="363"/>
      <c r="X671" s="363"/>
      <c r="Y671" s="363"/>
      <c r="Z671" s="363"/>
    </row>
    <row r="672" spans="1:26" ht="15.75" customHeight="1" x14ac:dyDescent="0.35">
      <c r="A672" s="363"/>
      <c r="B672" s="364"/>
      <c r="E672" s="364"/>
      <c r="H672" s="364"/>
      <c r="K672" s="363"/>
      <c r="L672" s="364"/>
      <c r="M672" s="363"/>
      <c r="N672" s="363"/>
      <c r="O672" s="363"/>
      <c r="P672" s="364"/>
      <c r="Q672" s="363"/>
      <c r="R672" s="363"/>
      <c r="S672" s="363"/>
      <c r="T672" s="363"/>
      <c r="U672" s="363"/>
      <c r="V672" s="363"/>
      <c r="W672" s="363"/>
      <c r="X672" s="363"/>
      <c r="Y672" s="363"/>
      <c r="Z672" s="363"/>
    </row>
    <row r="673" spans="1:26" ht="15.75" customHeight="1" x14ac:dyDescent="0.35">
      <c r="A673" s="363"/>
      <c r="B673" s="364"/>
      <c r="E673" s="364"/>
      <c r="H673" s="364"/>
      <c r="K673" s="363"/>
      <c r="L673" s="364"/>
      <c r="M673" s="363"/>
      <c r="N673" s="363"/>
      <c r="O673" s="363"/>
      <c r="P673" s="364"/>
      <c r="Q673" s="363"/>
      <c r="R673" s="363"/>
      <c r="S673" s="363"/>
      <c r="T673" s="363"/>
      <c r="U673" s="363"/>
      <c r="V673" s="363"/>
      <c r="W673" s="363"/>
      <c r="X673" s="363"/>
      <c r="Y673" s="363"/>
      <c r="Z673" s="363"/>
    </row>
    <row r="674" spans="1:26" ht="15.75" customHeight="1" x14ac:dyDescent="0.35">
      <c r="A674" s="363"/>
      <c r="B674" s="364"/>
      <c r="E674" s="364"/>
      <c r="H674" s="364"/>
      <c r="K674" s="363"/>
      <c r="L674" s="364"/>
      <c r="M674" s="363"/>
      <c r="N674" s="363"/>
      <c r="O674" s="363"/>
      <c r="P674" s="364"/>
      <c r="Q674" s="363"/>
      <c r="R674" s="363"/>
      <c r="S674" s="363"/>
      <c r="T674" s="363"/>
      <c r="U674" s="363"/>
      <c r="V674" s="363"/>
      <c r="W674" s="363"/>
      <c r="X674" s="363"/>
      <c r="Y674" s="363"/>
      <c r="Z674" s="363"/>
    </row>
    <row r="675" spans="1:26" ht="15.75" customHeight="1" x14ac:dyDescent="0.35">
      <c r="A675" s="363"/>
      <c r="B675" s="364"/>
      <c r="E675" s="364"/>
      <c r="H675" s="364"/>
      <c r="K675" s="363"/>
      <c r="L675" s="364"/>
      <c r="M675" s="363"/>
      <c r="N675" s="363"/>
      <c r="O675" s="363"/>
      <c r="P675" s="364"/>
      <c r="Q675" s="363"/>
      <c r="R675" s="363"/>
      <c r="S675" s="363"/>
      <c r="T675" s="363"/>
      <c r="U675" s="363"/>
      <c r="V675" s="363"/>
      <c r="W675" s="363"/>
      <c r="X675" s="363"/>
      <c r="Y675" s="363"/>
      <c r="Z675" s="363"/>
    </row>
    <row r="676" spans="1:26" ht="15.75" customHeight="1" x14ac:dyDescent="0.35">
      <c r="A676" s="363"/>
      <c r="B676" s="364"/>
      <c r="E676" s="364"/>
      <c r="H676" s="364"/>
      <c r="K676" s="363"/>
      <c r="L676" s="364"/>
      <c r="M676" s="363"/>
      <c r="N676" s="363"/>
      <c r="O676" s="363"/>
      <c r="P676" s="364"/>
      <c r="Q676" s="363"/>
      <c r="R676" s="363"/>
      <c r="S676" s="363"/>
      <c r="T676" s="363"/>
      <c r="U676" s="363"/>
      <c r="V676" s="363"/>
      <c r="W676" s="363"/>
      <c r="X676" s="363"/>
      <c r="Y676" s="363"/>
      <c r="Z676" s="363"/>
    </row>
    <row r="677" spans="1:26" ht="15.75" customHeight="1" x14ac:dyDescent="0.35">
      <c r="A677" s="363"/>
      <c r="B677" s="364"/>
      <c r="E677" s="364"/>
      <c r="H677" s="364"/>
      <c r="K677" s="363"/>
      <c r="L677" s="364"/>
      <c r="M677" s="363"/>
      <c r="N677" s="363"/>
      <c r="O677" s="363"/>
      <c r="P677" s="364"/>
      <c r="Q677" s="363"/>
      <c r="R677" s="363"/>
      <c r="S677" s="363"/>
      <c r="T677" s="363"/>
      <c r="U677" s="363"/>
      <c r="V677" s="363"/>
      <c r="W677" s="363"/>
      <c r="X677" s="363"/>
      <c r="Y677" s="363"/>
      <c r="Z677" s="363"/>
    </row>
    <row r="678" spans="1:26" ht="15.75" customHeight="1" x14ac:dyDescent="0.35">
      <c r="A678" s="363"/>
      <c r="B678" s="364"/>
      <c r="E678" s="364"/>
      <c r="H678" s="364"/>
      <c r="K678" s="363"/>
      <c r="L678" s="364"/>
      <c r="M678" s="363"/>
      <c r="N678" s="363"/>
      <c r="O678" s="363"/>
      <c r="P678" s="364"/>
      <c r="Q678" s="363"/>
      <c r="R678" s="363"/>
      <c r="S678" s="363"/>
      <c r="T678" s="363"/>
      <c r="U678" s="363"/>
      <c r="V678" s="363"/>
      <c r="W678" s="363"/>
      <c r="X678" s="363"/>
      <c r="Y678" s="363"/>
      <c r="Z678" s="363"/>
    </row>
    <row r="679" spans="1:26" ht="15.75" customHeight="1" x14ac:dyDescent="0.35">
      <c r="A679" s="363"/>
      <c r="B679" s="364"/>
      <c r="E679" s="364"/>
      <c r="H679" s="364"/>
      <c r="K679" s="363"/>
      <c r="L679" s="364"/>
      <c r="M679" s="363"/>
      <c r="N679" s="363"/>
      <c r="O679" s="363"/>
      <c r="P679" s="364"/>
      <c r="Q679" s="363"/>
      <c r="R679" s="363"/>
      <c r="S679" s="363"/>
      <c r="T679" s="363"/>
      <c r="U679" s="363"/>
      <c r="V679" s="363"/>
      <c r="W679" s="363"/>
      <c r="X679" s="363"/>
      <c r="Y679" s="363"/>
      <c r="Z679" s="363"/>
    </row>
    <row r="680" spans="1:26" ht="15.75" customHeight="1" x14ac:dyDescent="0.35">
      <c r="A680" s="363"/>
      <c r="B680" s="364"/>
      <c r="E680" s="364"/>
      <c r="H680" s="364"/>
      <c r="K680" s="363"/>
      <c r="L680" s="364"/>
      <c r="M680" s="363"/>
      <c r="N680" s="363"/>
      <c r="O680" s="363"/>
      <c r="P680" s="364"/>
      <c r="Q680" s="363"/>
      <c r="R680" s="363"/>
      <c r="S680" s="363"/>
      <c r="T680" s="363"/>
      <c r="U680" s="363"/>
      <c r="V680" s="363"/>
      <c r="W680" s="363"/>
      <c r="X680" s="363"/>
      <c r="Y680" s="363"/>
      <c r="Z680" s="363"/>
    </row>
    <row r="681" spans="1:26" ht="15.75" customHeight="1" x14ac:dyDescent="0.35">
      <c r="A681" s="363"/>
      <c r="B681" s="364"/>
      <c r="E681" s="364"/>
      <c r="H681" s="364"/>
      <c r="K681" s="363"/>
      <c r="L681" s="364"/>
      <c r="M681" s="363"/>
      <c r="N681" s="363"/>
      <c r="O681" s="363"/>
      <c r="P681" s="364"/>
      <c r="Q681" s="363"/>
      <c r="R681" s="363"/>
      <c r="S681" s="363"/>
      <c r="T681" s="363"/>
      <c r="U681" s="363"/>
      <c r="V681" s="363"/>
      <c r="W681" s="363"/>
      <c r="X681" s="363"/>
      <c r="Y681" s="363"/>
      <c r="Z681" s="363"/>
    </row>
    <row r="682" spans="1:26" ht="15.75" customHeight="1" x14ac:dyDescent="0.35">
      <c r="A682" s="363"/>
      <c r="B682" s="364"/>
      <c r="E682" s="364"/>
      <c r="H682" s="364"/>
      <c r="K682" s="363"/>
      <c r="L682" s="364"/>
      <c r="M682" s="363"/>
      <c r="N682" s="363"/>
      <c r="O682" s="363"/>
      <c r="P682" s="364"/>
      <c r="Q682" s="363"/>
      <c r="R682" s="363"/>
      <c r="S682" s="363"/>
      <c r="T682" s="363"/>
      <c r="U682" s="363"/>
      <c r="V682" s="363"/>
      <c r="W682" s="363"/>
      <c r="X682" s="363"/>
      <c r="Y682" s="363"/>
      <c r="Z682" s="363"/>
    </row>
    <row r="683" spans="1:26" ht="15.75" customHeight="1" x14ac:dyDescent="0.35">
      <c r="A683" s="363"/>
      <c r="B683" s="364"/>
      <c r="E683" s="364"/>
      <c r="H683" s="364"/>
      <c r="K683" s="363"/>
      <c r="L683" s="364"/>
      <c r="M683" s="363"/>
      <c r="N683" s="363"/>
      <c r="O683" s="363"/>
      <c r="P683" s="364"/>
      <c r="Q683" s="363"/>
      <c r="R683" s="363"/>
      <c r="S683" s="363"/>
      <c r="T683" s="363"/>
      <c r="U683" s="363"/>
      <c r="V683" s="363"/>
      <c r="W683" s="363"/>
      <c r="X683" s="363"/>
      <c r="Y683" s="363"/>
      <c r="Z683" s="363"/>
    </row>
    <row r="684" spans="1:26" ht="15.75" customHeight="1" x14ac:dyDescent="0.35">
      <c r="A684" s="363"/>
      <c r="B684" s="364"/>
      <c r="E684" s="364"/>
      <c r="H684" s="364"/>
      <c r="K684" s="363"/>
      <c r="L684" s="364"/>
      <c r="M684" s="363"/>
      <c r="N684" s="363"/>
      <c r="O684" s="363"/>
      <c r="P684" s="364"/>
      <c r="Q684" s="363"/>
      <c r="R684" s="363"/>
      <c r="S684" s="363"/>
      <c r="T684" s="363"/>
      <c r="U684" s="363"/>
      <c r="V684" s="363"/>
      <c r="W684" s="363"/>
      <c r="X684" s="363"/>
      <c r="Y684" s="363"/>
      <c r="Z684" s="363"/>
    </row>
    <row r="685" spans="1:26" ht="15.75" customHeight="1" x14ac:dyDescent="0.35">
      <c r="A685" s="363"/>
      <c r="B685" s="364"/>
      <c r="E685" s="364"/>
      <c r="H685" s="364"/>
      <c r="K685" s="363"/>
      <c r="L685" s="364"/>
      <c r="M685" s="363"/>
      <c r="N685" s="363"/>
      <c r="O685" s="363"/>
      <c r="P685" s="364"/>
      <c r="Q685" s="363"/>
      <c r="R685" s="363"/>
      <c r="S685" s="363"/>
      <c r="T685" s="363"/>
      <c r="U685" s="363"/>
      <c r="V685" s="363"/>
      <c r="W685" s="363"/>
      <c r="X685" s="363"/>
      <c r="Y685" s="363"/>
      <c r="Z685" s="363"/>
    </row>
    <row r="686" spans="1:26" ht="15.75" customHeight="1" x14ac:dyDescent="0.35">
      <c r="A686" s="363"/>
      <c r="B686" s="364"/>
      <c r="E686" s="364"/>
      <c r="H686" s="364"/>
      <c r="K686" s="363"/>
      <c r="L686" s="364"/>
      <c r="M686" s="363"/>
      <c r="N686" s="363"/>
      <c r="O686" s="363"/>
      <c r="P686" s="364"/>
      <c r="Q686" s="363"/>
      <c r="R686" s="363"/>
      <c r="S686" s="363"/>
      <c r="T686" s="363"/>
      <c r="U686" s="363"/>
      <c r="V686" s="363"/>
      <c r="W686" s="363"/>
      <c r="X686" s="363"/>
      <c r="Y686" s="363"/>
      <c r="Z686" s="363"/>
    </row>
    <row r="687" spans="1:26" ht="15.75" customHeight="1" x14ac:dyDescent="0.35">
      <c r="A687" s="363"/>
      <c r="B687" s="364"/>
      <c r="E687" s="364"/>
      <c r="H687" s="364"/>
      <c r="K687" s="363"/>
      <c r="L687" s="364"/>
      <c r="M687" s="363"/>
      <c r="N687" s="363"/>
      <c r="O687" s="363"/>
      <c r="P687" s="364"/>
      <c r="Q687" s="363"/>
      <c r="R687" s="363"/>
      <c r="S687" s="363"/>
      <c r="T687" s="363"/>
      <c r="U687" s="363"/>
      <c r="V687" s="363"/>
      <c r="W687" s="363"/>
      <c r="X687" s="363"/>
      <c r="Y687" s="363"/>
      <c r="Z687" s="363"/>
    </row>
    <row r="688" spans="1:26" ht="15.75" customHeight="1" x14ac:dyDescent="0.35">
      <c r="A688" s="363"/>
      <c r="B688" s="364"/>
      <c r="E688" s="364"/>
      <c r="H688" s="364"/>
      <c r="K688" s="363"/>
      <c r="L688" s="364"/>
      <c r="M688" s="363"/>
      <c r="N688" s="363"/>
      <c r="O688" s="363"/>
      <c r="P688" s="364"/>
      <c r="Q688" s="363"/>
      <c r="R688" s="363"/>
      <c r="S688" s="363"/>
      <c r="T688" s="363"/>
      <c r="U688" s="363"/>
      <c r="V688" s="363"/>
      <c r="W688" s="363"/>
      <c r="X688" s="363"/>
      <c r="Y688" s="363"/>
      <c r="Z688" s="363"/>
    </row>
    <row r="689" spans="1:26" ht="15.75" customHeight="1" x14ac:dyDescent="0.35">
      <c r="A689" s="363"/>
      <c r="B689" s="364"/>
      <c r="E689" s="364"/>
      <c r="H689" s="364"/>
      <c r="K689" s="363"/>
      <c r="L689" s="364"/>
      <c r="M689" s="363"/>
      <c r="N689" s="363"/>
      <c r="O689" s="363"/>
      <c r="P689" s="364"/>
      <c r="Q689" s="363"/>
      <c r="R689" s="363"/>
      <c r="S689" s="363"/>
      <c r="T689" s="363"/>
      <c r="U689" s="363"/>
      <c r="V689" s="363"/>
      <c r="W689" s="363"/>
      <c r="X689" s="363"/>
      <c r="Y689" s="363"/>
      <c r="Z689" s="363"/>
    </row>
    <row r="690" spans="1:26" ht="15.75" customHeight="1" x14ac:dyDescent="0.35">
      <c r="A690" s="363"/>
      <c r="B690" s="364"/>
      <c r="E690" s="364"/>
      <c r="H690" s="364"/>
      <c r="K690" s="363"/>
      <c r="L690" s="364"/>
      <c r="M690" s="363"/>
      <c r="N690" s="363"/>
      <c r="O690" s="363"/>
      <c r="P690" s="364"/>
      <c r="Q690" s="363"/>
      <c r="R690" s="363"/>
      <c r="S690" s="363"/>
      <c r="T690" s="363"/>
      <c r="U690" s="363"/>
      <c r="V690" s="363"/>
      <c r="W690" s="363"/>
      <c r="X690" s="363"/>
      <c r="Y690" s="363"/>
      <c r="Z690" s="363"/>
    </row>
    <row r="691" spans="1:26" ht="15.75" customHeight="1" x14ac:dyDescent="0.35">
      <c r="A691" s="363"/>
      <c r="B691" s="364"/>
      <c r="E691" s="364"/>
      <c r="H691" s="364"/>
      <c r="K691" s="363"/>
      <c r="L691" s="364"/>
      <c r="M691" s="363"/>
      <c r="N691" s="363"/>
      <c r="O691" s="363"/>
      <c r="P691" s="364"/>
      <c r="Q691" s="363"/>
      <c r="R691" s="363"/>
      <c r="S691" s="363"/>
      <c r="T691" s="363"/>
      <c r="U691" s="363"/>
      <c r="V691" s="363"/>
      <c r="W691" s="363"/>
      <c r="X691" s="363"/>
      <c r="Y691" s="363"/>
      <c r="Z691" s="363"/>
    </row>
    <row r="692" spans="1:26" ht="15.75" customHeight="1" x14ac:dyDescent="0.35">
      <c r="A692" s="363"/>
      <c r="B692" s="364"/>
      <c r="E692" s="364"/>
      <c r="H692" s="364"/>
      <c r="K692" s="363"/>
      <c r="L692" s="364"/>
      <c r="M692" s="363"/>
      <c r="N692" s="363"/>
      <c r="O692" s="363"/>
      <c r="P692" s="364"/>
      <c r="Q692" s="363"/>
      <c r="R692" s="363"/>
      <c r="S692" s="363"/>
      <c r="T692" s="363"/>
      <c r="U692" s="363"/>
      <c r="V692" s="363"/>
      <c r="W692" s="363"/>
      <c r="X692" s="363"/>
      <c r="Y692" s="363"/>
      <c r="Z692" s="363"/>
    </row>
    <row r="693" spans="1:26" ht="15.75" customHeight="1" x14ac:dyDescent="0.35">
      <c r="A693" s="363"/>
      <c r="B693" s="364"/>
      <c r="E693" s="364"/>
      <c r="H693" s="364"/>
      <c r="K693" s="363"/>
      <c r="L693" s="364"/>
      <c r="M693" s="363"/>
      <c r="N693" s="363"/>
      <c r="O693" s="363"/>
      <c r="P693" s="364"/>
      <c r="Q693" s="363"/>
      <c r="R693" s="363"/>
      <c r="S693" s="363"/>
      <c r="T693" s="363"/>
      <c r="U693" s="363"/>
      <c r="V693" s="363"/>
      <c r="W693" s="363"/>
      <c r="X693" s="363"/>
      <c r="Y693" s="363"/>
      <c r="Z693" s="363"/>
    </row>
    <row r="694" spans="1:26" ht="15.75" customHeight="1" x14ac:dyDescent="0.35">
      <c r="A694" s="363"/>
      <c r="B694" s="364"/>
      <c r="E694" s="364"/>
      <c r="H694" s="364"/>
      <c r="K694" s="363"/>
      <c r="L694" s="364"/>
      <c r="M694" s="363"/>
      <c r="N694" s="363"/>
      <c r="O694" s="363"/>
      <c r="P694" s="364"/>
      <c r="Q694" s="363"/>
      <c r="R694" s="363"/>
      <c r="S694" s="363"/>
      <c r="T694" s="363"/>
      <c r="U694" s="363"/>
      <c r="V694" s="363"/>
      <c r="W694" s="363"/>
      <c r="X694" s="363"/>
      <c r="Y694" s="363"/>
      <c r="Z694" s="363"/>
    </row>
    <row r="695" spans="1:26" ht="15.75" customHeight="1" x14ac:dyDescent="0.35">
      <c r="A695" s="363"/>
      <c r="B695" s="364"/>
      <c r="E695" s="364"/>
      <c r="H695" s="364"/>
      <c r="K695" s="363"/>
      <c r="L695" s="364"/>
      <c r="M695" s="363"/>
      <c r="N695" s="363"/>
      <c r="O695" s="363"/>
      <c r="P695" s="364"/>
      <c r="Q695" s="363"/>
      <c r="R695" s="363"/>
      <c r="S695" s="363"/>
      <c r="T695" s="363"/>
      <c r="U695" s="363"/>
      <c r="V695" s="363"/>
      <c r="W695" s="363"/>
      <c r="X695" s="363"/>
      <c r="Y695" s="363"/>
      <c r="Z695" s="363"/>
    </row>
    <row r="696" spans="1:26" ht="15.75" customHeight="1" x14ac:dyDescent="0.35">
      <c r="A696" s="363"/>
      <c r="B696" s="364"/>
      <c r="E696" s="364"/>
      <c r="H696" s="364"/>
      <c r="K696" s="363"/>
      <c r="L696" s="364"/>
      <c r="M696" s="363"/>
      <c r="N696" s="363"/>
      <c r="O696" s="363"/>
      <c r="P696" s="364"/>
      <c r="Q696" s="363"/>
      <c r="R696" s="363"/>
      <c r="S696" s="363"/>
      <c r="T696" s="363"/>
      <c r="U696" s="363"/>
      <c r="V696" s="363"/>
      <c r="W696" s="363"/>
      <c r="X696" s="363"/>
      <c r="Y696" s="363"/>
      <c r="Z696" s="363"/>
    </row>
    <row r="697" spans="1:26" ht="15.75" customHeight="1" x14ac:dyDescent="0.35">
      <c r="A697" s="363"/>
      <c r="B697" s="364"/>
      <c r="E697" s="364"/>
      <c r="H697" s="364"/>
      <c r="K697" s="363"/>
      <c r="L697" s="364"/>
      <c r="M697" s="363"/>
      <c r="N697" s="363"/>
      <c r="O697" s="363"/>
      <c r="P697" s="364"/>
      <c r="Q697" s="363"/>
      <c r="R697" s="363"/>
      <c r="S697" s="363"/>
      <c r="T697" s="363"/>
      <c r="U697" s="363"/>
      <c r="V697" s="363"/>
      <c r="W697" s="363"/>
      <c r="X697" s="363"/>
      <c r="Y697" s="363"/>
      <c r="Z697" s="363"/>
    </row>
    <row r="698" spans="1:26" ht="15.75" customHeight="1" x14ac:dyDescent="0.35">
      <c r="A698" s="363"/>
      <c r="B698" s="364"/>
      <c r="E698" s="364"/>
      <c r="H698" s="364"/>
      <c r="K698" s="363"/>
      <c r="L698" s="364"/>
      <c r="M698" s="363"/>
      <c r="N698" s="363"/>
      <c r="O698" s="363"/>
      <c r="P698" s="364"/>
      <c r="Q698" s="363"/>
      <c r="R698" s="363"/>
      <c r="S698" s="363"/>
      <c r="T698" s="363"/>
      <c r="U698" s="363"/>
      <c r="V698" s="363"/>
      <c r="W698" s="363"/>
      <c r="X698" s="363"/>
      <c r="Y698" s="363"/>
      <c r="Z698" s="363"/>
    </row>
    <row r="699" spans="1:26" ht="15.75" customHeight="1" x14ac:dyDescent="0.35">
      <c r="A699" s="363"/>
      <c r="B699" s="364"/>
      <c r="E699" s="364"/>
      <c r="H699" s="364"/>
      <c r="K699" s="363"/>
      <c r="L699" s="364"/>
      <c r="M699" s="363"/>
      <c r="N699" s="363"/>
      <c r="O699" s="363"/>
      <c r="P699" s="364"/>
      <c r="Q699" s="363"/>
      <c r="R699" s="363"/>
      <c r="S699" s="363"/>
      <c r="T699" s="363"/>
      <c r="U699" s="363"/>
      <c r="V699" s="363"/>
      <c r="W699" s="363"/>
      <c r="X699" s="363"/>
      <c r="Y699" s="363"/>
      <c r="Z699" s="363"/>
    </row>
    <row r="700" spans="1:26" ht="15.75" customHeight="1" x14ac:dyDescent="0.35">
      <c r="A700" s="363"/>
      <c r="B700" s="364"/>
      <c r="E700" s="364"/>
      <c r="H700" s="364"/>
      <c r="K700" s="363"/>
      <c r="L700" s="364"/>
      <c r="M700" s="363"/>
      <c r="N700" s="363"/>
      <c r="O700" s="363"/>
      <c r="P700" s="364"/>
      <c r="Q700" s="363"/>
      <c r="R700" s="363"/>
      <c r="S700" s="363"/>
      <c r="T700" s="363"/>
      <c r="U700" s="363"/>
      <c r="V700" s="363"/>
      <c r="W700" s="363"/>
      <c r="X700" s="363"/>
      <c r="Y700" s="363"/>
      <c r="Z700" s="363"/>
    </row>
    <row r="701" spans="1:26" ht="15.75" customHeight="1" x14ac:dyDescent="0.35">
      <c r="A701" s="363"/>
      <c r="B701" s="364"/>
      <c r="E701" s="364"/>
      <c r="H701" s="364"/>
      <c r="K701" s="363"/>
      <c r="L701" s="364"/>
      <c r="M701" s="363"/>
      <c r="N701" s="363"/>
      <c r="O701" s="363"/>
      <c r="P701" s="364"/>
      <c r="Q701" s="363"/>
      <c r="R701" s="363"/>
      <c r="S701" s="363"/>
      <c r="T701" s="363"/>
      <c r="U701" s="363"/>
      <c r="V701" s="363"/>
      <c r="W701" s="363"/>
      <c r="X701" s="363"/>
      <c r="Y701" s="363"/>
      <c r="Z701" s="363"/>
    </row>
    <row r="702" spans="1:26" ht="15.75" customHeight="1" x14ac:dyDescent="0.35">
      <c r="A702" s="363"/>
      <c r="B702" s="364"/>
      <c r="E702" s="364"/>
      <c r="H702" s="364"/>
      <c r="K702" s="363"/>
      <c r="L702" s="364"/>
      <c r="M702" s="363"/>
      <c r="N702" s="363"/>
      <c r="O702" s="363"/>
      <c r="P702" s="364"/>
      <c r="Q702" s="363"/>
      <c r="R702" s="363"/>
      <c r="S702" s="363"/>
      <c r="T702" s="363"/>
      <c r="U702" s="363"/>
      <c r="V702" s="363"/>
      <c r="W702" s="363"/>
      <c r="X702" s="363"/>
      <c r="Y702" s="363"/>
      <c r="Z702" s="363"/>
    </row>
    <row r="703" spans="1:26" ht="15.75" customHeight="1" x14ac:dyDescent="0.35">
      <c r="A703" s="363"/>
      <c r="B703" s="364"/>
      <c r="E703" s="364"/>
      <c r="H703" s="364"/>
      <c r="K703" s="363"/>
      <c r="L703" s="364"/>
      <c r="M703" s="363"/>
      <c r="N703" s="363"/>
      <c r="O703" s="363"/>
      <c r="P703" s="364"/>
      <c r="Q703" s="363"/>
      <c r="R703" s="363"/>
      <c r="S703" s="363"/>
      <c r="T703" s="363"/>
      <c r="U703" s="363"/>
      <c r="V703" s="363"/>
      <c r="W703" s="363"/>
      <c r="X703" s="363"/>
      <c r="Y703" s="363"/>
      <c r="Z703" s="363"/>
    </row>
    <row r="704" spans="1:26" ht="15.75" customHeight="1" x14ac:dyDescent="0.35">
      <c r="A704" s="363"/>
      <c r="B704" s="364"/>
      <c r="E704" s="364"/>
      <c r="H704" s="364"/>
      <c r="K704" s="363"/>
      <c r="L704" s="364"/>
      <c r="M704" s="363"/>
      <c r="N704" s="363"/>
      <c r="O704" s="363"/>
      <c r="P704" s="364"/>
      <c r="Q704" s="363"/>
      <c r="R704" s="363"/>
      <c r="S704" s="363"/>
      <c r="T704" s="363"/>
      <c r="U704" s="363"/>
      <c r="V704" s="363"/>
      <c r="W704" s="363"/>
      <c r="X704" s="363"/>
      <c r="Y704" s="363"/>
      <c r="Z704" s="363"/>
    </row>
    <row r="705" spans="1:26" ht="15.75" customHeight="1" x14ac:dyDescent="0.35">
      <c r="A705" s="363"/>
      <c r="B705" s="364"/>
      <c r="E705" s="364"/>
      <c r="H705" s="364"/>
      <c r="K705" s="363"/>
      <c r="L705" s="364"/>
      <c r="M705" s="363"/>
      <c r="N705" s="363"/>
      <c r="O705" s="363"/>
      <c r="P705" s="364"/>
      <c r="Q705" s="363"/>
      <c r="R705" s="363"/>
      <c r="S705" s="363"/>
      <c r="T705" s="363"/>
      <c r="U705" s="363"/>
      <c r="V705" s="363"/>
      <c r="W705" s="363"/>
      <c r="X705" s="363"/>
      <c r="Y705" s="363"/>
      <c r="Z705" s="363"/>
    </row>
    <row r="706" spans="1:26" ht="15.75" customHeight="1" x14ac:dyDescent="0.35">
      <c r="A706" s="363"/>
      <c r="B706" s="364"/>
      <c r="E706" s="364"/>
      <c r="H706" s="364"/>
      <c r="K706" s="363"/>
      <c r="L706" s="364"/>
      <c r="M706" s="363"/>
      <c r="N706" s="363"/>
      <c r="O706" s="363"/>
      <c r="P706" s="364"/>
      <c r="Q706" s="363"/>
      <c r="R706" s="363"/>
      <c r="S706" s="363"/>
      <c r="T706" s="363"/>
      <c r="U706" s="363"/>
      <c r="V706" s="363"/>
      <c r="W706" s="363"/>
      <c r="X706" s="363"/>
      <c r="Y706" s="363"/>
      <c r="Z706" s="363"/>
    </row>
    <row r="707" spans="1:26" ht="15.75" customHeight="1" x14ac:dyDescent="0.35">
      <c r="A707" s="363"/>
      <c r="B707" s="364"/>
      <c r="E707" s="364"/>
      <c r="H707" s="364"/>
      <c r="K707" s="363"/>
      <c r="L707" s="364"/>
      <c r="M707" s="363"/>
      <c r="N707" s="363"/>
      <c r="O707" s="363"/>
      <c r="P707" s="364"/>
      <c r="Q707" s="363"/>
      <c r="R707" s="363"/>
      <c r="S707" s="363"/>
      <c r="T707" s="363"/>
      <c r="U707" s="363"/>
      <c r="V707" s="363"/>
      <c r="W707" s="363"/>
      <c r="X707" s="363"/>
      <c r="Y707" s="363"/>
      <c r="Z707" s="363"/>
    </row>
    <row r="708" spans="1:26" ht="15.75" customHeight="1" x14ac:dyDescent="0.35">
      <c r="A708" s="363"/>
      <c r="B708" s="364"/>
      <c r="E708" s="364"/>
      <c r="H708" s="364"/>
      <c r="K708" s="363"/>
      <c r="L708" s="364"/>
      <c r="M708" s="363"/>
      <c r="N708" s="363"/>
      <c r="O708" s="363"/>
      <c r="P708" s="364"/>
      <c r="Q708" s="363"/>
      <c r="R708" s="363"/>
      <c r="S708" s="363"/>
      <c r="T708" s="363"/>
      <c r="U708" s="363"/>
      <c r="V708" s="363"/>
      <c r="W708" s="363"/>
      <c r="X708" s="363"/>
      <c r="Y708" s="363"/>
      <c r="Z708" s="363"/>
    </row>
    <row r="709" spans="1:26" ht="15.75" customHeight="1" x14ac:dyDescent="0.35">
      <c r="A709" s="363"/>
      <c r="B709" s="364"/>
      <c r="E709" s="364"/>
      <c r="H709" s="364"/>
      <c r="K709" s="363"/>
      <c r="L709" s="364"/>
      <c r="M709" s="363"/>
      <c r="N709" s="363"/>
      <c r="O709" s="363"/>
      <c r="P709" s="364"/>
      <c r="Q709" s="363"/>
      <c r="R709" s="363"/>
      <c r="S709" s="363"/>
      <c r="T709" s="363"/>
      <c r="U709" s="363"/>
      <c r="V709" s="363"/>
      <c r="W709" s="363"/>
      <c r="X709" s="363"/>
      <c r="Y709" s="363"/>
      <c r="Z709" s="363"/>
    </row>
    <row r="710" spans="1:26" ht="15.75" customHeight="1" x14ac:dyDescent="0.35">
      <c r="A710" s="363"/>
      <c r="B710" s="364"/>
      <c r="E710" s="364"/>
      <c r="H710" s="364"/>
      <c r="K710" s="363"/>
      <c r="L710" s="364"/>
      <c r="M710" s="363"/>
      <c r="N710" s="363"/>
      <c r="O710" s="363"/>
      <c r="P710" s="364"/>
      <c r="Q710" s="363"/>
      <c r="R710" s="363"/>
      <c r="S710" s="363"/>
      <c r="T710" s="363"/>
      <c r="U710" s="363"/>
      <c r="V710" s="363"/>
      <c r="W710" s="363"/>
      <c r="X710" s="363"/>
      <c r="Y710" s="363"/>
      <c r="Z710" s="363"/>
    </row>
    <row r="711" spans="1:26" ht="15.75" customHeight="1" x14ac:dyDescent="0.35">
      <c r="A711" s="363"/>
      <c r="B711" s="364"/>
      <c r="E711" s="364"/>
      <c r="H711" s="364"/>
      <c r="K711" s="363"/>
      <c r="L711" s="364"/>
      <c r="M711" s="363"/>
      <c r="N711" s="363"/>
      <c r="O711" s="363"/>
      <c r="P711" s="364"/>
      <c r="Q711" s="363"/>
      <c r="R711" s="363"/>
      <c r="S711" s="363"/>
      <c r="T711" s="363"/>
      <c r="U711" s="363"/>
      <c r="V711" s="363"/>
      <c r="W711" s="363"/>
      <c r="X711" s="363"/>
      <c r="Y711" s="363"/>
      <c r="Z711" s="363"/>
    </row>
    <row r="712" spans="1:26" ht="15.75" customHeight="1" x14ac:dyDescent="0.35">
      <c r="A712" s="363"/>
      <c r="B712" s="364"/>
      <c r="E712" s="364"/>
      <c r="H712" s="364"/>
      <c r="K712" s="363"/>
      <c r="L712" s="364"/>
      <c r="M712" s="363"/>
      <c r="N712" s="363"/>
      <c r="O712" s="363"/>
      <c r="P712" s="364"/>
      <c r="Q712" s="363"/>
      <c r="R712" s="363"/>
      <c r="S712" s="363"/>
      <c r="T712" s="363"/>
      <c r="U712" s="363"/>
      <c r="V712" s="363"/>
      <c r="W712" s="363"/>
      <c r="X712" s="363"/>
      <c r="Y712" s="363"/>
      <c r="Z712" s="363"/>
    </row>
    <row r="713" spans="1:26" ht="15.75" customHeight="1" x14ac:dyDescent="0.35">
      <c r="A713" s="363"/>
      <c r="B713" s="364"/>
      <c r="E713" s="364"/>
      <c r="H713" s="364"/>
      <c r="K713" s="363"/>
      <c r="L713" s="364"/>
      <c r="M713" s="363"/>
      <c r="N713" s="363"/>
      <c r="O713" s="363"/>
      <c r="P713" s="364"/>
      <c r="Q713" s="363"/>
      <c r="R713" s="363"/>
      <c r="S713" s="363"/>
      <c r="T713" s="363"/>
      <c r="U713" s="363"/>
      <c r="V713" s="363"/>
      <c r="W713" s="363"/>
      <c r="X713" s="363"/>
      <c r="Y713" s="363"/>
      <c r="Z713" s="363"/>
    </row>
    <row r="714" spans="1:26" ht="15.75" customHeight="1" x14ac:dyDescent="0.35">
      <c r="A714" s="363"/>
      <c r="B714" s="364"/>
      <c r="E714" s="364"/>
      <c r="H714" s="364"/>
      <c r="K714" s="363"/>
      <c r="L714" s="364"/>
      <c r="M714" s="363"/>
      <c r="N714" s="363"/>
      <c r="O714" s="363"/>
      <c r="P714" s="364"/>
      <c r="Q714" s="363"/>
      <c r="R714" s="363"/>
      <c r="S714" s="363"/>
      <c r="T714" s="363"/>
      <c r="U714" s="363"/>
      <c r="V714" s="363"/>
      <c r="W714" s="363"/>
      <c r="X714" s="363"/>
      <c r="Y714" s="363"/>
      <c r="Z714" s="363"/>
    </row>
    <row r="715" spans="1:26" ht="15.75" customHeight="1" x14ac:dyDescent="0.35">
      <c r="A715" s="363"/>
      <c r="B715" s="364"/>
      <c r="E715" s="364"/>
      <c r="H715" s="364"/>
      <c r="K715" s="363"/>
      <c r="L715" s="364"/>
      <c r="M715" s="363"/>
      <c r="N715" s="363"/>
      <c r="O715" s="363"/>
      <c r="P715" s="364"/>
      <c r="Q715" s="363"/>
      <c r="R715" s="363"/>
      <c r="S715" s="363"/>
      <c r="T715" s="363"/>
      <c r="U715" s="363"/>
      <c r="V715" s="363"/>
      <c r="W715" s="363"/>
      <c r="X715" s="363"/>
      <c r="Y715" s="363"/>
      <c r="Z715" s="363"/>
    </row>
    <row r="716" spans="1:26" ht="15.75" customHeight="1" x14ac:dyDescent="0.35">
      <c r="A716" s="363"/>
      <c r="B716" s="364"/>
      <c r="E716" s="364"/>
      <c r="H716" s="364"/>
      <c r="K716" s="363"/>
      <c r="L716" s="364"/>
      <c r="M716" s="363"/>
      <c r="N716" s="363"/>
      <c r="O716" s="363"/>
      <c r="P716" s="364"/>
      <c r="Q716" s="363"/>
      <c r="R716" s="363"/>
      <c r="S716" s="363"/>
      <c r="T716" s="363"/>
      <c r="U716" s="363"/>
      <c r="V716" s="363"/>
      <c r="W716" s="363"/>
      <c r="X716" s="363"/>
      <c r="Y716" s="363"/>
      <c r="Z716" s="363"/>
    </row>
    <row r="717" spans="1:26" ht="15.75" customHeight="1" x14ac:dyDescent="0.35">
      <c r="A717" s="363"/>
      <c r="B717" s="364"/>
      <c r="E717" s="364"/>
      <c r="H717" s="364"/>
      <c r="K717" s="363"/>
      <c r="L717" s="364"/>
      <c r="M717" s="363"/>
      <c r="N717" s="363"/>
      <c r="O717" s="363"/>
      <c r="P717" s="364"/>
      <c r="Q717" s="363"/>
      <c r="R717" s="363"/>
      <c r="S717" s="363"/>
      <c r="T717" s="363"/>
      <c r="U717" s="363"/>
      <c r="V717" s="363"/>
      <c r="W717" s="363"/>
      <c r="X717" s="363"/>
      <c r="Y717" s="363"/>
      <c r="Z717" s="363"/>
    </row>
    <row r="718" spans="1:26" ht="15.75" customHeight="1" x14ac:dyDescent="0.35">
      <c r="A718" s="363"/>
      <c r="B718" s="364"/>
      <c r="E718" s="364"/>
      <c r="H718" s="364"/>
      <c r="K718" s="363"/>
      <c r="L718" s="364"/>
      <c r="M718" s="363"/>
      <c r="N718" s="363"/>
      <c r="O718" s="363"/>
      <c r="P718" s="364"/>
      <c r="Q718" s="363"/>
      <c r="R718" s="363"/>
      <c r="S718" s="363"/>
      <c r="T718" s="363"/>
      <c r="U718" s="363"/>
      <c r="V718" s="363"/>
      <c r="W718" s="363"/>
      <c r="X718" s="363"/>
      <c r="Y718" s="363"/>
      <c r="Z718" s="363"/>
    </row>
    <row r="719" spans="1:26" ht="15.75" customHeight="1" x14ac:dyDescent="0.35">
      <c r="A719" s="363"/>
      <c r="B719" s="364"/>
      <c r="E719" s="364"/>
      <c r="H719" s="364"/>
      <c r="K719" s="363"/>
      <c r="L719" s="364"/>
      <c r="M719" s="363"/>
      <c r="N719" s="363"/>
      <c r="O719" s="363"/>
      <c r="P719" s="364"/>
      <c r="Q719" s="363"/>
      <c r="R719" s="363"/>
      <c r="S719" s="363"/>
      <c r="T719" s="363"/>
      <c r="U719" s="363"/>
      <c r="V719" s="363"/>
      <c r="W719" s="363"/>
      <c r="X719" s="363"/>
      <c r="Y719" s="363"/>
      <c r="Z719" s="363"/>
    </row>
    <row r="720" spans="1:26" ht="15.75" customHeight="1" x14ac:dyDescent="0.35">
      <c r="A720" s="363"/>
      <c r="B720" s="364"/>
      <c r="E720" s="364"/>
      <c r="H720" s="364"/>
      <c r="K720" s="363"/>
      <c r="L720" s="364"/>
      <c r="M720" s="363"/>
      <c r="N720" s="363"/>
      <c r="O720" s="363"/>
      <c r="P720" s="364"/>
      <c r="Q720" s="363"/>
      <c r="R720" s="363"/>
      <c r="S720" s="363"/>
      <c r="T720" s="363"/>
      <c r="U720" s="363"/>
      <c r="V720" s="363"/>
      <c r="W720" s="363"/>
      <c r="X720" s="363"/>
      <c r="Y720" s="363"/>
      <c r="Z720" s="363"/>
    </row>
    <row r="721" spans="1:26" ht="15.75" customHeight="1" x14ac:dyDescent="0.35">
      <c r="A721" s="363"/>
      <c r="B721" s="364"/>
      <c r="E721" s="364"/>
      <c r="H721" s="364"/>
      <c r="K721" s="363"/>
      <c r="L721" s="364"/>
      <c r="M721" s="363"/>
      <c r="N721" s="363"/>
      <c r="O721" s="363"/>
      <c r="P721" s="364"/>
      <c r="Q721" s="363"/>
      <c r="R721" s="363"/>
      <c r="S721" s="363"/>
      <c r="T721" s="363"/>
      <c r="U721" s="363"/>
      <c r="V721" s="363"/>
      <c r="W721" s="363"/>
      <c r="X721" s="363"/>
      <c r="Y721" s="363"/>
      <c r="Z721" s="363"/>
    </row>
    <row r="722" spans="1:26" ht="15.75" customHeight="1" x14ac:dyDescent="0.35">
      <c r="A722" s="363"/>
      <c r="B722" s="364"/>
      <c r="E722" s="364"/>
      <c r="H722" s="364"/>
      <c r="K722" s="363"/>
      <c r="L722" s="364"/>
      <c r="M722" s="363"/>
      <c r="N722" s="363"/>
      <c r="O722" s="363"/>
      <c r="P722" s="364"/>
      <c r="Q722" s="363"/>
      <c r="R722" s="363"/>
      <c r="S722" s="363"/>
      <c r="T722" s="363"/>
      <c r="U722" s="363"/>
      <c r="V722" s="363"/>
      <c r="W722" s="363"/>
      <c r="X722" s="363"/>
      <c r="Y722" s="363"/>
      <c r="Z722" s="363"/>
    </row>
    <row r="723" spans="1:26" ht="15.75" customHeight="1" x14ac:dyDescent="0.35">
      <c r="A723" s="363"/>
      <c r="B723" s="364"/>
      <c r="E723" s="364"/>
      <c r="H723" s="364"/>
      <c r="K723" s="363"/>
      <c r="L723" s="364"/>
      <c r="M723" s="363"/>
      <c r="N723" s="363"/>
      <c r="O723" s="363"/>
      <c r="P723" s="364"/>
      <c r="Q723" s="363"/>
      <c r="R723" s="363"/>
      <c r="S723" s="363"/>
      <c r="T723" s="363"/>
      <c r="U723" s="363"/>
      <c r="V723" s="363"/>
      <c r="W723" s="363"/>
      <c r="X723" s="363"/>
      <c r="Y723" s="363"/>
      <c r="Z723" s="363"/>
    </row>
    <row r="724" spans="1:26" ht="15.75" customHeight="1" x14ac:dyDescent="0.35">
      <c r="A724" s="363"/>
      <c r="B724" s="364"/>
      <c r="E724" s="364"/>
      <c r="H724" s="364"/>
      <c r="K724" s="363"/>
      <c r="L724" s="364"/>
      <c r="M724" s="363"/>
      <c r="N724" s="363"/>
      <c r="O724" s="363"/>
      <c r="P724" s="364"/>
      <c r="Q724" s="363"/>
      <c r="R724" s="363"/>
      <c r="S724" s="363"/>
      <c r="T724" s="363"/>
      <c r="U724" s="363"/>
      <c r="V724" s="363"/>
      <c r="W724" s="363"/>
      <c r="X724" s="363"/>
      <c r="Y724" s="363"/>
      <c r="Z724" s="363"/>
    </row>
    <row r="725" spans="1:26" ht="15.75" customHeight="1" x14ac:dyDescent="0.35">
      <c r="A725" s="363"/>
      <c r="B725" s="364"/>
      <c r="E725" s="364"/>
      <c r="H725" s="364"/>
      <c r="K725" s="363"/>
      <c r="L725" s="364"/>
      <c r="M725" s="363"/>
      <c r="N725" s="363"/>
      <c r="O725" s="363"/>
      <c r="P725" s="364"/>
      <c r="Q725" s="363"/>
      <c r="R725" s="363"/>
      <c r="S725" s="363"/>
      <c r="T725" s="363"/>
      <c r="U725" s="363"/>
      <c r="V725" s="363"/>
      <c r="W725" s="363"/>
      <c r="X725" s="363"/>
      <c r="Y725" s="363"/>
      <c r="Z725" s="363"/>
    </row>
    <row r="726" spans="1:26" ht="15.75" customHeight="1" x14ac:dyDescent="0.35">
      <c r="A726" s="363"/>
      <c r="B726" s="364"/>
      <c r="E726" s="364"/>
      <c r="H726" s="364"/>
      <c r="K726" s="363"/>
      <c r="L726" s="364"/>
      <c r="M726" s="363"/>
      <c r="N726" s="363"/>
      <c r="O726" s="363"/>
      <c r="P726" s="364"/>
      <c r="Q726" s="363"/>
      <c r="R726" s="363"/>
      <c r="S726" s="363"/>
      <c r="T726" s="363"/>
      <c r="U726" s="363"/>
      <c r="V726" s="363"/>
      <c r="W726" s="363"/>
      <c r="X726" s="363"/>
      <c r="Y726" s="363"/>
      <c r="Z726" s="363"/>
    </row>
    <row r="727" spans="1:26" ht="15.75" customHeight="1" x14ac:dyDescent="0.35">
      <c r="A727" s="363"/>
      <c r="B727" s="364"/>
      <c r="E727" s="364"/>
      <c r="H727" s="364"/>
      <c r="K727" s="363"/>
      <c r="L727" s="364"/>
      <c r="M727" s="363"/>
      <c r="N727" s="363"/>
      <c r="O727" s="363"/>
      <c r="P727" s="364"/>
      <c r="Q727" s="363"/>
      <c r="R727" s="363"/>
      <c r="S727" s="363"/>
      <c r="T727" s="363"/>
      <c r="U727" s="363"/>
      <c r="V727" s="363"/>
      <c r="W727" s="363"/>
      <c r="X727" s="363"/>
      <c r="Y727" s="363"/>
      <c r="Z727" s="363"/>
    </row>
    <row r="728" spans="1:26" ht="15.75" customHeight="1" x14ac:dyDescent="0.35">
      <c r="A728" s="363"/>
      <c r="B728" s="364"/>
      <c r="E728" s="364"/>
      <c r="H728" s="364"/>
      <c r="K728" s="363"/>
      <c r="L728" s="364"/>
      <c r="M728" s="363"/>
      <c r="N728" s="363"/>
      <c r="O728" s="363"/>
      <c r="P728" s="364"/>
      <c r="Q728" s="363"/>
      <c r="R728" s="363"/>
      <c r="S728" s="363"/>
      <c r="T728" s="363"/>
      <c r="U728" s="363"/>
      <c r="V728" s="363"/>
      <c r="W728" s="363"/>
      <c r="X728" s="363"/>
      <c r="Y728" s="363"/>
      <c r="Z728" s="363"/>
    </row>
    <row r="729" spans="1:26" ht="15.75" customHeight="1" x14ac:dyDescent="0.35">
      <c r="A729" s="363"/>
      <c r="B729" s="364"/>
      <c r="E729" s="364"/>
      <c r="H729" s="364"/>
      <c r="K729" s="363"/>
      <c r="L729" s="364"/>
      <c r="M729" s="363"/>
      <c r="N729" s="363"/>
      <c r="O729" s="363"/>
      <c r="P729" s="364"/>
      <c r="Q729" s="363"/>
      <c r="R729" s="363"/>
      <c r="S729" s="363"/>
      <c r="T729" s="363"/>
      <c r="U729" s="363"/>
      <c r="V729" s="363"/>
      <c r="W729" s="363"/>
      <c r="X729" s="363"/>
      <c r="Y729" s="363"/>
      <c r="Z729" s="363"/>
    </row>
    <row r="730" spans="1:26" ht="15.75" customHeight="1" x14ac:dyDescent="0.35">
      <c r="A730" s="363"/>
      <c r="B730" s="364"/>
      <c r="E730" s="364"/>
      <c r="H730" s="364"/>
      <c r="K730" s="363"/>
      <c r="L730" s="364"/>
      <c r="M730" s="363"/>
      <c r="N730" s="363"/>
      <c r="O730" s="363"/>
      <c r="P730" s="364"/>
      <c r="Q730" s="363"/>
      <c r="R730" s="363"/>
      <c r="S730" s="363"/>
      <c r="T730" s="363"/>
      <c r="U730" s="363"/>
      <c r="V730" s="363"/>
      <c r="W730" s="363"/>
      <c r="X730" s="363"/>
      <c r="Y730" s="363"/>
      <c r="Z730" s="363"/>
    </row>
    <row r="731" spans="1:26" ht="15.75" customHeight="1" x14ac:dyDescent="0.35">
      <c r="A731" s="363"/>
      <c r="B731" s="364"/>
      <c r="E731" s="364"/>
      <c r="H731" s="364"/>
      <c r="K731" s="363"/>
      <c r="L731" s="364"/>
      <c r="M731" s="363"/>
      <c r="N731" s="363"/>
      <c r="O731" s="363"/>
      <c r="P731" s="364"/>
      <c r="Q731" s="363"/>
      <c r="R731" s="363"/>
      <c r="S731" s="363"/>
      <c r="T731" s="363"/>
      <c r="U731" s="363"/>
      <c r="V731" s="363"/>
      <c r="W731" s="363"/>
      <c r="X731" s="363"/>
      <c r="Y731" s="363"/>
      <c r="Z731" s="363"/>
    </row>
    <row r="732" spans="1:26" ht="15.75" customHeight="1" x14ac:dyDescent="0.35">
      <c r="A732" s="363"/>
      <c r="B732" s="364"/>
      <c r="E732" s="364"/>
      <c r="H732" s="364"/>
      <c r="K732" s="363"/>
      <c r="L732" s="364"/>
      <c r="M732" s="363"/>
      <c r="N732" s="363"/>
      <c r="O732" s="363"/>
      <c r="P732" s="364"/>
      <c r="Q732" s="363"/>
      <c r="R732" s="363"/>
      <c r="S732" s="363"/>
      <c r="T732" s="363"/>
      <c r="U732" s="363"/>
      <c r="V732" s="363"/>
      <c r="W732" s="363"/>
      <c r="X732" s="363"/>
      <c r="Y732" s="363"/>
      <c r="Z732" s="363"/>
    </row>
    <row r="733" spans="1:26" ht="15.75" customHeight="1" x14ac:dyDescent="0.35">
      <c r="A733" s="363"/>
      <c r="B733" s="364"/>
      <c r="E733" s="364"/>
      <c r="H733" s="364"/>
      <c r="K733" s="363"/>
      <c r="L733" s="364"/>
      <c r="M733" s="363"/>
      <c r="N733" s="363"/>
      <c r="O733" s="363"/>
      <c r="P733" s="364"/>
      <c r="Q733" s="363"/>
      <c r="R733" s="363"/>
      <c r="S733" s="363"/>
      <c r="T733" s="363"/>
      <c r="U733" s="363"/>
      <c r="V733" s="363"/>
      <c r="W733" s="363"/>
      <c r="X733" s="363"/>
      <c r="Y733" s="363"/>
      <c r="Z733" s="363"/>
    </row>
    <row r="734" spans="1:26" ht="15.75" customHeight="1" x14ac:dyDescent="0.35">
      <c r="A734" s="363"/>
      <c r="B734" s="364"/>
      <c r="E734" s="364"/>
      <c r="H734" s="364"/>
      <c r="K734" s="363"/>
      <c r="L734" s="364"/>
      <c r="M734" s="363"/>
      <c r="N734" s="363"/>
      <c r="O734" s="363"/>
      <c r="P734" s="364"/>
      <c r="Q734" s="363"/>
      <c r="R734" s="363"/>
      <c r="S734" s="363"/>
      <c r="T734" s="363"/>
      <c r="U734" s="363"/>
      <c r="V734" s="363"/>
      <c r="W734" s="363"/>
      <c r="X734" s="363"/>
      <c r="Y734" s="363"/>
      <c r="Z734" s="363"/>
    </row>
    <row r="735" spans="1:26" ht="15.75" customHeight="1" x14ac:dyDescent="0.35">
      <c r="A735" s="363"/>
      <c r="B735" s="364"/>
      <c r="E735" s="364"/>
      <c r="H735" s="364"/>
      <c r="K735" s="363"/>
      <c r="L735" s="364"/>
      <c r="M735" s="363"/>
      <c r="N735" s="363"/>
      <c r="O735" s="363"/>
      <c r="P735" s="364"/>
      <c r="Q735" s="363"/>
      <c r="R735" s="363"/>
      <c r="S735" s="363"/>
      <c r="T735" s="363"/>
      <c r="U735" s="363"/>
      <c r="V735" s="363"/>
      <c r="W735" s="363"/>
      <c r="X735" s="363"/>
      <c r="Y735" s="363"/>
      <c r="Z735" s="363"/>
    </row>
    <row r="736" spans="1:26" ht="15.75" customHeight="1" x14ac:dyDescent="0.35">
      <c r="A736" s="363"/>
      <c r="B736" s="364"/>
      <c r="E736" s="364"/>
      <c r="H736" s="364"/>
      <c r="K736" s="363"/>
      <c r="L736" s="364"/>
      <c r="M736" s="363"/>
      <c r="N736" s="363"/>
      <c r="O736" s="363"/>
      <c r="P736" s="364"/>
      <c r="Q736" s="363"/>
      <c r="R736" s="363"/>
      <c r="S736" s="363"/>
      <c r="T736" s="363"/>
      <c r="U736" s="363"/>
      <c r="V736" s="363"/>
      <c r="W736" s="363"/>
      <c r="X736" s="363"/>
      <c r="Y736" s="363"/>
      <c r="Z736" s="363"/>
    </row>
    <row r="737" spans="1:26" ht="15.75" customHeight="1" x14ac:dyDescent="0.35">
      <c r="A737" s="363"/>
      <c r="B737" s="364"/>
      <c r="E737" s="364"/>
      <c r="H737" s="364"/>
      <c r="K737" s="363"/>
      <c r="L737" s="364"/>
      <c r="M737" s="363"/>
      <c r="N737" s="363"/>
      <c r="O737" s="363"/>
      <c r="P737" s="364"/>
      <c r="Q737" s="363"/>
      <c r="R737" s="363"/>
      <c r="S737" s="363"/>
      <c r="T737" s="363"/>
      <c r="U737" s="363"/>
      <c r="V737" s="363"/>
      <c r="W737" s="363"/>
      <c r="X737" s="363"/>
      <c r="Y737" s="363"/>
      <c r="Z737" s="363"/>
    </row>
    <row r="738" spans="1:26" ht="15.75" customHeight="1" x14ac:dyDescent="0.35">
      <c r="A738" s="363"/>
      <c r="B738" s="364"/>
      <c r="E738" s="364"/>
      <c r="H738" s="364"/>
      <c r="K738" s="363"/>
      <c r="L738" s="364"/>
      <c r="M738" s="363"/>
      <c r="N738" s="363"/>
      <c r="O738" s="363"/>
      <c r="P738" s="364"/>
      <c r="Q738" s="363"/>
      <c r="R738" s="363"/>
      <c r="S738" s="363"/>
      <c r="T738" s="363"/>
      <c r="U738" s="363"/>
      <c r="V738" s="363"/>
      <c r="W738" s="363"/>
      <c r="X738" s="363"/>
      <c r="Y738" s="363"/>
      <c r="Z738" s="363"/>
    </row>
    <row r="739" spans="1:26" ht="15.75" customHeight="1" x14ac:dyDescent="0.35">
      <c r="A739" s="363"/>
      <c r="B739" s="364"/>
      <c r="E739" s="364"/>
      <c r="H739" s="364"/>
      <c r="K739" s="363"/>
      <c r="L739" s="364"/>
      <c r="M739" s="363"/>
      <c r="N739" s="363"/>
      <c r="O739" s="363"/>
      <c r="P739" s="364"/>
      <c r="Q739" s="363"/>
      <c r="R739" s="363"/>
      <c r="S739" s="363"/>
      <c r="T739" s="363"/>
      <c r="U739" s="363"/>
      <c r="V739" s="363"/>
      <c r="W739" s="363"/>
      <c r="X739" s="363"/>
      <c r="Y739" s="363"/>
      <c r="Z739" s="363"/>
    </row>
    <row r="740" spans="1:26" ht="15.75" customHeight="1" x14ac:dyDescent="0.35">
      <c r="A740" s="363"/>
      <c r="B740" s="364"/>
      <c r="E740" s="364"/>
      <c r="H740" s="364"/>
      <c r="K740" s="363"/>
      <c r="L740" s="364"/>
      <c r="M740" s="363"/>
      <c r="N740" s="363"/>
      <c r="O740" s="363"/>
      <c r="P740" s="364"/>
      <c r="Q740" s="363"/>
      <c r="R740" s="363"/>
      <c r="S740" s="363"/>
      <c r="T740" s="363"/>
      <c r="U740" s="363"/>
      <c r="V740" s="363"/>
      <c r="W740" s="363"/>
      <c r="X740" s="363"/>
      <c r="Y740" s="363"/>
      <c r="Z740" s="363"/>
    </row>
    <row r="741" spans="1:26" ht="15.75" customHeight="1" x14ac:dyDescent="0.35">
      <c r="A741" s="363"/>
      <c r="B741" s="364"/>
      <c r="E741" s="364"/>
      <c r="H741" s="364"/>
      <c r="K741" s="363"/>
      <c r="L741" s="364"/>
      <c r="M741" s="363"/>
      <c r="N741" s="363"/>
      <c r="O741" s="363"/>
      <c r="P741" s="364"/>
      <c r="Q741" s="363"/>
      <c r="R741" s="363"/>
      <c r="S741" s="363"/>
      <c r="T741" s="363"/>
      <c r="U741" s="363"/>
      <c r="V741" s="363"/>
      <c r="W741" s="363"/>
      <c r="X741" s="363"/>
      <c r="Y741" s="363"/>
      <c r="Z741" s="363"/>
    </row>
    <row r="742" spans="1:26" ht="15.75" customHeight="1" x14ac:dyDescent="0.35">
      <c r="A742" s="363"/>
      <c r="B742" s="364"/>
      <c r="E742" s="364"/>
      <c r="H742" s="364"/>
      <c r="K742" s="363"/>
      <c r="L742" s="364"/>
      <c r="M742" s="363"/>
      <c r="N742" s="363"/>
      <c r="O742" s="363"/>
      <c r="P742" s="364"/>
      <c r="Q742" s="363"/>
      <c r="R742" s="363"/>
      <c r="S742" s="363"/>
      <c r="T742" s="363"/>
      <c r="U742" s="363"/>
      <c r="V742" s="363"/>
      <c r="W742" s="363"/>
      <c r="X742" s="363"/>
      <c r="Y742" s="363"/>
      <c r="Z742" s="363"/>
    </row>
    <row r="743" spans="1:26" ht="15.75" customHeight="1" x14ac:dyDescent="0.35">
      <c r="A743" s="363"/>
      <c r="B743" s="364"/>
      <c r="E743" s="364"/>
      <c r="H743" s="364"/>
      <c r="K743" s="363"/>
      <c r="L743" s="364"/>
      <c r="M743" s="363"/>
      <c r="N743" s="363"/>
      <c r="O743" s="363"/>
      <c r="P743" s="364"/>
      <c r="Q743" s="363"/>
      <c r="R743" s="363"/>
      <c r="S743" s="363"/>
      <c r="T743" s="363"/>
      <c r="U743" s="363"/>
      <c r="V743" s="363"/>
      <c r="W743" s="363"/>
      <c r="X743" s="363"/>
      <c r="Y743" s="363"/>
      <c r="Z743" s="363"/>
    </row>
    <row r="744" spans="1:26" ht="15.75" customHeight="1" x14ac:dyDescent="0.35">
      <c r="A744" s="363"/>
      <c r="B744" s="364"/>
      <c r="E744" s="364"/>
      <c r="H744" s="364"/>
      <c r="K744" s="363"/>
      <c r="L744" s="364"/>
      <c r="M744" s="363"/>
      <c r="N744" s="363"/>
      <c r="O744" s="363"/>
      <c r="P744" s="364"/>
      <c r="Q744" s="363"/>
      <c r="R744" s="363"/>
      <c r="S744" s="363"/>
      <c r="T744" s="363"/>
      <c r="U744" s="363"/>
      <c r="V744" s="363"/>
      <c r="W744" s="363"/>
      <c r="X744" s="363"/>
      <c r="Y744" s="363"/>
      <c r="Z744" s="363"/>
    </row>
    <row r="745" spans="1:26" ht="15.75" customHeight="1" x14ac:dyDescent="0.35">
      <c r="A745" s="363"/>
      <c r="B745" s="364"/>
      <c r="E745" s="364"/>
      <c r="H745" s="364"/>
      <c r="K745" s="363"/>
      <c r="L745" s="364"/>
      <c r="M745" s="363"/>
      <c r="N745" s="363"/>
      <c r="O745" s="363"/>
      <c r="P745" s="364"/>
      <c r="Q745" s="363"/>
      <c r="R745" s="363"/>
      <c r="S745" s="363"/>
      <c r="T745" s="363"/>
      <c r="U745" s="363"/>
      <c r="V745" s="363"/>
      <c r="W745" s="363"/>
      <c r="X745" s="363"/>
      <c r="Y745" s="363"/>
      <c r="Z745" s="363"/>
    </row>
    <row r="746" spans="1:26" ht="15.75" customHeight="1" x14ac:dyDescent="0.35">
      <c r="A746" s="363"/>
      <c r="B746" s="364"/>
      <c r="E746" s="364"/>
      <c r="H746" s="364"/>
      <c r="K746" s="363"/>
      <c r="L746" s="364"/>
      <c r="M746" s="363"/>
      <c r="N746" s="363"/>
      <c r="O746" s="363"/>
      <c r="P746" s="364"/>
      <c r="Q746" s="363"/>
      <c r="R746" s="363"/>
      <c r="S746" s="363"/>
      <c r="T746" s="363"/>
      <c r="U746" s="363"/>
      <c r="V746" s="363"/>
      <c r="W746" s="363"/>
      <c r="X746" s="363"/>
      <c r="Y746" s="363"/>
      <c r="Z746" s="363"/>
    </row>
    <row r="747" spans="1:26" ht="15.75" customHeight="1" x14ac:dyDescent="0.35">
      <c r="A747" s="363"/>
      <c r="B747" s="364"/>
      <c r="E747" s="364"/>
      <c r="H747" s="364"/>
      <c r="K747" s="363"/>
      <c r="L747" s="364"/>
      <c r="M747" s="363"/>
      <c r="N747" s="363"/>
      <c r="O747" s="363"/>
      <c r="P747" s="364"/>
      <c r="Q747" s="363"/>
      <c r="R747" s="363"/>
      <c r="S747" s="363"/>
      <c r="T747" s="363"/>
      <c r="U747" s="363"/>
      <c r="V747" s="363"/>
      <c r="W747" s="363"/>
      <c r="X747" s="363"/>
      <c r="Y747" s="363"/>
      <c r="Z747" s="363"/>
    </row>
    <row r="748" spans="1:26" ht="15.75" customHeight="1" x14ac:dyDescent="0.35">
      <c r="A748" s="363"/>
      <c r="B748" s="364"/>
      <c r="E748" s="364"/>
      <c r="H748" s="364"/>
      <c r="K748" s="363"/>
      <c r="L748" s="364"/>
      <c r="M748" s="363"/>
      <c r="N748" s="363"/>
      <c r="O748" s="363"/>
      <c r="P748" s="364"/>
      <c r="Q748" s="363"/>
      <c r="R748" s="363"/>
      <c r="S748" s="363"/>
      <c r="T748" s="363"/>
      <c r="U748" s="363"/>
      <c r="V748" s="363"/>
      <c r="W748" s="363"/>
      <c r="X748" s="363"/>
      <c r="Y748" s="363"/>
      <c r="Z748" s="363"/>
    </row>
    <row r="749" spans="1:26" ht="15.75" customHeight="1" x14ac:dyDescent="0.35">
      <c r="A749" s="363"/>
      <c r="B749" s="364"/>
      <c r="E749" s="364"/>
      <c r="H749" s="364"/>
      <c r="K749" s="363"/>
      <c r="L749" s="364"/>
      <c r="M749" s="363"/>
      <c r="N749" s="363"/>
      <c r="O749" s="363"/>
      <c r="P749" s="364"/>
      <c r="Q749" s="363"/>
      <c r="R749" s="363"/>
      <c r="S749" s="363"/>
      <c r="T749" s="363"/>
      <c r="U749" s="363"/>
      <c r="V749" s="363"/>
      <c r="W749" s="363"/>
      <c r="X749" s="363"/>
      <c r="Y749" s="363"/>
      <c r="Z749" s="363"/>
    </row>
    <row r="750" spans="1:26" ht="15.75" customHeight="1" x14ac:dyDescent="0.35">
      <c r="A750" s="363"/>
      <c r="B750" s="364"/>
      <c r="E750" s="364"/>
      <c r="H750" s="364"/>
      <c r="K750" s="363"/>
      <c r="L750" s="364"/>
      <c r="M750" s="363"/>
      <c r="N750" s="363"/>
      <c r="O750" s="363"/>
      <c r="P750" s="364"/>
      <c r="Q750" s="363"/>
      <c r="R750" s="363"/>
      <c r="S750" s="363"/>
      <c r="T750" s="363"/>
      <c r="U750" s="363"/>
      <c r="V750" s="363"/>
      <c r="W750" s="363"/>
      <c r="X750" s="363"/>
      <c r="Y750" s="363"/>
      <c r="Z750" s="363"/>
    </row>
    <row r="751" spans="1:26" ht="15.75" customHeight="1" x14ac:dyDescent="0.35">
      <c r="A751" s="363"/>
      <c r="B751" s="364"/>
      <c r="E751" s="364"/>
      <c r="H751" s="364"/>
      <c r="K751" s="363"/>
      <c r="L751" s="364"/>
      <c r="M751" s="363"/>
      <c r="N751" s="363"/>
      <c r="O751" s="363"/>
      <c r="P751" s="364"/>
      <c r="Q751" s="363"/>
      <c r="R751" s="363"/>
      <c r="S751" s="363"/>
      <c r="T751" s="363"/>
      <c r="U751" s="363"/>
      <c r="V751" s="363"/>
      <c r="W751" s="363"/>
      <c r="X751" s="363"/>
      <c r="Y751" s="363"/>
      <c r="Z751" s="363"/>
    </row>
    <row r="752" spans="1:26" ht="15.75" customHeight="1" x14ac:dyDescent="0.35">
      <c r="A752" s="363"/>
      <c r="B752" s="364"/>
      <c r="E752" s="364"/>
      <c r="H752" s="364"/>
      <c r="K752" s="363"/>
      <c r="L752" s="364"/>
      <c r="M752" s="363"/>
      <c r="N752" s="363"/>
      <c r="O752" s="363"/>
      <c r="P752" s="364"/>
      <c r="Q752" s="363"/>
      <c r="R752" s="363"/>
      <c r="S752" s="363"/>
      <c r="T752" s="363"/>
      <c r="U752" s="363"/>
      <c r="V752" s="363"/>
      <c r="W752" s="363"/>
      <c r="X752" s="363"/>
      <c r="Y752" s="363"/>
      <c r="Z752" s="363"/>
    </row>
    <row r="753" spans="1:26" ht="15.75" customHeight="1" x14ac:dyDescent="0.35">
      <c r="A753" s="363"/>
      <c r="B753" s="364"/>
      <c r="E753" s="364"/>
      <c r="H753" s="364"/>
      <c r="K753" s="363"/>
      <c r="L753" s="364"/>
      <c r="M753" s="363"/>
      <c r="N753" s="363"/>
      <c r="O753" s="363"/>
      <c r="P753" s="364"/>
      <c r="Q753" s="363"/>
      <c r="R753" s="363"/>
      <c r="S753" s="363"/>
      <c r="T753" s="363"/>
      <c r="U753" s="363"/>
      <c r="V753" s="363"/>
      <c r="W753" s="363"/>
      <c r="X753" s="363"/>
      <c r="Y753" s="363"/>
      <c r="Z753" s="363"/>
    </row>
    <row r="754" spans="1:26" ht="15.75" customHeight="1" x14ac:dyDescent="0.35">
      <c r="A754" s="363"/>
      <c r="B754" s="364"/>
      <c r="E754" s="364"/>
      <c r="H754" s="364"/>
      <c r="K754" s="363"/>
      <c r="L754" s="364"/>
      <c r="M754" s="363"/>
      <c r="N754" s="363"/>
      <c r="O754" s="363"/>
      <c r="P754" s="364"/>
      <c r="Q754" s="363"/>
      <c r="R754" s="363"/>
      <c r="S754" s="363"/>
      <c r="T754" s="363"/>
      <c r="U754" s="363"/>
      <c r="V754" s="363"/>
      <c r="W754" s="363"/>
      <c r="X754" s="363"/>
      <c r="Y754" s="363"/>
      <c r="Z754" s="363"/>
    </row>
    <row r="755" spans="1:26" ht="15.75" customHeight="1" x14ac:dyDescent="0.35">
      <c r="A755" s="363"/>
      <c r="B755" s="364"/>
      <c r="E755" s="364"/>
      <c r="H755" s="364"/>
      <c r="K755" s="363"/>
      <c r="L755" s="364"/>
      <c r="M755" s="363"/>
      <c r="N755" s="363"/>
      <c r="O755" s="363"/>
      <c r="P755" s="364"/>
      <c r="Q755" s="363"/>
      <c r="R755" s="363"/>
      <c r="S755" s="363"/>
      <c r="T755" s="363"/>
      <c r="U755" s="363"/>
      <c r="V755" s="363"/>
      <c r="W755" s="363"/>
      <c r="X755" s="363"/>
      <c r="Y755" s="363"/>
      <c r="Z755" s="363"/>
    </row>
    <row r="756" spans="1:26" ht="15.75" customHeight="1" x14ac:dyDescent="0.35">
      <c r="A756" s="363"/>
      <c r="B756" s="364"/>
      <c r="E756" s="364"/>
      <c r="H756" s="364"/>
      <c r="K756" s="363"/>
      <c r="L756" s="364"/>
      <c r="M756" s="363"/>
      <c r="N756" s="363"/>
      <c r="O756" s="363"/>
      <c r="P756" s="364"/>
      <c r="Q756" s="363"/>
      <c r="R756" s="363"/>
      <c r="S756" s="363"/>
      <c r="T756" s="363"/>
      <c r="U756" s="363"/>
      <c r="V756" s="363"/>
      <c r="W756" s="363"/>
      <c r="X756" s="363"/>
      <c r="Y756" s="363"/>
      <c r="Z756" s="363"/>
    </row>
    <row r="757" spans="1:26" ht="15.75" customHeight="1" x14ac:dyDescent="0.35">
      <c r="A757" s="363"/>
      <c r="B757" s="364"/>
      <c r="E757" s="364"/>
      <c r="H757" s="364"/>
      <c r="K757" s="363"/>
      <c r="L757" s="364"/>
      <c r="M757" s="363"/>
      <c r="N757" s="363"/>
      <c r="O757" s="363"/>
      <c r="P757" s="364"/>
      <c r="Q757" s="363"/>
      <c r="R757" s="363"/>
      <c r="S757" s="363"/>
      <c r="T757" s="363"/>
      <c r="U757" s="363"/>
      <c r="V757" s="363"/>
      <c r="W757" s="363"/>
      <c r="X757" s="363"/>
      <c r="Y757" s="363"/>
      <c r="Z757" s="363"/>
    </row>
    <row r="758" spans="1:26" ht="15.75" customHeight="1" x14ac:dyDescent="0.35">
      <c r="A758" s="363"/>
      <c r="B758" s="364"/>
      <c r="E758" s="364"/>
      <c r="H758" s="364"/>
      <c r="K758" s="363"/>
      <c r="L758" s="364"/>
      <c r="M758" s="363"/>
      <c r="N758" s="363"/>
      <c r="O758" s="363"/>
      <c r="P758" s="364"/>
      <c r="Q758" s="363"/>
      <c r="R758" s="363"/>
      <c r="S758" s="363"/>
      <c r="T758" s="363"/>
      <c r="U758" s="363"/>
      <c r="V758" s="363"/>
      <c r="W758" s="363"/>
      <c r="X758" s="363"/>
      <c r="Y758" s="363"/>
      <c r="Z758" s="363"/>
    </row>
    <row r="759" spans="1:26" ht="15.75" customHeight="1" x14ac:dyDescent="0.35">
      <c r="A759" s="363"/>
      <c r="B759" s="364"/>
      <c r="E759" s="364"/>
      <c r="H759" s="364"/>
      <c r="K759" s="363"/>
      <c r="L759" s="364"/>
      <c r="M759" s="363"/>
      <c r="N759" s="363"/>
      <c r="O759" s="363"/>
      <c r="P759" s="364"/>
      <c r="Q759" s="363"/>
      <c r="R759" s="363"/>
      <c r="S759" s="363"/>
      <c r="T759" s="363"/>
      <c r="U759" s="363"/>
      <c r="V759" s="363"/>
      <c r="W759" s="363"/>
      <c r="X759" s="363"/>
      <c r="Y759" s="363"/>
      <c r="Z759" s="363"/>
    </row>
    <row r="760" spans="1:26" ht="15.75" customHeight="1" x14ac:dyDescent="0.35">
      <c r="A760" s="363"/>
      <c r="B760" s="364"/>
      <c r="E760" s="364"/>
      <c r="H760" s="364"/>
      <c r="K760" s="363"/>
      <c r="L760" s="364"/>
      <c r="M760" s="363"/>
      <c r="N760" s="363"/>
      <c r="O760" s="363"/>
      <c r="P760" s="364"/>
      <c r="Q760" s="363"/>
      <c r="R760" s="363"/>
      <c r="S760" s="363"/>
      <c r="T760" s="363"/>
      <c r="U760" s="363"/>
      <c r="V760" s="363"/>
      <c r="W760" s="363"/>
      <c r="X760" s="363"/>
      <c r="Y760" s="363"/>
      <c r="Z760" s="363"/>
    </row>
    <row r="761" spans="1:26" ht="15.75" customHeight="1" x14ac:dyDescent="0.35">
      <c r="A761" s="363"/>
      <c r="B761" s="364"/>
      <c r="E761" s="364"/>
      <c r="H761" s="364"/>
      <c r="K761" s="363"/>
      <c r="L761" s="364"/>
      <c r="M761" s="363"/>
      <c r="N761" s="363"/>
      <c r="O761" s="363"/>
      <c r="P761" s="364"/>
      <c r="Q761" s="363"/>
      <c r="R761" s="363"/>
      <c r="S761" s="363"/>
      <c r="T761" s="363"/>
      <c r="U761" s="363"/>
      <c r="V761" s="363"/>
      <c r="W761" s="363"/>
      <c r="X761" s="363"/>
      <c r="Y761" s="363"/>
      <c r="Z761" s="363"/>
    </row>
    <row r="762" spans="1:26" ht="15.75" customHeight="1" x14ac:dyDescent="0.35">
      <c r="A762" s="363"/>
      <c r="B762" s="364"/>
      <c r="E762" s="364"/>
      <c r="H762" s="364"/>
      <c r="K762" s="363"/>
      <c r="L762" s="364"/>
      <c r="M762" s="363"/>
      <c r="N762" s="363"/>
      <c r="O762" s="363"/>
      <c r="P762" s="364"/>
      <c r="Q762" s="363"/>
      <c r="R762" s="363"/>
      <c r="S762" s="363"/>
      <c r="T762" s="363"/>
      <c r="U762" s="363"/>
      <c r="V762" s="363"/>
      <c r="W762" s="363"/>
      <c r="X762" s="363"/>
      <c r="Y762" s="363"/>
      <c r="Z762" s="363"/>
    </row>
    <row r="763" spans="1:26" ht="15.75" customHeight="1" x14ac:dyDescent="0.35">
      <c r="A763" s="363"/>
      <c r="B763" s="364"/>
      <c r="E763" s="364"/>
      <c r="H763" s="364"/>
      <c r="K763" s="363"/>
      <c r="L763" s="364"/>
      <c r="M763" s="363"/>
      <c r="N763" s="363"/>
      <c r="O763" s="363"/>
      <c r="P763" s="364"/>
      <c r="Q763" s="363"/>
      <c r="R763" s="363"/>
      <c r="S763" s="363"/>
      <c r="T763" s="363"/>
      <c r="U763" s="363"/>
      <c r="V763" s="363"/>
      <c r="W763" s="363"/>
      <c r="X763" s="363"/>
      <c r="Y763" s="363"/>
      <c r="Z763" s="363"/>
    </row>
    <row r="764" spans="1:26" ht="15.75" customHeight="1" x14ac:dyDescent="0.35">
      <c r="A764" s="363"/>
      <c r="B764" s="364"/>
      <c r="E764" s="364"/>
      <c r="H764" s="364"/>
      <c r="K764" s="363"/>
      <c r="L764" s="364"/>
      <c r="M764" s="363"/>
      <c r="N764" s="363"/>
      <c r="O764" s="363"/>
      <c r="P764" s="364"/>
      <c r="Q764" s="363"/>
      <c r="R764" s="363"/>
      <c r="S764" s="363"/>
      <c r="T764" s="363"/>
      <c r="U764" s="363"/>
      <c r="V764" s="363"/>
      <c r="W764" s="363"/>
      <c r="X764" s="363"/>
      <c r="Y764" s="363"/>
      <c r="Z764" s="363"/>
    </row>
    <row r="765" spans="1:26" ht="15.75" customHeight="1" x14ac:dyDescent="0.35">
      <c r="A765" s="363"/>
      <c r="B765" s="364"/>
      <c r="E765" s="364"/>
      <c r="H765" s="364"/>
      <c r="K765" s="363"/>
      <c r="L765" s="364"/>
      <c r="M765" s="363"/>
      <c r="N765" s="363"/>
      <c r="O765" s="363"/>
      <c r="P765" s="364"/>
      <c r="Q765" s="363"/>
      <c r="R765" s="363"/>
      <c r="S765" s="363"/>
      <c r="T765" s="363"/>
      <c r="U765" s="363"/>
      <c r="V765" s="363"/>
      <c r="W765" s="363"/>
      <c r="X765" s="363"/>
      <c r="Y765" s="363"/>
      <c r="Z765" s="363"/>
    </row>
    <row r="766" spans="1:26" ht="15.75" customHeight="1" x14ac:dyDescent="0.35">
      <c r="A766" s="363"/>
      <c r="B766" s="364"/>
      <c r="E766" s="364"/>
      <c r="H766" s="364"/>
      <c r="K766" s="363"/>
      <c r="L766" s="364"/>
      <c r="M766" s="363"/>
      <c r="N766" s="363"/>
      <c r="O766" s="363"/>
      <c r="P766" s="364"/>
      <c r="Q766" s="363"/>
      <c r="R766" s="363"/>
      <c r="S766" s="363"/>
      <c r="T766" s="363"/>
      <c r="U766" s="363"/>
      <c r="V766" s="363"/>
      <c r="W766" s="363"/>
      <c r="X766" s="363"/>
      <c r="Y766" s="363"/>
      <c r="Z766" s="363"/>
    </row>
    <row r="767" spans="1:26" ht="15.75" customHeight="1" x14ac:dyDescent="0.35">
      <c r="A767" s="363"/>
      <c r="B767" s="364"/>
      <c r="E767" s="364"/>
      <c r="H767" s="364"/>
      <c r="K767" s="363"/>
      <c r="L767" s="364"/>
      <c r="M767" s="363"/>
      <c r="N767" s="363"/>
      <c r="O767" s="363"/>
      <c r="P767" s="364"/>
      <c r="Q767" s="363"/>
      <c r="R767" s="363"/>
      <c r="S767" s="363"/>
      <c r="T767" s="363"/>
      <c r="U767" s="363"/>
      <c r="V767" s="363"/>
      <c r="W767" s="363"/>
      <c r="X767" s="363"/>
      <c r="Y767" s="363"/>
      <c r="Z767" s="363"/>
    </row>
    <row r="768" spans="1:26" ht="15.75" customHeight="1" x14ac:dyDescent="0.35">
      <c r="A768" s="363"/>
      <c r="B768" s="364"/>
      <c r="E768" s="364"/>
      <c r="H768" s="364"/>
      <c r="K768" s="363"/>
      <c r="L768" s="364"/>
      <c r="M768" s="363"/>
      <c r="N768" s="363"/>
      <c r="O768" s="363"/>
      <c r="P768" s="364"/>
      <c r="Q768" s="363"/>
      <c r="R768" s="363"/>
      <c r="S768" s="363"/>
      <c r="T768" s="363"/>
      <c r="U768" s="363"/>
      <c r="V768" s="363"/>
      <c r="W768" s="363"/>
      <c r="X768" s="363"/>
      <c r="Y768" s="363"/>
      <c r="Z768" s="363"/>
    </row>
    <row r="769" spans="1:26" ht="15.75" customHeight="1" x14ac:dyDescent="0.35">
      <c r="A769" s="363"/>
      <c r="B769" s="364"/>
      <c r="E769" s="364"/>
      <c r="H769" s="364"/>
      <c r="K769" s="363"/>
      <c r="L769" s="364"/>
      <c r="M769" s="363"/>
      <c r="N769" s="363"/>
      <c r="O769" s="363"/>
      <c r="P769" s="364"/>
      <c r="Q769" s="363"/>
      <c r="R769" s="363"/>
      <c r="S769" s="363"/>
      <c r="T769" s="363"/>
      <c r="U769" s="363"/>
      <c r="V769" s="363"/>
      <c r="W769" s="363"/>
      <c r="X769" s="363"/>
      <c r="Y769" s="363"/>
      <c r="Z769" s="363"/>
    </row>
    <row r="770" spans="1:26" ht="15.75" customHeight="1" x14ac:dyDescent="0.35">
      <c r="A770" s="363"/>
      <c r="B770" s="364"/>
      <c r="E770" s="364"/>
      <c r="H770" s="364"/>
      <c r="K770" s="363"/>
      <c r="L770" s="364"/>
      <c r="M770" s="363"/>
      <c r="N770" s="363"/>
      <c r="O770" s="363"/>
      <c r="P770" s="364"/>
      <c r="Q770" s="363"/>
      <c r="R770" s="363"/>
      <c r="S770" s="363"/>
      <c r="T770" s="363"/>
      <c r="U770" s="363"/>
      <c r="V770" s="363"/>
      <c r="W770" s="363"/>
      <c r="X770" s="363"/>
      <c r="Y770" s="363"/>
      <c r="Z770" s="363"/>
    </row>
    <row r="771" spans="1:26" ht="15.75" customHeight="1" x14ac:dyDescent="0.35">
      <c r="A771" s="363"/>
      <c r="B771" s="364"/>
      <c r="E771" s="364"/>
      <c r="H771" s="364"/>
      <c r="K771" s="363"/>
      <c r="L771" s="364"/>
      <c r="M771" s="363"/>
      <c r="N771" s="363"/>
      <c r="O771" s="363"/>
      <c r="P771" s="364"/>
      <c r="Q771" s="363"/>
      <c r="R771" s="363"/>
      <c r="S771" s="363"/>
      <c r="T771" s="363"/>
      <c r="U771" s="363"/>
      <c r="V771" s="363"/>
      <c r="W771" s="363"/>
      <c r="X771" s="363"/>
      <c r="Y771" s="363"/>
      <c r="Z771" s="363"/>
    </row>
    <row r="772" spans="1:26" ht="15.75" customHeight="1" x14ac:dyDescent="0.35">
      <c r="A772" s="363"/>
      <c r="B772" s="364"/>
      <c r="E772" s="364"/>
      <c r="H772" s="364"/>
      <c r="K772" s="363"/>
      <c r="L772" s="364"/>
      <c r="M772" s="363"/>
      <c r="N772" s="363"/>
      <c r="O772" s="363"/>
      <c r="P772" s="364"/>
      <c r="Q772" s="363"/>
      <c r="R772" s="363"/>
      <c r="S772" s="363"/>
      <c r="T772" s="363"/>
      <c r="U772" s="363"/>
      <c r="V772" s="363"/>
      <c r="W772" s="363"/>
      <c r="X772" s="363"/>
      <c r="Y772" s="363"/>
      <c r="Z772" s="363"/>
    </row>
    <row r="773" spans="1:26" ht="15.75" customHeight="1" x14ac:dyDescent="0.35">
      <c r="A773" s="363"/>
      <c r="B773" s="364"/>
      <c r="E773" s="364"/>
      <c r="H773" s="364"/>
      <c r="K773" s="363"/>
      <c r="L773" s="364"/>
      <c r="M773" s="363"/>
      <c r="N773" s="363"/>
      <c r="O773" s="363"/>
      <c r="P773" s="364"/>
      <c r="Q773" s="363"/>
      <c r="R773" s="363"/>
      <c r="S773" s="363"/>
      <c r="T773" s="363"/>
      <c r="U773" s="363"/>
      <c r="V773" s="363"/>
      <c r="W773" s="363"/>
      <c r="X773" s="363"/>
      <c r="Y773" s="363"/>
      <c r="Z773" s="363"/>
    </row>
    <row r="774" spans="1:26" ht="15.75" customHeight="1" x14ac:dyDescent="0.35">
      <c r="A774" s="363"/>
      <c r="B774" s="364"/>
      <c r="E774" s="364"/>
      <c r="H774" s="364"/>
      <c r="K774" s="363"/>
      <c r="L774" s="364"/>
      <c r="M774" s="363"/>
      <c r="N774" s="363"/>
      <c r="O774" s="363"/>
      <c r="P774" s="364"/>
      <c r="Q774" s="363"/>
      <c r="R774" s="363"/>
      <c r="S774" s="363"/>
      <c r="T774" s="363"/>
      <c r="U774" s="363"/>
      <c r="V774" s="363"/>
      <c r="W774" s="363"/>
      <c r="X774" s="363"/>
      <c r="Y774" s="363"/>
      <c r="Z774" s="363"/>
    </row>
    <row r="775" spans="1:26" ht="15.75" customHeight="1" x14ac:dyDescent="0.35">
      <c r="A775" s="363"/>
      <c r="B775" s="364"/>
      <c r="E775" s="364"/>
      <c r="H775" s="364"/>
      <c r="K775" s="363"/>
      <c r="L775" s="364"/>
      <c r="M775" s="363"/>
      <c r="N775" s="363"/>
      <c r="O775" s="363"/>
      <c r="P775" s="364"/>
      <c r="Q775" s="363"/>
      <c r="R775" s="363"/>
      <c r="S775" s="363"/>
      <c r="T775" s="363"/>
      <c r="U775" s="363"/>
      <c r="V775" s="363"/>
      <c r="W775" s="363"/>
      <c r="X775" s="363"/>
      <c r="Y775" s="363"/>
      <c r="Z775" s="363"/>
    </row>
    <row r="776" spans="1:26" ht="15.75" customHeight="1" x14ac:dyDescent="0.35">
      <c r="A776" s="363"/>
      <c r="B776" s="364"/>
      <c r="E776" s="364"/>
      <c r="H776" s="364"/>
      <c r="K776" s="363"/>
      <c r="L776" s="364"/>
      <c r="M776" s="363"/>
      <c r="N776" s="363"/>
      <c r="O776" s="363"/>
      <c r="P776" s="364"/>
      <c r="Q776" s="363"/>
      <c r="R776" s="363"/>
      <c r="S776" s="363"/>
      <c r="T776" s="363"/>
      <c r="U776" s="363"/>
      <c r="V776" s="363"/>
      <c r="W776" s="363"/>
      <c r="X776" s="363"/>
      <c r="Y776" s="363"/>
      <c r="Z776" s="363"/>
    </row>
    <row r="777" spans="1:26" ht="15.75" customHeight="1" x14ac:dyDescent="0.35">
      <c r="A777" s="363"/>
      <c r="B777" s="364"/>
      <c r="E777" s="364"/>
      <c r="H777" s="364"/>
      <c r="K777" s="363"/>
      <c r="L777" s="364"/>
      <c r="M777" s="363"/>
      <c r="N777" s="363"/>
      <c r="O777" s="363"/>
      <c r="P777" s="364"/>
      <c r="Q777" s="363"/>
      <c r="R777" s="363"/>
      <c r="S777" s="363"/>
      <c r="T777" s="363"/>
      <c r="U777" s="363"/>
      <c r="V777" s="363"/>
      <c r="W777" s="363"/>
      <c r="X777" s="363"/>
      <c r="Y777" s="363"/>
      <c r="Z777" s="363"/>
    </row>
    <row r="778" spans="1:26" ht="15.75" customHeight="1" x14ac:dyDescent="0.35">
      <c r="A778" s="363"/>
      <c r="B778" s="364"/>
      <c r="E778" s="364"/>
      <c r="H778" s="364"/>
      <c r="K778" s="363"/>
      <c r="L778" s="364"/>
      <c r="M778" s="363"/>
      <c r="N778" s="363"/>
      <c r="O778" s="363"/>
      <c r="P778" s="364"/>
      <c r="Q778" s="363"/>
      <c r="R778" s="363"/>
      <c r="S778" s="363"/>
      <c r="T778" s="363"/>
      <c r="U778" s="363"/>
      <c r="V778" s="363"/>
      <c r="W778" s="363"/>
      <c r="X778" s="363"/>
      <c r="Y778" s="363"/>
      <c r="Z778" s="363"/>
    </row>
    <row r="779" spans="1:26" ht="15.75" customHeight="1" x14ac:dyDescent="0.35">
      <c r="A779" s="363"/>
      <c r="B779" s="364"/>
      <c r="E779" s="364"/>
      <c r="H779" s="364"/>
      <c r="K779" s="363"/>
      <c r="L779" s="364"/>
      <c r="M779" s="363"/>
      <c r="N779" s="363"/>
      <c r="O779" s="363"/>
      <c r="P779" s="364"/>
      <c r="Q779" s="363"/>
      <c r="R779" s="363"/>
      <c r="S779" s="363"/>
      <c r="T779" s="363"/>
      <c r="U779" s="363"/>
      <c r="V779" s="363"/>
      <c r="W779" s="363"/>
      <c r="X779" s="363"/>
      <c r="Y779" s="363"/>
      <c r="Z779" s="363"/>
    </row>
    <row r="780" spans="1:26" ht="15.75" customHeight="1" x14ac:dyDescent="0.35">
      <c r="A780" s="363"/>
      <c r="B780" s="364"/>
      <c r="E780" s="364"/>
      <c r="H780" s="364"/>
      <c r="K780" s="363"/>
      <c r="L780" s="364"/>
      <c r="M780" s="363"/>
      <c r="N780" s="363"/>
      <c r="O780" s="363"/>
      <c r="P780" s="364"/>
      <c r="Q780" s="363"/>
      <c r="R780" s="363"/>
      <c r="S780" s="363"/>
      <c r="T780" s="363"/>
      <c r="U780" s="363"/>
      <c r="V780" s="363"/>
      <c r="W780" s="363"/>
      <c r="X780" s="363"/>
      <c r="Y780" s="363"/>
      <c r="Z780" s="363"/>
    </row>
    <row r="781" spans="1:26" ht="15.75" customHeight="1" x14ac:dyDescent="0.35">
      <c r="A781" s="363"/>
      <c r="B781" s="364"/>
      <c r="E781" s="364"/>
      <c r="H781" s="364"/>
      <c r="K781" s="363"/>
      <c r="L781" s="364"/>
      <c r="M781" s="363"/>
      <c r="N781" s="363"/>
      <c r="O781" s="363"/>
      <c r="P781" s="364"/>
      <c r="Q781" s="363"/>
      <c r="R781" s="363"/>
      <c r="S781" s="363"/>
      <c r="T781" s="363"/>
      <c r="U781" s="363"/>
      <c r="V781" s="363"/>
      <c r="W781" s="363"/>
      <c r="X781" s="363"/>
      <c r="Y781" s="363"/>
      <c r="Z781" s="363"/>
    </row>
    <row r="782" spans="1:26" ht="15.75" customHeight="1" x14ac:dyDescent="0.35">
      <c r="A782" s="363"/>
      <c r="B782" s="364"/>
      <c r="E782" s="364"/>
      <c r="H782" s="364"/>
      <c r="K782" s="363"/>
      <c r="L782" s="364"/>
      <c r="M782" s="363"/>
      <c r="N782" s="363"/>
      <c r="O782" s="363"/>
      <c r="P782" s="364"/>
      <c r="Q782" s="363"/>
      <c r="R782" s="363"/>
      <c r="S782" s="363"/>
      <c r="T782" s="363"/>
      <c r="U782" s="363"/>
      <c r="V782" s="363"/>
      <c r="W782" s="363"/>
      <c r="X782" s="363"/>
      <c r="Y782" s="363"/>
      <c r="Z782" s="363"/>
    </row>
    <row r="783" spans="1:26" ht="15.75" customHeight="1" x14ac:dyDescent="0.35">
      <c r="A783" s="363"/>
      <c r="B783" s="364"/>
      <c r="E783" s="364"/>
      <c r="H783" s="364"/>
      <c r="K783" s="363"/>
      <c r="L783" s="364"/>
      <c r="M783" s="363"/>
      <c r="N783" s="363"/>
      <c r="O783" s="363"/>
      <c r="P783" s="364"/>
      <c r="Q783" s="363"/>
      <c r="R783" s="363"/>
      <c r="S783" s="363"/>
      <c r="T783" s="363"/>
      <c r="U783" s="363"/>
      <c r="V783" s="363"/>
      <c r="W783" s="363"/>
      <c r="X783" s="363"/>
      <c r="Y783" s="363"/>
      <c r="Z783" s="363"/>
    </row>
    <row r="784" spans="1:26" ht="15.75" customHeight="1" x14ac:dyDescent="0.35">
      <c r="A784" s="363"/>
      <c r="B784" s="364"/>
      <c r="E784" s="364"/>
      <c r="H784" s="364"/>
      <c r="K784" s="363"/>
      <c r="L784" s="364"/>
      <c r="M784" s="363"/>
      <c r="N784" s="363"/>
      <c r="O784" s="363"/>
      <c r="P784" s="364"/>
      <c r="Q784" s="363"/>
      <c r="R784" s="363"/>
      <c r="S784" s="363"/>
      <c r="T784" s="363"/>
      <c r="U784" s="363"/>
      <c r="V784" s="363"/>
      <c r="W784" s="363"/>
      <c r="X784" s="363"/>
      <c r="Y784" s="363"/>
      <c r="Z784" s="363"/>
    </row>
    <row r="785" spans="1:26" ht="15.75" customHeight="1" x14ac:dyDescent="0.35">
      <c r="A785" s="363"/>
      <c r="B785" s="364"/>
      <c r="E785" s="364"/>
      <c r="H785" s="364"/>
      <c r="K785" s="363"/>
      <c r="L785" s="364"/>
      <c r="M785" s="363"/>
      <c r="N785" s="363"/>
      <c r="O785" s="363"/>
      <c r="P785" s="364"/>
      <c r="Q785" s="363"/>
      <c r="R785" s="363"/>
      <c r="S785" s="363"/>
      <c r="T785" s="363"/>
      <c r="U785" s="363"/>
      <c r="V785" s="363"/>
      <c r="W785" s="363"/>
      <c r="X785" s="363"/>
      <c r="Y785" s="363"/>
      <c r="Z785" s="363"/>
    </row>
    <row r="786" spans="1:26" ht="15.75" customHeight="1" x14ac:dyDescent="0.35">
      <c r="A786" s="363"/>
      <c r="B786" s="364"/>
      <c r="E786" s="364"/>
      <c r="H786" s="364"/>
      <c r="K786" s="363"/>
      <c r="L786" s="364"/>
      <c r="M786" s="363"/>
      <c r="N786" s="363"/>
      <c r="O786" s="363"/>
      <c r="P786" s="364"/>
      <c r="Q786" s="363"/>
      <c r="R786" s="363"/>
      <c r="S786" s="363"/>
      <c r="T786" s="363"/>
      <c r="U786" s="363"/>
      <c r="V786" s="363"/>
      <c r="W786" s="363"/>
      <c r="X786" s="363"/>
      <c r="Y786" s="363"/>
      <c r="Z786" s="363"/>
    </row>
    <row r="787" spans="1:26" ht="15.75" customHeight="1" x14ac:dyDescent="0.35">
      <c r="A787" s="363"/>
      <c r="B787" s="364"/>
      <c r="E787" s="364"/>
      <c r="H787" s="364"/>
      <c r="K787" s="363"/>
      <c r="L787" s="364"/>
      <c r="M787" s="363"/>
      <c r="N787" s="363"/>
      <c r="O787" s="363"/>
      <c r="P787" s="364"/>
      <c r="Q787" s="363"/>
      <c r="R787" s="363"/>
      <c r="S787" s="363"/>
      <c r="T787" s="363"/>
      <c r="U787" s="363"/>
      <c r="V787" s="363"/>
      <c r="W787" s="363"/>
      <c r="X787" s="363"/>
      <c r="Y787" s="363"/>
      <c r="Z787" s="363"/>
    </row>
    <row r="788" spans="1:26" ht="15.75" customHeight="1" x14ac:dyDescent="0.35">
      <c r="A788" s="363"/>
      <c r="B788" s="364"/>
      <c r="E788" s="364"/>
      <c r="H788" s="364"/>
      <c r="K788" s="363"/>
      <c r="L788" s="364"/>
      <c r="M788" s="363"/>
      <c r="N788" s="363"/>
      <c r="O788" s="363"/>
      <c r="P788" s="364"/>
      <c r="Q788" s="363"/>
      <c r="R788" s="363"/>
      <c r="S788" s="363"/>
      <c r="T788" s="363"/>
      <c r="U788" s="363"/>
      <c r="V788" s="363"/>
      <c r="W788" s="363"/>
      <c r="X788" s="363"/>
      <c r="Y788" s="363"/>
      <c r="Z788" s="363"/>
    </row>
    <row r="789" spans="1:26" ht="15.75" customHeight="1" x14ac:dyDescent="0.35">
      <c r="A789" s="363"/>
      <c r="B789" s="364"/>
      <c r="E789" s="364"/>
      <c r="H789" s="364"/>
      <c r="K789" s="363"/>
      <c r="L789" s="364"/>
      <c r="M789" s="363"/>
      <c r="N789" s="363"/>
      <c r="O789" s="363"/>
      <c r="P789" s="364"/>
      <c r="Q789" s="363"/>
      <c r="R789" s="363"/>
      <c r="S789" s="363"/>
      <c r="T789" s="363"/>
      <c r="U789" s="363"/>
      <c r="V789" s="363"/>
      <c r="W789" s="363"/>
      <c r="X789" s="363"/>
      <c r="Y789" s="363"/>
      <c r="Z789" s="363"/>
    </row>
    <row r="790" spans="1:26" ht="15.75" customHeight="1" x14ac:dyDescent="0.35">
      <c r="A790" s="363"/>
      <c r="B790" s="364"/>
      <c r="E790" s="364"/>
      <c r="H790" s="364"/>
      <c r="K790" s="363"/>
      <c r="L790" s="364"/>
      <c r="M790" s="363"/>
      <c r="N790" s="363"/>
      <c r="O790" s="363"/>
      <c r="P790" s="364"/>
      <c r="Q790" s="363"/>
      <c r="R790" s="363"/>
      <c r="S790" s="363"/>
      <c r="T790" s="363"/>
      <c r="U790" s="363"/>
      <c r="V790" s="363"/>
      <c r="W790" s="363"/>
      <c r="X790" s="363"/>
      <c r="Y790" s="363"/>
      <c r="Z790" s="363"/>
    </row>
    <row r="791" spans="1:26" ht="15.75" customHeight="1" x14ac:dyDescent="0.35">
      <c r="A791" s="363"/>
      <c r="B791" s="364"/>
      <c r="E791" s="364"/>
      <c r="H791" s="364"/>
      <c r="K791" s="363"/>
      <c r="L791" s="364"/>
      <c r="M791" s="363"/>
      <c r="N791" s="363"/>
      <c r="O791" s="363"/>
      <c r="P791" s="364"/>
      <c r="Q791" s="363"/>
      <c r="R791" s="363"/>
      <c r="S791" s="363"/>
      <c r="T791" s="363"/>
      <c r="U791" s="363"/>
      <c r="V791" s="363"/>
      <c r="W791" s="363"/>
      <c r="X791" s="363"/>
      <c r="Y791" s="363"/>
      <c r="Z791" s="363"/>
    </row>
    <row r="792" spans="1:26" ht="15.75" customHeight="1" x14ac:dyDescent="0.35">
      <c r="A792" s="363"/>
      <c r="B792" s="364"/>
      <c r="E792" s="364"/>
      <c r="H792" s="364"/>
      <c r="K792" s="363"/>
      <c r="L792" s="364"/>
      <c r="M792" s="363"/>
      <c r="N792" s="363"/>
      <c r="O792" s="363"/>
      <c r="P792" s="364"/>
      <c r="Q792" s="363"/>
      <c r="R792" s="363"/>
      <c r="S792" s="363"/>
      <c r="T792" s="363"/>
      <c r="U792" s="363"/>
      <c r="V792" s="363"/>
      <c r="W792" s="363"/>
      <c r="X792" s="363"/>
      <c r="Y792" s="363"/>
      <c r="Z792" s="363"/>
    </row>
    <row r="793" spans="1:26" ht="15.75" customHeight="1" x14ac:dyDescent="0.35">
      <c r="A793" s="363"/>
      <c r="B793" s="364"/>
      <c r="E793" s="364"/>
      <c r="H793" s="364"/>
      <c r="K793" s="363"/>
      <c r="L793" s="364"/>
      <c r="M793" s="363"/>
      <c r="N793" s="363"/>
      <c r="O793" s="363"/>
      <c r="P793" s="364"/>
      <c r="Q793" s="363"/>
      <c r="R793" s="363"/>
      <c r="S793" s="363"/>
      <c r="T793" s="363"/>
      <c r="U793" s="363"/>
      <c r="V793" s="363"/>
      <c r="W793" s="363"/>
      <c r="X793" s="363"/>
      <c r="Y793" s="363"/>
      <c r="Z793" s="363"/>
    </row>
    <row r="794" spans="1:26" ht="15.75" customHeight="1" x14ac:dyDescent="0.35">
      <c r="A794" s="363"/>
      <c r="B794" s="364"/>
      <c r="E794" s="364"/>
      <c r="H794" s="364"/>
      <c r="K794" s="363"/>
      <c r="L794" s="364"/>
      <c r="M794" s="363"/>
      <c r="N794" s="363"/>
      <c r="O794" s="363"/>
      <c r="P794" s="364"/>
      <c r="Q794" s="363"/>
      <c r="R794" s="363"/>
      <c r="S794" s="363"/>
      <c r="T794" s="363"/>
      <c r="U794" s="363"/>
      <c r="V794" s="363"/>
      <c r="W794" s="363"/>
      <c r="X794" s="363"/>
      <c r="Y794" s="363"/>
      <c r="Z794" s="363"/>
    </row>
    <row r="795" spans="1:26" ht="15.75" customHeight="1" x14ac:dyDescent="0.35">
      <c r="A795" s="363"/>
      <c r="B795" s="364"/>
      <c r="E795" s="364"/>
      <c r="H795" s="364"/>
      <c r="K795" s="363"/>
      <c r="L795" s="364"/>
      <c r="M795" s="363"/>
      <c r="N795" s="363"/>
      <c r="O795" s="363"/>
      <c r="P795" s="364"/>
      <c r="Q795" s="363"/>
      <c r="R795" s="363"/>
      <c r="S795" s="363"/>
      <c r="T795" s="363"/>
      <c r="U795" s="363"/>
      <c r="V795" s="363"/>
      <c r="W795" s="363"/>
      <c r="X795" s="363"/>
      <c r="Y795" s="363"/>
      <c r="Z795" s="363"/>
    </row>
    <row r="796" spans="1:26" ht="15.75" customHeight="1" x14ac:dyDescent="0.35">
      <c r="A796" s="363"/>
      <c r="B796" s="364"/>
      <c r="E796" s="364"/>
      <c r="H796" s="364"/>
      <c r="K796" s="363"/>
      <c r="L796" s="364"/>
      <c r="M796" s="363"/>
      <c r="N796" s="363"/>
      <c r="O796" s="363"/>
      <c r="P796" s="364"/>
      <c r="Q796" s="363"/>
      <c r="R796" s="363"/>
      <c r="S796" s="363"/>
      <c r="T796" s="363"/>
      <c r="U796" s="363"/>
      <c r="V796" s="363"/>
      <c r="W796" s="363"/>
      <c r="X796" s="363"/>
      <c r="Y796" s="363"/>
      <c r="Z796" s="363"/>
    </row>
    <row r="797" spans="1:26" ht="15.75" customHeight="1" x14ac:dyDescent="0.35">
      <c r="A797" s="363"/>
      <c r="B797" s="364"/>
      <c r="E797" s="364"/>
      <c r="H797" s="364"/>
      <c r="K797" s="363"/>
      <c r="L797" s="364"/>
      <c r="M797" s="363"/>
      <c r="N797" s="363"/>
      <c r="O797" s="363"/>
      <c r="P797" s="364"/>
      <c r="Q797" s="363"/>
      <c r="R797" s="363"/>
      <c r="S797" s="363"/>
      <c r="T797" s="363"/>
      <c r="U797" s="363"/>
      <c r="V797" s="363"/>
      <c r="W797" s="363"/>
      <c r="X797" s="363"/>
      <c r="Y797" s="363"/>
      <c r="Z797" s="363"/>
    </row>
    <row r="798" spans="1:26" ht="15.75" customHeight="1" x14ac:dyDescent="0.35">
      <c r="A798" s="363"/>
      <c r="B798" s="364"/>
      <c r="E798" s="364"/>
      <c r="H798" s="364"/>
      <c r="K798" s="363"/>
      <c r="L798" s="364"/>
      <c r="M798" s="363"/>
      <c r="N798" s="363"/>
      <c r="O798" s="363"/>
      <c r="P798" s="364"/>
      <c r="Q798" s="363"/>
      <c r="R798" s="363"/>
      <c r="S798" s="363"/>
      <c r="T798" s="363"/>
      <c r="U798" s="363"/>
      <c r="V798" s="363"/>
      <c r="W798" s="363"/>
      <c r="X798" s="363"/>
      <c r="Y798" s="363"/>
      <c r="Z798" s="363"/>
    </row>
    <row r="799" spans="1:26" ht="15.75" customHeight="1" x14ac:dyDescent="0.35">
      <c r="A799" s="363"/>
      <c r="B799" s="364"/>
      <c r="E799" s="364"/>
      <c r="H799" s="364"/>
      <c r="K799" s="363"/>
      <c r="L799" s="364"/>
      <c r="M799" s="363"/>
      <c r="N799" s="363"/>
      <c r="O799" s="363"/>
      <c r="P799" s="364"/>
      <c r="Q799" s="363"/>
      <c r="R799" s="363"/>
      <c r="S799" s="363"/>
      <c r="T799" s="363"/>
      <c r="U799" s="363"/>
      <c r="V799" s="363"/>
      <c r="W799" s="363"/>
      <c r="X799" s="363"/>
      <c r="Y799" s="363"/>
      <c r="Z799" s="363"/>
    </row>
    <row r="800" spans="1:26" ht="15.75" customHeight="1" x14ac:dyDescent="0.35">
      <c r="A800" s="363"/>
      <c r="B800" s="364"/>
      <c r="E800" s="364"/>
      <c r="H800" s="364"/>
      <c r="K800" s="363"/>
      <c r="L800" s="364"/>
      <c r="M800" s="363"/>
      <c r="N800" s="363"/>
      <c r="O800" s="363"/>
      <c r="P800" s="364"/>
      <c r="Q800" s="363"/>
      <c r="R800" s="363"/>
      <c r="S800" s="363"/>
      <c r="T800" s="363"/>
      <c r="U800" s="363"/>
      <c r="V800" s="363"/>
      <c r="W800" s="363"/>
      <c r="X800" s="363"/>
      <c r="Y800" s="363"/>
      <c r="Z800" s="363"/>
    </row>
    <row r="801" spans="1:26" ht="15.75" customHeight="1" x14ac:dyDescent="0.35">
      <c r="A801" s="363"/>
      <c r="B801" s="364"/>
      <c r="E801" s="364"/>
      <c r="H801" s="364"/>
      <c r="K801" s="363"/>
      <c r="L801" s="364"/>
      <c r="M801" s="363"/>
      <c r="N801" s="363"/>
      <c r="O801" s="363"/>
      <c r="P801" s="364"/>
      <c r="Q801" s="363"/>
      <c r="R801" s="363"/>
      <c r="S801" s="363"/>
      <c r="T801" s="363"/>
      <c r="U801" s="363"/>
      <c r="V801" s="363"/>
      <c r="W801" s="363"/>
      <c r="X801" s="363"/>
      <c r="Y801" s="363"/>
      <c r="Z801" s="363"/>
    </row>
    <row r="802" spans="1:26" ht="15.75" customHeight="1" x14ac:dyDescent="0.35">
      <c r="A802" s="363"/>
      <c r="B802" s="364"/>
      <c r="E802" s="364"/>
      <c r="H802" s="364"/>
      <c r="K802" s="363"/>
      <c r="L802" s="364"/>
      <c r="M802" s="363"/>
      <c r="N802" s="363"/>
      <c r="O802" s="363"/>
      <c r="P802" s="364"/>
      <c r="Q802" s="363"/>
      <c r="R802" s="363"/>
      <c r="S802" s="363"/>
      <c r="T802" s="363"/>
      <c r="U802" s="363"/>
      <c r="V802" s="363"/>
      <c r="W802" s="363"/>
      <c r="X802" s="363"/>
      <c r="Y802" s="363"/>
      <c r="Z802" s="363"/>
    </row>
    <row r="803" spans="1:26" ht="15.75" customHeight="1" x14ac:dyDescent="0.35">
      <c r="A803" s="363"/>
      <c r="B803" s="364"/>
      <c r="E803" s="364"/>
      <c r="H803" s="364"/>
      <c r="K803" s="363"/>
      <c r="L803" s="364"/>
      <c r="M803" s="363"/>
      <c r="N803" s="363"/>
      <c r="O803" s="363"/>
      <c r="P803" s="364"/>
      <c r="Q803" s="363"/>
      <c r="R803" s="363"/>
      <c r="S803" s="363"/>
      <c r="T803" s="363"/>
      <c r="U803" s="363"/>
      <c r="V803" s="363"/>
      <c r="W803" s="363"/>
      <c r="X803" s="363"/>
      <c r="Y803" s="363"/>
      <c r="Z803" s="363"/>
    </row>
    <row r="804" spans="1:26" ht="15.75" customHeight="1" x14ac:dyDescent="0.35">
      <c r="A804" s="363"/>
      <c r="B804" s="364"/>
      <c r="E804" s="364"/>
      <c r="H804" s="364"/>
      <c r="K804" s="363"/>
      <c r="L804" s="364"/>
      <c r="M804" s="363"/>
      <c r="N804" s="363"/>
      <c r="O804" s="363"/>
      <c r="P804" s="364"/>
      <c r="Q804" s="363"/>
      <c r="R804" s="363"/>
      <c r="S804" s="363"/>
      <c r="T804" s="363"/>
      <c r="U804" s="363"/>
      <c r="V804" s="363"/>
      <c r="W804" s="363"/>
      <c r="X804" s="363"/>
      <c r="Y804" s="363"/>
      <c r="Z804" s="363"/>
    </row>
    <row r="805" spans="1:26" ht="15.75" customHeight="1" x14ac:dyDescent="0.35">
      <c r="A805" s="363"/>
      <c r="B805" s="364"/>
      <c r="E805" s="364"/>
      <c r="H805" s="364"/>
      <c r="K805" s="363"/>
      <c r="L805" s="364"/>
      <c r="M805" s="363"/>
      <c r="N805" s="363"/>
      <c r="O805" s="363"/>
      <c r="P805" s="364"/>
      <c r="Q805" s="363"/>
      <c r="R805" s="363"/>
      <c r="S805" s="363"/>
      <c r="T805" s="363"/>
      <c r="U805" s="363"/>
      <c r="V805" s="363"/>
      <c r="W805" s="363"/>
      <c r="X805" s="363"/>
      <c r="Y805" s="363"/>
      <c r="Z805" s="363"/>
    </row>
    <row r="806" spans="1:26" ht="15.75" customHeight="1" x14ac:dyDescent="0.35">
      <c r="A806" s="363"/>
      <c r="B806" s="364"/>
      <c r="E806" s="364"/>
      <c r="H806" s="364"/>
      <c r="K806" s="363"/>
      <c r="L806" s="364"/>
      <c r="M806" s="363"/>
      <c r="N806" s="363"/>
      <c r="O806" s="363"/>
      <c r="P806" s="364"/>
      <c r="Q806" s="363"/>
      <c r="R806" s="363"/>
      <c r="S806" s="363"/>
      <c r="T806" s="363"/>
      <c r="U806" s="363"/>
      <c r="V806" s="363"/>
      <c r="W806" s="363"/>
      <c r="X806" s="363"/>
      <c r="Y806" s="363"/>
      <c r="Z806" s="363"/>
    </row>
    <row r="807" spans="1:26" ht="15.75" customHeight="1" x14ac:dyDescent="0.35">
      <c r="A807" s="363"/>
      <c r="B807" s="364"/>
      <c r="E807" s="364"/>
      <c r="H807" s="364"/>
      <c r="K807" s="363"/>
      <c r="L807" s="364"/>
      <c r="M807" s="363"/>
      <c r="N807" s="363"/>
      <c r="O807" s="363"/>
      <c r="P807" s="364"/>
      <c r="Q807" s="363"/>
      <c r="R807" s="363"/>
      <c r="S807" s="363"/>
      <c r="T807" s="363"/>
      <c r="U807" s="363"/>
      <c r="V807" s="363"/>
      <c r="W807" s="363"/>
      <c r="X807" s="363"/>
      <c r="Y807" s="363"/>
      <c r="Z807" s="363"/>
    </row>
    <row r="808" spans="1:26" ht="15.75" customHeight="1" x14ac:dyDescent="0.35">
      <c r="A808" s="363"/>
      <c r="B808" s="364"/>
      <c r="E808" s="364"/>
      <c r="H808" s="364"/>
      <c r="K808" s="363"/>
      <c r="L808" s="364"/>
      <c r="M808" s="363"/>
      <c r="N808" s="363"/>
      <c r="O808" s="363"/>
      <c r="P808" s="364"/>
      <c r="Q808" s="363"/>
      <c r="R808" s="363"/>
      <c r="S808" s="363"/>
      <c r="T808" s="363"/>
      <c r="U808" s="363"/>
      <c r="V808" s="363"/>
      <c r="W808" s="363"/>
      <c r="X808" s="363"/>
      <c r="Y808" s="363"/>
      <c r="Z808" s="363"/>
    </row>
    <row r="809" spans="1:26" ht="15.75" customHeight="1" x14ac:dyDescent="0.35">
      <c r="A809" s="363"/>
      <c r="B809" s="364"/>
      <c r="E809" s="364"/>
      <c r="H809" s="364"/>
      <c r="K809" s="363"/>
      <c r="L809" s="364"/>
      <c r="M809" s="363"/>
      <c r="N809" s="363"/>
      <c r="O809" s="363"/>
      <c r="P809" s="364"/>
      <c r="Q809" s="363"/>
      <c r="R809" s="363"/>
      <c r="S809" s="363"/>
      <c r="T809" s="363"/>
      <c r="U809" s="363"/>
      <c r="V809" s="363"/>
      <c r="W809" s="363"/>
      <c r="X809" s="363"/>
      <c r="Y809" s="363"/>
      <c r="Z809" s="363"/>
    </row>
    <row r="810" spans="1:26" ht="15.75" customHeight="1" x14ac:dyDescent="0.35">
      <c r="A810" s="363"/>
      <c r="B810" s="364"/>
      <c r="E810" s="364"/>
      <c r="H810" s="364"/>
      <c r="K810" s="363"/>
      <c r="L810" s="364"/>
      <c r="M810" s="363"/>
      <c r="N810" s="363"/>
      <c r="O810" s="363"/>
      <c r="P810" s="364"/>
      <c r="Q810" s="363"/>
      <c r="R810" s="363"/>
      <c r="S810" s="363"/>
      <c r="T810" s="363"/>
      <c r="U810" s="363"/>
      <c r="V810" s="363"/>
      <c r="W810" s="363"/>
      <c r="X810" s="363"/>
      <c r="Y810" s="363"/>
      <c r="Z810" s="363"/>
    </row>
    <row r="811" spans="1:26" ht="15.75" customHeight="1" x14ac:dyDescent="0.35">
      <c r="A811" s="363"/>
      <c r="B811" s="364"/>
      <c r="E811" s="364"/>
      <c r="H811" s="364"/>
      <c r="K811" s="363"/>
      <c r="L811" s="364"/>
      <c r="M811" s="363"/>
      <c r="N811" s="363"/>
      <c r="O811" s="363"/>
      <c r="P811" s="364"/>
      <c r="Q811" s="363"/>
      <c r="R811" s="363"/>
      <c r="S811" s="363"/>
      <c r="T811" s="363"/>
      <c r="U811" s="363"/>
      <c r="V811" s="363"/>
      <c r="W811" s="363"/>
      <c r="X811" s="363"/>
      <c r="Y811" s="363"/>
      <c r="Z811" s="363"/>
    </row>
    <row r="812" spans="1:26" ht="15.75" customHeight="1" x14ac:dyDescent="0.35">
      <c r="A812" s="363"/>
      <c r="B812" s="364"/>
      <c r="E812" s="364"/>
      <c r="H812" s="364"/>
      <c r="K812" s="363"/>
      <c r="L812" s="364"/>
      <c r="M812" s="363"/>
      <c r="N812" s="363"/>
      <c r="O812" s="363"/>
      <c r="P812" s="364"/>
      <c r="Q812" s="363"/>
      <c r="R812" s="363"/>
      <c r="S812" s="363"/>
      <c r="T812" s="363"/>
      <c r="U812" s="363"/>
      <c r="V812" s="363"/>
      <c r="W812" s="363"/>
      <c r="X812" s="363"/>
      <c r="Y812" s="363"/>
      <c r="Z812" s="363"/>
    </row>
    <row r="813" spans="1:26" ht="15.75" customHeight="1" x14ac:dyDescent="0.35">
      <c r="A813" s="363"/>
      <c r="B813" s="364"/>
      <c r="E813" s="364"/>
      <c r="H813" s="364"/>
      <c r="K813" s="363"/>
      <c r="L813" s="364"/>
      <c r="M813" s="363"/>
      <c r="N813" s="363"/>
      <c r="O813" s="363"/>
      <c r="P813" s="364"/>
      <c r="Q813" s="363"/>
      <c r="R813" s="363"/>
      <c r="S813" s="363"/>
      <c r="T813" s="363"/>
      <c r="U813" s="363"/>
      <c r="V813" s="363"/>
      <c r="W813" s="363"/>
      <c r="X813" s="363"/>
      <c r="Y813" s="363"/>
      <c r="Z813" s="363"/>
    </row>
    <row r="814" spans="1:26" ht="15.75" customHeight="1" x14ac:dyDescent="0.35">
      <c r="A814" s="363"/>
      <c r="B814" s="364"/>
      <c r="E814" s="364"/>
      <c r="H814" s="364"/>
      <c r="K814" s="363"/>
      <c r="L814" s="364"/>
      <c r="M814" s="363"/>
      <c r="N814" s="363"/>
      <c r="O814" s="363"/>
      <c r="P814" s="364"/>
      <c r="Q814" s="363"/>
      <c r="R814" s="363"/>
      <c r="S814" s="363"/>
      <c r="T814" s="363"/>
      <c r="U814" s="363"/>
      <c r="V814" s="363"/>
      <c r="W814" s="363"/>
      <c r="X814" s="363"/>
      <c r="Y814" s="363"/>
      <c r="Z814" s="363"/>
    </row>
    <row r="815" spans="1:26" ht="15.75" customHeight="1" x14ac:dyDescent="0.35">
      <c r="A815" s="363"/>
      <c r="B815" s="364"/>
      <c r="E815" s="364"/>
      <c r="H815" s="364"/>
      <c r="K815" s="363"/>
      <c r="L815" s="364"/>
      <c r="M815" s="363"/>
      <c r="N815" s="363"/>
      <c r="O815" s="363"/>
      <c r="P815" s="364"/>
      <c r="Q815" s="363"/>
      <c r="R815" s="363"/>
      <c r="S815" s="363"/>
      <c r="T815" s="363"/>
      <c r="U815" s="363"/>
      <c r="V815" s="363"/>
      <c r="W815" s="363"/>
      <c r="X815" s="363"/>
      <c r="Y815" s="363"/>
      <c r="Z815" s="363"/>
    </row>
    <row r="816" spans="1:26" ht="15.75" customHeight="1" x14ac:dyDescent="0.35">
      <c r="A816" s="363"/>
      <c r="B816" s="364"/>
      <c r="E816" s="364"/>
      <c r="H816" s="364"/>
      <c r="K816" s="363"/>
      <c r="L816" s="364"/>
      <c r="M816" s="363"/>
      <c r="N816" s="363"/>
      <c r="O816" s="363"/>
      <c r="P816" s="364"/>
      <c r="Q816" s="363"/>
      <c r="R816" s="363"/>
      <c r="S816" s="363"/>
      <c r="T816" s="363"/>
      <c r="U816" s="363"/>
      <c r="V816" s="363"/>
      <c r="W816" s="363"/>
      <c r="X816" s="363"/>
      <c r="Y816" s="363"/>
      <c r="Z816" s="363"/>
    </row>
    <row r="817" spans="1:26" ht="15.75" customHeight="1" x14ac:dyDescent="0.35">
      <c r="A817" s="363"/>
      <c r="B817" s="364"/>
      <c r="E817" s="364"/>
      <c r="H817" s="364"/>
      <c r="K817" s="363"/>
      <c r="L817" s="364"/>
      <c r="M817" s="363"/>
      <c r="N817" s="363"/>
      <c r="O817" s="363"/>
      <c r="P817" s="364"/>
      <c r="Q817" s="363"/>
      <c r="R817" s="363"/>
      <c r="S817" s="363"/>
      <c r="T817" s="363"/>
      <c r="U817" s="363"/>
      <c r="V817" s="363"/>
      <c r="W817" s="363"/>
      <c r="X817" s="363"/>
      <c r="Y817" s="363"/>
      <c r="Z817" s="363"/>
    </row>
    <row r="818" spans="1:26" ht="15.75" customHeight="1" x14ac:dyDescent="0.35">
      <c r="A818" s="363"/>
      <c r="B818" s="364"/>
      <c r="E818" s="364"/>
      <c r="H818" s="364"/>
      <c r="K818" s="363"/>
      <c r="L818" s="364"/>
      <c r="M818" s="363"/>
      <c r="N818" s="363"/>
      <c r="O818" s="363"/>
      <c r="P818" s="364"/>
      <c r="Q818" s="363"/>
      <c r="R818" s="363"/>
      <c r="S818" s="363"/>
      <c r="T818" s="363"/>
      <c r="U818" s="363"/>
      <c r="V818" s="363"/>
      <c r="W818" s="363"/>
      <c r="X818" s="363"/>
      <c r="Y818" s="363"/>
      <c r="Z818" s="363"/>
    </row>
    <row r="819" spans="1:26" ht="15.75" customHeight="1" x14ac:dyDescent="0.35">
      <c r="A819" s="363"/>
      <c r="B819" s="364"/>
      <c r="E819" s="364"/>
      <c r="H819" s="364"/>
      <c r="K819" s="363"/>
      <c r="L819" s="364"/>
      <c r="M819" s="363"/>
      <c r="N819" s="363"/>
      <c r="O819" s="363"/>
      <c r="P819" s="364"/>
      <c r="Q819" s="363"/>
      <c r="R819" s="363"/>
      <c r="S819" s="363"/>
      <c r="T819" s="363"/>
      <c r="U819" s="363"/>
      <c r="V819" s="363"/>
      <c r="W819" s="363"/>
      <c r="X819" s="363"/>
      <c r="Y819" s="363"/>
      <c r="Z819" s="363"/>
    </row>
    <row r="820" spans="1:26" ht="15.75" customHeight="1" x14ac:dyDescent="0.35">
      <c r="A820" s="363"/>
      <c r="B820" s="364"/>
      <c r="E820" s="364"/>
      <c r="H820" s="364"/>
      <c r="K820" s="363"/>
      <c r="L820" s="364"/>
      <c r="M820" s="363"/>
      <c r="N820" s="363"/>
      <c r="O820" s="363"/>
      <c r="P820" s="364"/>
      <c r="Q820" s="363"/>
      <c r="R820" s="363"/>
      <c r="S820" s="363"/>
      <c r="T820" s="363"/>
      <c r="U820" s="363"/>
      <c r="V820" s="363"/>
      <c r="W820" s="363"/>
      <c r="X820" s="363"/>
      <c r="Y820" s="363"/>
      <c r="Z820" s="363"/>
    </row>
    <row r="821" spans="1:26" ht="15.75" customHeight="1" x14ac:dyDescent="0.35">
      <c r="A821" s="363"/>
      <c r="B821" s="364"/>
      <c r="E821" s="364"/>
      <c r="H821" s="364"/>
      <c r="K821" s="363"/>
      <c r="L821" s="364"/>
      <c r="M821" s="363"/>
      <c r="N821" s="363"/>
      <c r="O821" s="363"/>
      <c r="P821" s="364"/>
      <c r="Q821" s="363"/>
      <c r="R821" s="363"/>
      <c r="S821" s="363"/>
      <c r="T821" s="363"/>
      <c r="U821" s="363"/>
      <c r="V821" s="363"/>
      <c r="W821" s="363"/>
      <c r="X821" s="363"/>
      <c r="Y821" s="363"/>
      <c r="Z821" s="363"/>
    </row>
    <row r="822" spans="1:26" ht="15.75" customHeight="1" x14ac:dyDescent="0.35">
      <c r="A822" s="363"/>
      <c r="B822" s="364"/>
      <c r="E822" s="364"/>
      <c r="H822" s="364"/>
      <c r="K822" s="363"/>
      <c r="L822" s="364"/>
      <c r="M822" s="363"/>
      <c r="N822" s="363"/>
      <c r="O822" s="363"/>
      <c r="P822" s="364"/>
      <c r="Q822" s="363"/>
      <c r="R822" s="363"/>
      <c r="S822" s="363"/>
      <c r="T822" s="363"/>
      <c r="U822" s="363"/>
      <c r="V822" s="363"/>
      <c r="W822" s="363"/>
      <c r="X822" s="363"/>
      <c r="Y822" s="363"/>
      <c r="Z822" s="363"/>
    </row>
    <row r="823" spans="1:26" ht="15.75" customHeight="1" x14ac:dyDescent="0.35">
      <c r="A823" s="363"/>
      <c r="B823" s="364"/>
      <c r="E823" s="364"/>
      <c r="H823" s="364"/>
      <c r="K823" s="363"/>
      <c r="L823" s="364"/>
      <c r="M823" s="363"/>
      <c r="N823" s="363"/>
      <c r="O823" s="363"/>
      <c r="P823" s="364"/>
      <c r="Q823" s="363"/>
      <c r="R823" s="363"/>
      <c r="S823" s="363"/>
      <c r="T823" s="363"/>
      <c r="U823" s="363"/>
      <c r="V823" s="363"/>
      <c r="W823" s="363"/>
      <c r="X823" s="363"/>
      <c r="Y823" s="363"/>
      <c r="Z823" s="363"/>
    </row>
    <row r="824" spans="1:26" ht="15.75" customHeight="1" x14ac:dyDescent="0.35">
      <c r="A824" s="363"/>
      <c r="B824" s="364"/>
      <c r="E824" s="364"/>
      <c r="H824" s="364"/>
      <c r="K824" s="363"/>
      <c r="L824" s="364"/>
      <c r="M824" s="363"/>
      <c r="N824" s="363"/>
      <c r="O824" s="363"/>
      <c r="P824" s="364"/>
      <c r="Q824" s="363"/>
      <c r="R824" s="363"/>
      <c r="S824" s="363"/>
      <c r="T824" s="363"/>
      <c r="U824" s="363"/>
      <c r="V824" s="363"/>
      <c r="W824" s="363"/>
      <c r="X824" s="363"/>
      <c r="Y824" s="363"/>
      <c r="Z824" s="363"/>
    </row>
    <row r="825" spans="1:26" ht="15.75" customHeight="1" x14ac:dyDescent="0.35">
      <c r="A825" s="363"/>
      <c r="B825" s="364"/>
      <c r="E825" s="364"/>
      <c r="H825" s="364"/>
      <c r="K825" s="363"/>
      <c r="L825" s="364"/>
      <c r="M825" s="363"/>
      <c r="N825" s="363"/>
      <c r="O825" s="363"/>
      <c r="P825" s="364"/>
      <c r="Q825" s="363"/>
      <c r="R825" s="363"/>
      <c r="S825" s="363"/>
      <c r="T825" s="363"/>
      <c r="U825" s="363"/>
      <c r="V825" s="363"/>
      <c r="W825" s="363"/>
      <c r="X825" s="363"/>
      <c r="Y825" s="363"/>
      <c r="Z825" s="363"/>
    </row>
    <row r="826" spans="1:26" ht="15.75" customHeight="1" x14ac:dyDescent="0.35">
      <c r="A826" s="363"/>
      <c r="B826" s="364"/>
      <c r="E826" s="364"/>
      <c r="H826" s="364"/>
      <c r="K826" s="363"/>
      <c r="L826" s="364"/>
      <c r="M826" s="363"/>
      <c r="N826" s="363"/>
      <c r="O826" s="363"/>
      <c r="P826" s="364"/>
      <c r="Q826" s="363"/>
      <c r="R826" s="363"/>
      <c r="S826" s="363"/>
      <c r="T826" s="363"/>
      <c r="U826" s="363"/>
      <c r="V826" s="363"/>
      <c r="W826" s="363"/>
      <c r="X826" s="363"/>
      <c r="Y826" s="363"/>
      <c r="Z826" s="363"/>
    </row>
    <row r="827" spans="1:26" ht="15.75" customHeight="1" x14ac:dyDescent="0.35">
      <c r="A827" s="363"/>
      <c r="B827" s="364"/>
      <c r="E827" s="364"/>
      <c r="H827" s="364"/>
      <c r="K827" s="363"/>
      <c r="L827" s="364"/>
      <c r="M827" s="363"/>
      <c r="N827" s="363"/>
      <c r="O827" s="363"/>
      <c r="P827" s="364"/>
      <c r="Q827" s="363"/>
      <c r="R827" s="363"/>
      <c r="S827" s="363"/>
      <c r="T827" s="363"/>
      <c r="U827" s="363"/>
      <c r="V827" s="363"/>
      <c r="W827" s="363"/>
      <c r="X827" s="363"/>
      <c r="Y827" s="363"/>
      <c r="Z827" s="363"/>
    </row>
    <row r="828" spans="1:26" ht="15.75" customHeight="1" x14ac:dyDescent="0.35">
      <c r="A828" s="363"/>
      <c r="B828" s="364"/>
      <c r="E828" s="364"/>
      <c r="H828" s="364"/>
      <c r="K828" s="363"/>
      <c r="L828" s="364"/>
      <c r="M828" s="363"/>
      <c r="N828" s="363"/>
      <c r="O828" s="363"/>
      <c r="P828" s="364"/>
      <c r="Q828" s="363"/>
      <c r="R828" s="363"/>
      <c r="S828" s="363"/>
      <c r="T828" s="363"/>
      <c r="U828" s="363"/>
      <c r="V828" s="363"/>
      <c r="W828" s="363"/>
      <c r="X828" s="363"/>
      <c r="Y828" s="363"/>
      <c r="Z828" s="363"/>
    </row>
    <row r="829" spans="1:26" ht="15.75" customHeight="1" x14ac:dyDescent="0.35">
      <c r="A829" s="363"/>
      <c r="B829" s="364"/>
      <c r="E829" s="364"/>
      <c r="H829" s="364"/>
      <c r="K829" s="363"/>
      <c r="L829" s="364"/>
      <c r="M829" s="363"/>
      <c r="N829" s="363"/>
      <c r="O829" s="363"/>
      <c r="P829" s="364"/>
      <c r="Q829" s="363"/>
      <c r="R829" s="363"/>
      <c r="S829" s="363"/>
      <c r="T829" s="363"/>
      <c r="U829" s="363"/>
      <c r="V829" s="363"/>
      <c r="W829" s="363"/>
      <c r="X829" s="363"/>
      <c r="Y829" s="363"/>
      <c r="Z829" s="363"/>
    </row>
    <row r="830" spans="1:26" ht="15.75" customHeight="1" x14ac:dyDescent="0.35">
      <c r="A830" s="363"/>
      <c r="B830" s="364"/>
      <c r="E830" s="364"/>
      <c r="H830" s="364"/>
      <c r="K830" s="363"/>
      <c r="L830" s="364"/>
      <c r="M830" s="363"/>
      <c r="N830" s="363"/>
      <c r="O830" s="363"/>
      <c r="P830" s="364"/>
      <c r="Q830" s="363"/>
      <c r="R830" s="363"/>
      <c r="S830" s="363"/>
      <c r="T830" s="363"/>
      <c r="U830" s="363"/>
      <c r="V830" s="363"/>
      <c r="W830" s="363"/>
      <c r="X830" s="363"/>
      <c r="Y830" s="363"/>
      <c r="Z830" s="363"/>
    </row>
    <row r="831" spans="1:26" ht="15.75" customHeight="1" x14ac:dyDescent="0.35">
      <c r="A831" s="363"/>
      <c r="B831" s="364"/>
      <c r="E831" s="364"/>
      <c r="H831" s="364"/>
      <c r="K831" s="363"/>
      <c r="L831" s="364"/>
      <c r="M831" s="363"/>
      <c r="N831" s="363"/>
      <c r="O831" s="363"/>
      <c r="P831" s="364"/>
      <c r="Q831" s="363"/>
      <c r="R831" s="363"/>
      <c r="S831" s="363"/>
      <c r="T831" s="363"/>
      <c r="U831" s="363"/>
      <c r="V831" s="363"/>
      <c r="W831" s="363"/>
      <c r="X831" s="363"/>
      <c r="Y831" s="363"/>
      <c r="Z831" s="363"/>
    </row>
    <row r="832" spans="1:26" ht="15.75" customHeight="1" x14ac:dyDescent="0.35">
      <c r="A832" s="363"/>
      <c r="B832" s="364"/>
      <c r="E832" s="364"/>
      <c r="H832" s="364"/>
      <c r="K832" s="363"/>
      <c r="L832" s="364"/>
      <c r="M832" s="363"/>
      <c r="N832" s="363"/>
      <c r="O832" s="363"/>
      <c r="P832" s="364"/>
      <c r="Q832" s="363"/>
      <c r="R832" s="363"/>
      <c r="S832" s="363"/>
      <c r="T832" s="363"/>
      <c r="U832" s="363"/>
      <c r="V832" s="363"/>
      <c r="W832" s="363"/>
      <c r="X832" s="363"/>
      <c r="Y832" s="363"/>
      <c r="Z832" s="363"/>
    </row>
    <row r="833" spans="1:26" ht="15.75" customHeight="1" x14ac:dyDescent="0.35">
      <c r="A833" s="363"/>
      <c r="B833" s="364"/>
      <c r="E833" s="364"/>
      <c r="H833" s="364"/>
      <c r="K833" s="363"/>
      <c r="L833" s="364"/>
      <c r="M833" s="363"/>
      <c r="N833" s="363"/>
      <c r="O833" s="363"/>
      <c r="P833" s="364"/>
      <c r="Q833" s="363"/>
      <c r="R833" s="363"/>
      <c r="S833" s="363"/>
      <c r="T833" s="363"/>
      <c r="U833" s="363"/>
      <c r="V833" s="363"/>
      <c r="W833" s="363"/>
      <c r="X833" s="363"/>
      <c r="Y833" s="363"/>
      <c r="Z833" s="363"/>
    </row>
    <row r="834" spans="1:26" ht="15.75" customHeight="1" x14ac:dyDescent="0.35">
      <c r="A834" s="363"/>
      <c r="B834" s="364"/>
      <c r="E834" s="364"/>
      <c r="H834" s="364"/>
      <c r="K834" s="363"/>
      <c r="L834" s="364"/>
      <c r="M834" s="363"/>
      <c r="N834" s="363"/>
      <c r="O834" s="363"/>
      <c r="P834" s="364"/>
      <c r="Q834" s="363"/>
      <c r="R834" s="363"/>
      <c r="S834" s="363"/>
      <c r="T834" s="363"/>
      <c r="U834" s="363"/>
      <c r="V834" s="363"/>
      <c r="W834" s="363"/>
      <c r="X834" s="363"/>
      <c r="Y834" s="363"/>
      <c r="Z834" s="363"/>
    </row>
    <row r="835" spans="1:26" ht="15.75" customHeight="1" x14ac:dyDescent="0.35">
      <c r="A835" s="363"/>
      <c r="B835" s="364"/>
      <c r="E835" s="364"/>
      <c r="H835" s="364"/>
      <c r="K835" s="363"/>
      <c r="L835" s="364"/>
      <c r="M835" s="363"/>
      <c r="N835" s="363"/>
      <c r="O835" s="363"/>
      <c r="P835" s="364"/>
      <c r="Q835" s="363"/>
      <c r="R835" s="363"/>
      <c r="S835" s="363"/>
      <c r="T835" s="363"/>
      <c r="U835" s="363"/>
      <c r="V835" s="363"/>
      <c r="W835" s="363"/>
      <c r="X835" s="363"/>
      <c r="Y835" s="363"/>
      <c r="Z835" s="363"/>
    </row>
    <row r="836" spans="1:26" ht="15.75" customHeight="1" x14ac:dyDescent="0.35">
      <c r="A836" s="363"/>
      <c r="B836" s="364"/>
      <c r="E836" s="364"/>
      <c r="H836" s="364"/>
      <c r="K836" s="363"/>
      <c r="L836" s="364"/>
      <c r="M836" s="363"/>
      <c r="N836" s="363"/>
      <c r="O836" s="363"/>
      <c r="P836" s="364"/>
      <c r="Q836" s="363"/>
      <c r="R836" s="363"/>
      <c r="S836" s="363"/>
      <c r="T836" s="363"/>
      <c r="U836" s="363"/>
      <c r="V836" s="363"/>
      <c r="W836" s="363"/>
      <c r="X836" s="363"/>
      <c r="Y836" s="363"/>
      <c r="Z836" s="363"/>
    </row>
    <row r="837" spans="1:26" ht="15.75" customHeight="1" x14ac:dyDescent="0.35">
      <c r="A837" s="363"/>
      <c r="B837" s="364"/>
      <c r="E837" s="364"/>
      <c r="H837" s="364"/>
      <c r="K837" s="363"/>
      <c r="L837" s="364"/>
      <c r="M837" s="363"/>
      <c r="N837" s="363"/>
      <c r="O837" s="363"/>
      <c r="P837" s="364"/>
      <c r="Q837" s="363"/>
      <c r="R837" s="363"/>
      <c r="S837" s="363"/>
      <c r="T837" s="363"/>
      <c r="U837" s="363"/>
      <c r="V837" s="363"/>
      <c r="W837" s="363"/>
      <c r="X837" s="363"/>
      <c r="Y837" s="363"/>
      <c r="Z837" s="363"/>
    </row>
    <row r="838" spans="1:26" ht="15.75" customHeight="1" x14ac:dyDescent="0.35">
      <c r="A838" s="363"/>
      <c r="B838" s="364"/>
      <c r="E838" s="364"/>
      <c r="H838" s="364"/>
      <c r="K838" s="363"/>
      <c r="L838" s="364"/>
      <c r="M838" s="363"/>
      <c r="N838" s="363"/>
      <c r="O838" s="363"/>
      <c r="P838" s="364"/>
      <c r="Q838" s="363"/>
      <c r="R838" s="363"/>
      <c r="S838" s="363"/>
      <c r="T838" s="363"/>
      <c r="U838" s="363"/>
      <c r="V838" s="363"/>
      <c r="W838" s="363"/>
      <c r="X838" s="363"/>
      <c r="Y838" s="363"/>
      <c r="Z838" s="363"/>
    </row>
    <row r="839" spans="1:26" ht="15.75" customHeight="1" x14ac:dyDescent="0.35">
      <c r="A839" s="363"/>
      <c r="B839" s="364"/>
      <c r="E839" s="364"/>
      <c r="H839" s="364"/>
      <c r="K839" s="363"/>
      <c r="L839" s="364"/>
      <c r="M839" s="363"/>
      <c r="N839" s="363"/>
      <c r="O839" s="363"/>
      <c r="P839" s="364"/>
      <c r="Q839" s="363"/>
      <c r="R839" s="363"/>
      <c r="S839" s="363"/>
      <c r="T839" s="363"/>
      <c r="U839" s="363"/>
      <c r="V839" s="363"/>
      <c r="W839" s="363"/>
      <c r="X839" s="363"/>
      <c r="Y839" s="363"/>
      <c r="Z839" s="363"/>
    </row>
    <row r="840" spans="1:26" ht="15.75" customHeight="1" x14ac:dyDescent="0.35">
      <c r="A840" s="363"/>
      <c r="B840" s="364"/>
      <c r="E840" s="364"/>
      <c r="H840" s="364"/>
      <c r="K840" s="363"/>
      <c r="L840" s="364"/>
      <c r="M840" s="363"/>
      <c r="N840" s="363"/>
      <c r="O840" s="363"/>
      <c r="P840" s="364"/>
      <c r="Q840" s="363"/>
      <c r="R840" s="363"/>
      <c r="S840" s="363"/>
      <c r="T840" s="363"/>
      <c r="U840" s="363"/>
      <c r="V840" s="363"/>
      <c r="W840" s="363"/>
      <c r="X840" s="363"/>
      <c r="Y840" s="363"/>
      <c r="Z840" s="363"/>
    </row>
    <row r="841" spans="1:26" ht="15.75" customHeight="1" x14ac:dyDescent="0.35">
      <c r="A841" s="363"/>
      <c r="B841" s="364"/>
      <c r="E841" s="364"/>
      <c r="H841" s="364"/>
      <c r="K841" s="363"/>
      <c r="L841" s="364"/>
      <c r="M841" s="363"/>
      <c r="N841" s="363"/>
      <c r="O841" s="363"/>
      <c r="P841" s="364"/>
      <c r="Q841" s="363"/>
      <c r="R841" s="363"/>
      <c r="S841" s="363"/>
      <c r="T841" s="363"/>
      <c r="U841" s="363"/>
      <c r="V841" s="363"/>
      <c r="W841" s="363"/>
      <c r="X841" s="363"/>
      <c r="Y841" s="363"/>
      <c r="Z841" s="363"/>
    </row>
    <row r="842" spans="1:26" ht="15.75" customHeight="1" x14ac:dyDescent="0.35">
      <c r="A842" s="363"/>
      <c r="B842" s="364"/>
      <c r="E842" s="364"/>
      <c r="H842" s="364"/>
      <c r="K842" s="363"/>
      <c r="L842" s="364"/>
      <c r="M842" s="363"/>
      <c r="N842" s="363"/>
      <c r="O842" s="363"/>
      <c r="P842" s="364"/>
      <c r="Q842" s="363"/>
      <c r="R842" s="363"/>
      <c r="S842" s="363"/>
      <c r="T842" s="363"/>
      <c r="U842" s="363"/>
      <c r="V842" s="363"/>
      <c r="W842" s="363"/>
      <c r="X842" s="363"/>
      <c r="Y842" s="363"/>
      <c r="Z842" s="363"/>
    </row>
    <row r="843" spans="1:26" ht="15.75" customHeight="1" x14ac:dyDescent="0.35">
      <c r="A843" s="363"/>
      <c r="B843" s="364"/>
      <c r="E843" s="364"/>
      <c r="H843" s="364"/>
      <c r="K843" s="363"/>
      <c r="L843" s="364"/>
      <c r="M843" s="363"/>
      <c r="N843" s="363"/>
      <c r="O843" s="363"/>
      <c r="P843" s="364"/>
      <c r="Q843" s="363"/>
      <c r="R843" s="363"/>
      <c r="S843" s="363"/>
      <c r="T843" s="363"/>
      <c r="U843" s="363"/>
      <c r="V843" s="363"/>
      <c r="W843" s="363"/>
      <c r="X843" s="363"/>
      <c r="Y843" s="363"/>
      <c r="Z843" s="363"/>
    </row>
    <row r="844" spans="1:26" ht="15.75" customHeight="1" x14ac:dyDescent="0.35">
      <c r="A844" s="363"/>
      <c r="B844" s="364"/>
      <c r="E844" s="364"/>
      <c r="H844" s="364"/>
      <c r="K844" s="363"/>
      <c r="L844" s="364"/>
      <c r="M844" s="363"/>
      <c r="N844" s="363"/>
      <c r="O844" s="363"/>
      <c r="P844" s="364"/>
      <c r="Q844" s="363"/>
      <c r="R844" s="363"/>
      <c r="S844" s="363"/>
      <c r="T844" s="363"/>
      <c r="U844" s="363"/>
      <c r="V844" s="363"/>
      <c r="W844" s="363"/>
      <c r="X844" s="363"/>
      <c r="Y844" s="363"/>
      <c r="Z844" s="363"/>
    </row>
    <row r="845" spans="1:26" ht="15.75" customHeight="1" x14ac:dyDescent="0.35">
      <c r="A845" s="363"/>
      <c r="B845" s="364"/>
      <c r="E845" s="364"/>
      <c r="H845" s="364"/>
      <c r="K845" s="363"/>
      <c r="L845" s="364"/>
      <c r="M845" s="363"/>
      <c r="N845" s="363"/>
      <c r="O845" s="363"/>
      <c r="P845" s="364"/>
      <c r="Q845" s="363"/>
      <c r="R845" s="363"/>
      <c r="S845" s="363"/>
      <c r="T845" s="363"/>
      <c r="U845" s="363"/>
      <c r="V845" s="363"/>
      <c r="W845" s="363"/>
      <c r="X845" s="363"/>
      <c r="Y845" s="363"/>
      <c r="Z845" s="363"/>
    </row>
    <row r="846" spans="1:26" ht="15.75" customHeight="1" x14ac:dyDescent="0.35">
      <c r="A846" s="363"/>
      <c r="B846" s="364"/>
      <c r="E846" s="364"/>
      <c r="H846" s="364"/>
      <c r="K846" s="363"/>
      <c r="L846" s="364"/>
      <c r="M846" s="363"/>
      <c r="N846" s="363"/>
      <c r="O846" s="363"/>
      <c r="P846" s="364"/>
      <c r="Q846" s="363"/>
      <c r="R846" s="363"/>
      <c r="S846" s="363"/>
      <c r="T846" s="363"/>
      <c r="U846" s="363"/>
      <c r="V846" s="363"/>
      <c r="W846" s="363"/>
      <c r="X846" s="363"/>
      <c r="Y846" s="363"/>
      <c r="Z846" s="363"/>
    </row>
    <row r="847" spans="1:26" ht="15.75" customHeight="1" x14ac:dyDescent="0.35">
      <c r="A847" s="363"/>
      <c r="B847" s="364"/>
      <c r="E847" s="364"/>
      <c r="H847" s="364"/>
      <c r="K847" s="363"/>
      <c r="L847" s="364"/>
      <c r="M847" s="363"/>
      <c r="N847" s="363"/>
      <c r="O847" s="363"/>
      <c r="P847" s="364"/>
      <c r="Q847" s="363"/>
      <c r="R847" s="363"/>
      <c r="S847" s="363"/>
      <c r="T847" s="363"/>
      <c r="U847" s="363"/>
      <c r="V847" s="363"/>
      <c r="W847" s="363"/>
      <c r="X847" s="363"/>
      <c r="Y847" s="363"/>
      <c r="Z847" s="363"/>
    </row>
    <row r="848" spans="1:26" ht="15.75" customHeight="1" x14ac:dyDescent="0.35">
      <c r="A848" s="363"/>
      <c r="B848" s="364"/>
      <c r="E848" s="364"/>
      <c r="H848" s="364"/>
      <c r="K848" s="363"/>
      <c r="L848" s="364"/>
      <c r="M848" s="363"/>
      <c r="N848" s="363"/>
      <c r="O848" s="363"/>
      <c r="P848" s="364"/>
      <c r="Q848" s="363"/>
      <c r="R848" s="363"/>
      <c r="S848" s="363"/>
      <c r="T848" s="363"/>
      <c r="U848" s="363"/>
      <c r="V848" s="363"/>
      <c r="W848" s="363"/>
      <c r="X848" s="363"/>
      <c r="Y848" s="363"/>
      <c r="Z848" s="363"/>
    </row>
    <row r="849" spans="1:26" ht="15.75" customHeight="1" x14ac:dyDescent="0.35">
      <c r="A849" s="363"/>
      <c r="B849" s="364"/>
      <c r="E849" s="364"/>
      <c r="H849" s="364"/>
      <c r="K849" s="363"/>
      <c r="L849" s="364"/>
      <c r="M849" s="363"/>
      <c r="N849" s="363"/>
      <c r="O849" s="363"/>
      <c r="P849" s="364"/>
      <c r="Q849" s="363"/>
      <c r="R849" s="363"/>
      <c r="S849" s="363"/>
      <c r="T849" s="363"/>
      <c r="U849" s="363"/>
      <c r="V849" s="363"/>
      <c r="W849" s="363"/>
      <c r="X849" s="363"/>
      <c r="Y849" s="363"/>
      <c r="Z849" s="363"/>
    </row>
    <row r="850" spans="1:26" ht="15.75" customHeight="1" x14ac:dyDescent="0.35">
      <c r="A850" s="363"/>
      <c r="B850" s="364"/>
      <c r="E850" s="364"/>
      <c r="H850" s="364"/>
      <c r="K850" s="363"/>
      <c r="L850" s="364"/>
      <c r="M850" s="363"/>
      <c r="N850" s="363"/>
      <c r="O850" s="363"/>
      <c r="P850" s="364"/>
      <c r="Q850" s="363"/>
      <c r="R850" s="363"/>
      <c r="S850" s="363"/>
      <c r="T850" s="363"/>
      <c r="U850" s="363"/>
      <c r="V850" s="363"/>
      <c r="W850" s="363"/>
      <c r="X850" s="363"/>
      <c r="Y850" s="363"/>
      <c r="Z850" s="363"/>
    </row>
    <row r="851" spans="1:26" ht="15.75" customHeight="1" x14ac:dyDescent="0.35">
      <c r="A851" s="363"/>
      <c r="B851" s="364"/>
      <c r="E851" s="364"/>
      <c r="H851" s="364"/>
      <c r="K851" s="363"/>
      <c r="L851" s="364"/>
      <c r="M851" s="363"/>
      <c r="N851" s="363"/>
      <c r="O851" s="363"/>
      <c r="P851" s="364"/>
      <c r="Q851" s="363"/>
      <c r="R851" s="363"/>
      <c r="S851" s="363"/>
      <c r="T851" s="363"/>
      <c r="U851" s="363"/>
      <c r="V851" s="363"/>
      <c r="W851" s="363"/>
      <c r="X851" s="363"/>
      <c r="Y851" s="363"/>
      <c r="Z851" s="363"/>
    </row>
    <row r="852" spans="1:26" ht="15.75" customHeight="1" x14ac:dyDescent="0.35">
      <c r="A852" s="363"/>
      <c r="B852" s="364"/>
      <c r="E852" s="364"/>
      <c r="H852" s="364"/>
      <c r="K852" s="363"/>
      <c r="L852" s="364"/>
      <c r="M852" s="363"/>
      <c r="N852" s="363"/>
      <c r="O852" s="363"/>
      <c r="P852" s="364"/>
      <c r="Q852" s="363"/>
      <c r="R852" s="363"/>
      <c r="S852" s="363"/>
      <c r="T852" s="363"/>
      <c r="U852" s="363"/>
      <c r="V852" s="363"/>
      <c r="W852" s="363"/>
      <c r="X852" s="363"/>
      <c r="Y852" s="363"/>
      <c r="Z852" s="363"/>
    </row>
    <row r="853" spans="1:26" ht="15.75" customHeight="1" x14ac:dyDescent="0.35">
      <c r="A853" s="363"/>
      <c r="B853" s="364"/>
      <c r="E853" s="364"/>
      <c r="H853" s="364"/>
      <c r="K853" s="363"/>
      <c r="L853" s="364"/>
      <c r="M853" s="363"/>
      <c r="N853" s="363"/>
      <c r="O853" s="363"/>
      <c r="P853" s="364"/>
      <c r="Q853" s="363"/>
      <c r="R853" s="363"/>
      <c r="S853" s="363"/>
      <c r="T853" s="363"/>
      <c r="U853" s="363"/>
      <c r="V853" s="363"/>
      <c r="W853" s="363"/>
      <c r="X853" s="363"/>
      <c r="Y853" s="363"/>
      <c r="Z853" s="363"/>
    </row>
    <row r="854" spans="1:26" ht="15.75" customHeight="1" x14ac:dyDescent="0.35">
      <c r="A854" s="363"/>
      <c r="B854" s="364"/>
      <c r="E854" s="364"/>
      <c r="H854" s="364"/>
      <c r="K854" s="363"/>
      <c r="L854" s="364"/>
      <c r="M854" s="363"/>
      <c r="N854" s="363"/>
      <c r="O854" s="363"/>
      <c r="P854" s="364"/>
      <c r="Q854" s="363"/>
      <c r="R854" s="363"/>
      <c r="S854" s="363"/>
      <c r="T854" s="363"/>
      <c r="U854" s="363"/>
      <c r="V854" s="363"/>
      <c r="W854" s="363"/>
      <c r="X854" s="363"/>
      <c r="Y854" s="363"/>
      <c r="Z854" s="363"/>
    </row>
    <row r="855" spans="1:26" ht="15.75" customHeight="1" x14ac:dyDescent="0.35">
      <c r="A855" s="363"/>
      <c r="B855" s="364"/>
      <c r="E855" s="364"/>
      <c r="H855" s="364"/>
      <c r="K855" s="363"/>
      <c r="L855" s="364"/>
      <c r="M855" s="363"/>
      <c r="N855" s="363"/>
      <c r="O855" s="363"/>
      <c r="P855" s="364"/>
      <c r="Q855" s="363"/>
      <c r="R855" s="363"/>
      <c r="S855" s="363"/>
      <c r="T855" s="363"/>
      <c r="U855" s="363"/>
      <c r="V855" s="363"/>
      <c r="W855" s="363"/>
      <c r="X855" s="363"/>
      <c r="Y855" s="363"/>
      <c r="Z855" s="363"/>
    </row>
    <row r="856" spans="1:26" ht="15.75" customHeight="1" x14ac:dyDescent="0.35">
      <c r="A856" s="363"/>
      <c r="B856" s="364"/>
      <c r="E856" s="364"/>
      <c r="H856" s="364"/>
      <c r="K856" s="363"/>
      <c r="L856" s="364"/>
      <c r="M856" s="363"/>
      <c r="N856" s="363"/>
      <c r="O856" s="363"/>
      <c r="P856" s="364"/>
      <c r="Q856" s="363"/>
      <c r="R856" s="363"/>
      <c r="S856" s="363"/>
      <c r="T856" s="363"/>
      <c r="U856" s="363"/>
      <c r="V856" s="363"/>
      <c r="W856" s="363"/>
      <c r="X856" s="363"/>
      <c r="Y856" s="363"/>
      <c r="Z856" s="363"/>
    </row>
    <row r="857" spans="1:26" ht="15.75" customHeight="1" x14ac:dyDescent="0.35">
      <c r="A857" s="363"/>
      <c r="B857" s="364"/>
      <c r="E857" s="364"/>
      <c r="H857" s="364"/>
      <c r="K857" s="363"/>
      <c r="L857" s="364"/>
      <c r="M857" s="363"/>
      <c r="N857" s="363"/>
      <c r="O857" s="363"/>
      <c r="P857" s="364"/>
      <c r="Q857" s="363"/>
      <c r="R857" s="363"/>
      <c r="S857" s="363"/>
      <c r="T857" s="363"/>
      <c r="U857" s="363"/>
      <c r="V857" s="363"/>
      <c r="W857" s="363"/>
      <c r="X857" s="363"/>
      <c r="Y857" s="363"/>
      <c r="Z857" s="363"/>
    </row>
    <row r="858" spans="1:26" ht="15.75" customHeight="1" x14ac:dyDescent="0.35">
      <c r="A858" s="363"/>
      <c r="B858" s="364"/>
      <c r="E858" s="364"/>
      <c r="H858" s="364"/>
      <c r="K858" s="363"/>
      <c r="L858" s="364"/>
      <c r="M858" s="363"/>
      <c r="N858" s="363"/>
      <c r="O858" s="363"/>
      <c r="P858" s="364"/>
      <c r="Q858" s="363"/>
      <c r="R858" s="363"/>
      <c r="S858" s="363"/>
      <c r="T858" s="363"/>
      <c r="U858" s="363"/>
      <c r="V858" s="363"/>
      <c r="W858" s="363"/>
      <c r="X858" s="363"/>
      <c r="Y858" s="363"/>
      <c r="Z858" s="363"/>
    </row>
    <row r="859" spans="1:26" ht="15.75" customHeight="1" x14ac:dyDescent="0.35">
      <c r="A859" s="363"/>
      <c r="B859" s="364"/>
      <c r="E859" s="364"/>
      <c r="H859" s="364"/>
      <c r="K859" s="363"/>
      <c r="L859" s="364"/>
      <c r="M859" s="363"/>
      <c r="N859" s="363"/>
      <c r="O859" s="363"/>
      <c r="P859" s="364"/>
      <c r="Q859" s="363"/>
      <c r="R859" s="363"/>
      <c r="S859" s="363"/>
      <c r="T859" s="363"/>
      <c r="U859" s="363"/>
      <c r="V859" s="363"/>
      <c r="W859" s="363"/>
      <c r="X859" s="363"/>
      <c r="Y859" s="363"/>
      <c r="Z859" s="363"/>
    </row>
    <row r="860" spans="1:26" ht="15.75" customHeight="1" x14ac:dyDescent="0.35">
      <c r="A860" s="363"/>
      <c r="B860" s="364"/>
      <c r="E860" s="364"/>
      <c r="H860" s="364"/>
      <c r="K860" s="363"/>
      <c r="L860" s="364"/>
      <c r="M860" s="363"/>
      <c r="N860" s="363"/>
      <c r="O860" s="363"/>
      <c r="P860" s="364"/>
      <c r="Q860" s="363"/>
      <c r="R860" s="363"/>
      <c r="S860" s="363"/>
      <c r="T860" s="363"/>
      <c r="U860" s="363"/>
      <c r="V860" s="363"/>
      <c r="W860" s="363"/>
      <c r="X860" s="363"/>
      <c r="Y860" s="363"/>
      <c r="Z860" s="363"/>
    </row>
    <row r="861" spans="1:26" ht="15.75" customHeight="1" x14ac:dyDescent="0.35">
      <c r="A861" s="363"/>
      <c r="B861" s="364"/>
      <c r="E861" s="364"/>
      <c r="H861" s="364"/>
      <c r="K861" s="363"/>
      <c r="L861" s="364"/>
      <c r="M861" s="363"/>
      <c r="N861" s="363"/>
      <c r="O861" s="363"/>
      <c r="P861" s="364"/>
      <c r="Q861" s="363"/>
      <c r="R861" s="363"/>
      <c r="S861" s="363"/>
      <c r="T861" s="363"/>
      <c r="U861" s="363"/>
      <c r="V861" s="363"/>
      <c r="W861" s="363"/>
      <c r="X861" s="363"/>
      <c r="Y861" s="363"/>
      <c r="Z861" s="363"/>
    </row>
    <row r="862" spans="1:26" ht="15.75" customHeight="1" x14ac:dyDescent="0.35">
      <c r="A862" s="363"/>
      <c r="B862" s="364"/>
      <c r="E862" s="364"/>
      <c r="H862" s="364"/>
      <c r="K862" s="363"/>
      <c r="L862" s="364"/>
      <c r="M862" s="363"/>
      <c r="N862" s="363"/>
      <c r="O862" s="363"/>
      <c r="P862" s="364"/>
      <c r="Q862" s="363"/>
      <c r="R862" s="363"/>
      <c r="S862" s="363"/>
      <c r="T862" s="363"/>
      <c r="U862" s="363"/>
      <c r="V862" s="363"/>
      <c r="W862" s="363"/>
      <c r="X862" s="363"/>
      <c r="Y862" s="363"/>
      <c r="Z862" s="363"/>
    </row>
    <row r="863" spans="1:26" ht="15.75" customHeight="1" x14ac:dyDescent="0.35">
      <c r="A863" s="363"/>
      <c r="B863" s="364"/>
      <c r="E863" s="364"/>
      <c r="H863" s="364"/>
      <c r="K863" s="363"/>
      <c r="L863" s="364"/>
      <c r="M863" s="363"/>
      <c r="N863" s="363"/>
      <c r="O863" s="363"/>
      <c r="P863" s="364"/>
      <c r="Q863" s="363"/>
      <c r="R863" s="363"/>
      <c r="S863" s="363"/>
      <c r="T863" s="363"/>
      <c r="U863" s="363"/>
      <c r="V863" s="363"/>
      <c r="W863" s="363"/>
      <c r="X863" s="363"/>
      <c r="Y863" s="363"/>
      <c r="Z863" s="363"/>
    </row>
    <row r="864" spans="1:26" ht="15.75" customHeight="1" x14ac:dyDescent="0.35">
      <c r="A864" s="363"/>
      <c r="B864" s="364"/>
      <c r="E864" s="364"/>
      <c r="H864" s="364"/>
      <c r="K864" s="363"/>
      <c r="L864" s="364"/>
      <c r="M864" s="363"/>
      <c r="N864" s="363"/>
      <c r="O864" s="363"/>
      <c r="P864" s="364"/>
      <c r="Q864" s="363"/>
      <c r="R864" s="363"/>
      <c r="S864" s="363"/>
      <c r="T864" s="363"/>
      <c r="U864" s="363"/>
      <c r="V864" s="363"/>
      <c r="W864" s="363"/>
      <c r="X864" s="363"/>
      <c r="Y864" s="363"/>
      <c r="Z864" s="363"/>
    </row>
    <row r="865" spans="1:26" ht="15.75" customHeight="1" x14ac:dyDescent="0.35">
      <c r="A865" s="363"/>
      <c r="B865" s="364"/>
      <c r="E865" s="364"/>
      <c r="H865" s="364"/>
      <c r="K865" s="363"/>
      <c r="L865" s="364"/>
      <c r="M865" s="363"/>
      <c r="N865" s="363"/>
      <c r="O865" s="363"/>
      <c r="P865" s="364"/>
      <c r="Q865" s="363"/>
      <c r="R865" s="363"/>
      <c r="S865" s="363"/>
      <c r="T865" s="363"/>
      <c r="U865" s="363"/>
      <c r="V865" s="363"/>
      <c r="W865" s="363"/>
      <c r="X865" s="363"/>
      <c r="Y865" s="363"/>
      <c r="Z865" s="363"/>
    </row>
    <row r="866" spans="1:26" ht="15.75" customHeight="1" x14ac:dyDescent="0.35">
      <c r="A866" s="363"/>
      <c r="B866" s="364"/>
      <c r="E866" s="364"/>
      <c r="H866" s="364"/>
      <c r="K866" s="363"/>
      <c r="L866" s="364"/>
      <c r="M866" s="363"/>
      <c r="N866" s="363"/>
      <c r="O866" s="363"/>
      <c r="P866" s="364"/>
      <c r="Q866" s="363"/>
      <c r="R866" s="363"/>
      <c r="S866" s="363"/>
      <c r="T866" s="363"/>
      <c r="U866" s="363"/>
      <c r="V866" s="363"/>
      <c r="W866" s="363"/>
      <c r="X866" s="363"/>
      <c r="Y866" s="363"/>
      <c r="Z866" s="363"/>
    </row>
    <row r="867" spans="1:26" ht="15.75" customHeight="1" x14ac:dyDescent="0.35">
      <c r="A867" s="363"/>
      <c r="B867" s="364"/>
      <c r="E867" s="364"/>
      <c r="H867" s="364"/>
      <c r="K867" s="363"/>
      <c r="L867" s="364"/>
      <c r="M867" s="363"/>
      <c r="N867" s="363"/>
      <c r="O867" s="363"/>
      <c r="P867" s="364"/>
      <c r="Q867" s="363"/>
      <c r="R867" s="363"/>
      <c r="S867" s="363"/>
      <c r="T867" s="363"/>
      <c r="U867" s="363"/>
      <c r="V867" s="363"/>
      <c r="W867" s="363"/>
      <c r="X867" s="363"/>
      <c r="Y867" s="363"/>
      <c r="Z867" s="363"/>
    </row>
    <row r="868" spans="1:26" ht="15.75" customHeight="1" x14ac:dyDescent="0.35">
      <c r="A868" s="363"/>
      <c r="B868" s="364"/>
      <c r="E868" s="364"/>
      <c r="H868" s="364"/>
      <c r="K868" s="363"/>
      <c r="L868" s="364"/>
      <c r="M868" s="363"/>
      <c r="N868" s="363"/>
      <c r="O868" s="363"/>
      <c r="P868" s="364"/>
      <c r="Q868" s="363"/>
      <c r="R868" s="363"/>
      <c r="S868" s="363"/>
      <c r="T868" s="363"/>
      <c r="U868" s="363"/>
      <c r="V868" s="363"/>
      <c r="W868" s="363"/>
      <c r="X868" s="363"/>
      <c r="Y868" s="363"/>
      <c r="Z868" s="363"/>
    </row>
    <row r="869" spans="1:26" ht="15.75" customHeight="1" x14ac:dyDescent="0.35">
      <c r="A869" s="363"/>
      <c r="B869" s="364"/>
      <c r="E869" s="364"/>
      <c r="H869" s="364"/>
      <c r="K869" s="363"/>
      <c r="L869" s="364"/>
      <c r="M869" s="363"/>
      <c r="N869" s="363"/>
      <c r="O869" s="363"/>
      <c r="P869" s="364"/>
      <c r="Q869" s="363"/>
      <c r="R869" s="363"/>
      <c r="S869" s="363"/>
      <c r="T869" s="363"/>
      <c r="U869" s="363"/>
      <c r="V869" s="363"/>
      <c r="W869" s="363"/>
      <c r="X869" s="363"/>
      <c r="Y869" s="363"/>
      <c r="Z869" s="363"/>
    </row>
    <row r="870" spans="1:26" ht="15.75" customHeight="1" x14ac:dyDescent="0.35">
      <c r="A870" s="363"/>
      <c r="B870" s="364"/>
      <c r="E870" s="364"/>
      <c r="H870" s="364"/>
      <c r="K870" s="363"/>
      <c r="L870" s="364"/>
      <c r="M870" s="363"/>
      <c r="N870" s="363"/>
      <c r="O870" s="363"/>
      <c r="P870" s="364"/>
      <c r="Q870" s="363"/>
      <c r="R870" s="363"/>
      <c r="S870" s="363"/>
      <c r="T870" s="363"/>
      <c r="U870" s="363"/>
      <c r="V870" s="363"/>
      <c r="W870" s="363"/>
      <c r="X870" s="363"/>
      <c r="Y870" s="363"/>
      <c r="Z870" s="363"/>
    </row>
    <row r="871" spans="1:26" ht="15.75" customHeight="1" x14ac:dyDescent="0.35">
      <c r="A871" s="363"/>
      <c r="B871" s="364"/>
      <c r="E871" s="364"/>
      <c r="H871" s="364"/>
      <c r="K871" s="363"/>
      <c r="L871" s="364"/>
      <c r="M871" s="363"/>
      <c r="N871" s="363"/>
      <c r="O871" s="363"/>
      <c r="P871" s="364"/>
      <c r="Q871" s="363"/>
      <c r="R871" s="363"/>
      <c r="S871" s="363"/>
      <c r="T871" s="363"/>
      <c r="U871" s="363"/>
      <c r="V871" s="363"/>
      <c r="W871" s="363"/>
      <c r="X871" s="363"/>
      <c r="Y871" s="363"/>
      <c r="Z871" s="363"/>
    </row>
    <row r="872" spans="1:26" ht="15.75" customHeight="1" x14ac:dyDescent="0.35">
      <c r="A872" s="363"/>
      <c r="B872" s="364"/>
      <c r="E872" s="364"/>
      <c r="H872" s="364"/>
      <c r="K872" s="363"/>
      <c r="L872" s="364"/>
      <c r="M872" s="363"/>
      <c r="N872" s="363"/>
      <c r="O872" s="363"/>
      <c r="P872" s="364"/>
      <c r="Q872" s="363"/>
      <c r="R872" s="363"/>
      <c r="S872" s="363"/>
      <c r="T872" s="363"/>
      <c r="U872" s="363"/>
      <c r="V872" s="363"/>
      <c r="W872" s="363"/>
      <c r="X872" s="363"/>
      <c r="Y872" s="363"/>
      <c r="Z872" s="363"/>
    </row>
    <row r="873" spans="1:26" ht="15.75" customHeight="1" x14ac:dyDescent="0.35">
      <c r="A873" s="363"/>
      <c r="B873" s="364"/>
      <c r="E873" s="364"/>
      <c r="H873" s="364"/>
      <c r="K873" s="363"/>
      <c r="L873" s="364"/>
      <c r="M873" s="363"/>
      <c r="N873" s="363"/>
      <c r="O873" s="363"/>
      <c r="P873" s="364"/>
      <c r="Q873" s="363"/>
      <c r="R873" s="363"/>
      <c r="S873" s="363"/>
      <c r="T873" s="363"/>
      <c r="U873" s="363"/>
      <c r="V873" s="363"/>
      <c r="W873" s="363"/>
      <c r="X873" s="363"/>
      <c r="Y873" s="363"/>
      <c r="Z873" s="363"/>
    </row>
    <row r="874" spans="1:26" ht="15.75" customHeight="1" x14ac:dyDescent="0.35">
      <c r="A874" s="363"/>
      <c r="B874" s="364"/>
      <c r="E874" s="364"/>
      <c r="H874" s="364"/>
      <c r="K874" s="363"/>
      <c r="L874" s="364"/>
      <c r="M874" s="363"/>
      <c r="N874" s="363"/>
      <c r="O874" s="363"/>
      <c r="P874" s="364"/>
      <c r="Q874" s="363"/>
      <c r="R874" s="363"/>
      <c r="S874" s="363"/>
      <c r="T874" s="363"/>
      <c r="U874" s="363"/>
      <c r="V874" s="363"/>
      <c r="W874" s="363"/>
      <c r="X874" s="363"/>
      <c r="Y874" s="363"/>
      <c r="Z874" s="363"/>
    </row>
    <row r="875" spans="1:26" ht="15.75" customHeight="1" x14ac:dyDescent="0.35">
      <c r="A875" s="363"/>
      <c r="B875" s="364"/>
      <c r="E875" s="364"/>
      <c r="H875" s="364"/>
      <c r="K875" s="363"/>
      <c r="L875" s="364"/>
      <c r="M875" s="363"/>
      <c r="N875" s="363"/>
      <c r="O875" s="363"/>
      <c r="P875" s="364"/>
      <c r="Q875" s="363"/>
      <c r="R875" s="363"/>
      <c r="S875" s="363"/>
      <c r="T875" s="363"/>
      <c r="U875" s="363"/>
      <c r="V875" s="363"/>
      <c r="W875" s="363"/>
      <c r="X875" s="363"/>
      <c r="Y875" s="363"/>
      <c r="Z875" s="363"/>
    </row>
    <row r="876" spans="1:26" ht="15.75" customHeight="1" x14ac:dyDescent="0.35">
      <c r="A876" s="363"/>
      <c r="B876" s="364"/>
      <c r="E876" s="364"/>
      <c r="H876" s="364"/>
      <c r="K876" s="363"/>
      <c r="L876" s="364"/>
      <c r="M876" s="363"/>
      <c r="N876" s="363"/>
      <c r="O876" s="363"/>
      <c r="P876" s="364"/>
      <c r="Q876" s="363"/>
      <c r="R876" s="363"/>
      <c r="S876" s="363"/>
      <c r="T876" s="363"/>
      <c r="U876" s="363"/>
      <c r="V876" s="363"/>
      <c r="W876" s="363"/>
      <c r="X876" s="363"/>
      <c r="Y876" s="363"/>
      <c r="Z876" s="363"/>
    </row>
    <row r="877" spans="1:26" ht="15.75" customHeight="1" x14ac:dyDescent="0.35">
      <c r="A877" s="363"/>
      <c r="B877" s="364"/>
      <c r="E877" s="364"/>
      <c r="H877" s="364"/>
      <c r="K877" s="363"/>
      <c r="L877" s="364"/>
      <c r="M877" s="363"/>
      <c r="N877" s="363"/>
      <c r="O877" s="363"/>
      <c r="P877" s="364"/>
      <c r="Q877" s="363"/>
      <c r="R877" s="363"/>
      <c r="S877" s="363"/>
      <c r="T877" s="363"/>
      <c r="U877" s="363"/>
      <c r="V877" s="363"/>
      <c r="W877" s="363"/>
      <c r="X877" s="363"/>
      <c r="Y877" s="363"/>
      <c r="Z877" s="363"/>
    </row>
    <row r="878" spans="1:26" ht="15.75" customHeight="1" x14ac:dyDescent="0.35">
      <c r="A878" s="363"/>
      <c r="B878" s="364"/>
      <c r="E878" s="364"/>
      <c r="H878" s="364"/>
      <c r="K878" s="363"/>
      <c r="L878" s="364"/>
      <c r="M878" s="363"/>
      <c r="N878" s="363"/>
      <c r="O878" s="363"/>
      <c r="P878" s="364"/>
      <c r="Q878" s="363"/>
      <c r="R878" s="363"/>
      <c r="S878" s="363"/>
      <c r="T878" s="363"/>
      <c r="U878" s="363"/>
      <c r="V878" s="363"/>
      <c r="W878" s="363"/>
      <c r="X878" s="363"/>
      <c r="Y878" s="363"/>
      <c r="Z878" s="363"/>
    </row>
    <row r="879" spans="1:26" ht="15.75" customHeight="1" x14ac:dyDescent="0.35">
      <c r="A879" s="363"/>
      <c r="B879" s="364"/>
      <c r="E879" s="364"/>
      <c r="H879" s="364"/>
      <c r="K879" s="363"/>
      <c r="L879" s="364"/>
      <c r="M879" s="363"/>
      <c r="N879" s="363"/>
      <c r="O879" s="363"/>
      <c r="P879" s="364"/>
      <c r="Q879" s="363"/>
      <c r="R879" s="363"/>
      <c r="S879" s="363"/>
      <c r="T879" s="363"/>
      <c r="U879" s="363"/>
      <c r="V879" s="363"/>
      <c r="W879" s="363"/>
      <c r="X879" s="363"/>
      <c r="Y879" s="363"/>
      <c r="Z879" s="363"/>
    </row>
    <row r="880" spans="1:26" ht="15.75" customHeight="1" x14ac:dyDescent="0.35">
      <c r="A880" s="363"/>
      <c r="B880" s="364"/>
      <c r="E880" s="364"/>
      <c r="H880" s="364"/>
      <c r="K880" s="363"/>
      <c r="L880" s="364"/>
      <c r="M880" s="363"/>
      <c r="N880" s="363"/>
      <c r="O880" s="363"/>
      <c r="P880" s="364"/>
      <c r="Q880" s="363"/>
      <c r="R880" s="363"/>
      <c r="S880" s="363"/>
      <c r="T880" s="363"/>
      <c r="U880" s="363"/>
      <c r="V880" s="363"/>
      <c r="W880" s="363"/>
      <c r="X880" s="363"/>
      <c r="Y880" s="363"/>
      <c r="Z880" s="363"/>
    </row>
    <row r="881" spans="1:26" ht="15.75" customHeight="1" x14ac:dyDescent="0.35">
      <c r="A881" s="363"/>
      <c r="B881" s="364"/>
      <c r="E881" s="364"/>
      <c r="H881" s="364"/>
      <c r="K881" s="363"/>
      <c r="L881" s="364"/>
      <c r="M881" s="363"/>
      <c r="N881" s="363"/>
      <c r="O881" s="363"/>
      <c r="P881" s="364"/>
      <c r="Q881" s="363"/>
      <c r="R881" s="363"/>
      <c r="S881" s="363"/>
      <c r="T881" s="363"/>
      <c r="U881" s="363"/>
      <c r="V881" s="363"/>
      <c r="W881" s="363"/>
      <c r="X881" s="363"/>
      <c r="Y881" s="363"/>
      <c r="Z881" s="363"/>
    </row>
    <row r="882" spans="1:26" ht="15.75" customHeight="1" x14ac:dyDescent="0.35">
      <c r="A882" s="363"/>
      <c r="B882" s="364"/>
      <c r="E882" s="364"/>
      <c r="H882" s="364"/>
      <c r="K882" s="363"/>
      <c r="L882" s="364"/>
      <c r="M882" s="363"/>
      <c r="N882" s="363"/>
      <c r="O882" s="363"/>
      <c r="P882" s="364"/>
      <c r="Q882" s="363"/>
      <c r="R882" s="363"/>
      <c r="S882" s="363"/>
      <c r="T882" s="363"/>
      <c r="U882" s="363"/>
      <c r="V882" s="363"/>
      <c r="W882" s="363"/>
      <c r="X882" s="363"/>
      <c r="Y882" s="363"/>
      <c r="Z882" s="363"/>
    </row>
    <row r="883" spans="1:26" ht="15.75" customHeight="1" x14ac:dyDescent="0.35">
      <c r="A883" s="363"/>
      <c r="B883" s="364"/>
      <c r="E883" s="364"/>
      <c r="H883" s="364"/>
      <c r="K883" s="363"/>
      <c r="L883" s="364"/>
      <c r="M883" s="363"/>
      <c r="N883" s="363"/>
      <c r="O883" s="363"/>
      <c r="P883" s="364"/>
      <c r="Q883" s="363"/>
      <c r="R883" s="363"/>
      <c r="S883" s="363"/>
      <c r="T883" s="363"/>
      <c r="U883" s="363"/>
      <c r="V883" s="363"/>
      <c r="W883" s="363"/>
      <c r="X883" s="363"/>
      <c r="Y883" s="363"/>
      <c r="Z883" s="363"/>
    </row>
    <row r="884" spans="1:26" ht="15.75" customHeight="1" x14ac:dyDescent="0.35">
      <c r="A884" s="363"/>
      <c r="B884" s="364"/>
      <c r="E884" s="364"/>
      <c r="H884" s="364"/>
      <c r="K884" s="363"/>
      <c r="L884" s="364"/>
      <c r="M884" s="363"/>
      <c r="N884" s="363"/>
      <c r="O884" s="363"/>
      <c r="P884" s="364"/>
      <c r="Q884" s="363"/>
      <c r="R884" s="363"/>
      <c r="S884" s="363"/>
      <c r="T884" s="363"/>
      <c r="U884" s="363"/>
      <c r="V884" s="363"/>
      <c r="W884" s="363"/>
      <c r="X884" s="363"/>
      <c r="Y884" s="363"/>
      <c r="Z884" s="363"/>
    </row>
    <row r="885" spans="1:26" ht="15.75" customHeight="1" x14ac:dyDescent="0.35">
      <c r="A885" s="363"/>
      <c r="B885" s="364"/>
      <c r="E885" s="364"/>
      <c r="H885" s="364"/>
      <c r="K885" s="363"/>
      <c r="L885" s="364"/>
      <c r="M885" s="363"/>
      <c r="N885" s="363"/>
      <c r="O885" s="363"/>
      <c r="P885" s="364"/>
      <c r="Q885" s="363"/>
      <c r="R885" s="363"/>
      <c r="S885" s="363"/>
      <c r="T885" s="363"/>
      <c r="U885" s="363"/>
      <c r="V885" s="363"/>
      <c r="W885" s="363"/>
      <c r="X885" s="363"/>
      <c r="Y885" s="363"/>
      <c r="Z885" s="363"/>
    </row>
    <row r="886" spans="1:26" ht="15.75" customHeight="1" x14ac:dyDescent="0.35">
      <c r="A886" s="363"/>
      <c r="B886" s="364"/>
      <c r="E886" s="364"/>
      <c r="H886" s="364"/>
      <c r="K886" s="363"/>
      <c r="L886" s="364"/>
      <c r="M886" s="363"/>
      <c r="N886" s="363"/>
      <c r="O886" s="363"/>
      <c r="P886" s="364"/>
      <c r="Q886" s="363"/>
      <c r="R886" s="363"/>
      <c r="S886" s="363"/>
      <c r="T886" s="363"/>
      <c r="U886" s="363"/>
      <c r="V886" s="363"/>
      <c r="W886" s="363"/>
      <c r="X886" s="363"/>
      <c r="Y886" s="363"/>
      <c r="Z886" s="363"/>
    </row>
    <row r="887" spans="1:26" ht="15.75" customHeight="1" x14ac:dyDescent="0.35">
      <c r="A887" s="363"/>
      <c r="B887" s="364"/>
      <c r="E887" s="364"/>
      <c r="H887" s="364"/>
      <c r="K887" s="363"/>
      <c r="L887" s="364"/>
      <c r="M887" s="363"/>
      <c r="N887" s="363"/>
      <c r="O887" s="363"/>
      <c r="P887" s="364"/>
      <c r="Q887" s="363"/>
      <c r="R887" s="363"/>
      <c r="S887" s="363"/>
      <c r="T887" s="363"/>
      <c r="U887" s="363"/>
      <c r="V887" s="363"/>
      <c r="W887" s="363"/>
      <c r="X887" s="363"/>
      <c r="Y887" s="363"/>
      <c r="Z887" s="363"/>
    </row>
    <row r="888" spans="1:26" ht="15.75" customHeight="1" x14ac:dyDescent="0.35">
      <c r="A888" s="363"/>
      <c r="B888" s="364"/>
      <c r="E888" s="364"/>
      <c r="H888" s="364"/>
      <c r="K888" s="363"/>
      <c r="L888" s="364"/>
      <c r="M888" s="363"/>
      <c r="N888" s="363"/>
      <c r="O888" s="363"/>
      <c r="P888" s="364"/>
      <c r="Q888" s="363"/>
      <c r="R888" s="363"/>
      <c r="S888" s="363"/>
      <c r="T888" s="363"/>
      <c r="U888" s="363"/>
      <c r="V888" s="363"/>
      <c r="W888" s="363"/>
      <c r="X888" s="363"/>
      <c r="Y888" s="363"/>
      <c r="Z888" s="363"/>
    </row>
    <row r="889" spans="1:26" ht="15.75" customHeight="1" x14ac:dyDescent="0.35">
      <c r="A889" s="363"/>
      <c r="B889" s="364"/>
      <c r="E889" s="364"/>
      <c r="H889" s="364"/>
      <c r="K889" s="363"/>
      <c r="L889" s="364"/>
      <c r="M889" s="363"/>
      <c r="N889" s="363"/>
      <c r="O889" s="363"/>
      <c r="P889" s="364"/>
      <c r="Q889" s="363"/>
      <c r="R889" s="363"/>
      <c r="S889" s="363"/>
      <c r="T889" s="363"/>
      <c r="U889" s="363"/>
      <c r="V889" s="363"/>
      <c r="W889" s="363"/>
      <c r="X889" s="363"/>
      <c r="Y889" s="363"/>
      <c r="Z889" s="363"/>
    </row>
    <row r="890" spans="1:26" ht="15.75" customHeight="1" x14ac:dyDescent="0.35">
      <c r="A890" s="363"/>
      <c r="B890" s="364"/>
      <c r="E890" s="364"/>
      <c r="H890" s="364"/>
      <c r="K890" s="363"/>
      <c r="L890" s="364"/>
      <c r="M890" s="363"/>
      <c r="N890" s="363"/>
      <c r="O890" s="363"/>
      <c r="P890" s="364"/>
      <c r="Q890" s="363"/>
      <c r="R890" s="363"/>
      <c r="S890" s="363"/>
      <c r="T890" s="363"/>
      <c r="U890" s="363"/>
      <c r="V890" s="363"/>
      <c r="W890" s="363"/>
      <c r="X890" s="363"/>
      <c r="Y890" s="363"/>
      <c r="Z890" s="363"/>
    </row>
    <row r="891" spans="1:26" ht="15.75" customHeight="1" x14ac:dyDescent="0.35">
      <c r="A891" s="363"/>
      <c r="B891" s="364"/>
      <c r="E891" s="364"/>
      <c r="H891" s="364"/>
      <c r="K891" s="363"/>
      <c r="L891" s="364"/>
      <c r="M891" s="363"/>
      <c r="N891" s="363"/>
      <c r="O891" s="363"/>
      <c r="P891" s="364"/>
      <c r="Q891" s="363"/>
      <c r="R891" s="363"/>
      <c r="S891" s="363"/>
      <c r="T891" s="363"/>
      <c r="U891" s="363"/>
      <c r="V891" s="363"/>
      <c r="W891" s="363"/>
      <c r="X891" s="363"/>
      <c r="Y891" s="363"/>
      <c r="Z891" s="363"/>
    </row>
    <row r="892" spans="1:26" ht="15.75" customHeight="1" x14ac:dyDescent="0.35">
      <c r="A892" s="363"/>
      <c r="B892" s="364"/>
      <c r="E892" s="364"/>
      <c r="H892" s="364"/>
      <c r="K892" s="363"/>
      <c r="L892" s="364"/>
      <c r="M892" s="363"/>
      <c r="N892" s="363"/>
      <c r="O892" s="363"/>
      <c r="P892" s="364"/>
      <c r="Q892" s="363"/>
      <c r="R892" s="363"/>
      <c r="S892" s="363"/>
      <c r="T892" s="363"/>
      <c r="U892" s="363"/>
      <c r="V892" s="363"/>
      <c r="W892" s="363"/>
      <c r="X892" s="363"/>
      <c r="Y892" s="363"/>
      <c r="Z892" s="363"/>
    </row>
    <row r="893" spans="1:26" ht="15.75" customHeight="1" x14ac:dyDescent="0.35">
      <c r="A893" s="363"/>
      <c r="B893" s="364"/>
      <c r="E893" s="364"/>
      <c r="H893" s="364"/>
      <c r="K893" s="363"/>
      <c r="L893" s="364"/>
      <c r="M893" s="363"/>
      <c r="N893" s="363"/>
      <c r="O893" s="363"/>
      <c r="P893" s="364"/>
      <c r="Q893" s="363"/>
      <c r="R893" s="363"/>
      <c r="S893" s="363"/>
      <c r="T893" s="363"/>
      <c r="U893" s="363"/>
      <c r="V893" s="363"/>
      <c r="W893" s="363"/>
      <c r="X893" s="363"/>
      <c r="Y893" s="363"/>
      <c r="Z893" s="363"/>
    </row>
    <row r="894" spans="1:26" ht="15.75" customHeight="1" x14ac:dyDescent="0.35">
      <c r="A894" s="363"/>
      <c r="B894" s="364"/>
      <c r="E894" s="364"/>
      <c r="H894" s="364"/>
      <c r="K894" s="363"/>
      <c r="L894" s="364"/>
      <c r="M894" s="363"/>
      <c r="N894" s="363"/>
      <c r="O894" s="363"/>
      <c r="P894" s="364"/>
      <c r="Q894" s="363"/>
      <c r="R894" s="363"/>
      <c r="S894" s="363"/>
      <c r="T894" s="363"/>
      <c r="U894" s="363"/>
      <c r="V894" s="363"/>
      <c r="W894" s="363"/>
      <c r="X894" s="363"/>
      <c r="Y894" s="363"/>
      <c r="Z894" s="363"/>
    </row>
    <row r="895" spans="1:26" ht="15.75" customHeight="1" x14ac:dyDescent="0.35">
      <c r="A895" s="363"/>
      <c r="B895" s="364"/>
      <c r="E895" s="364"/>
      <c r="H895" s="364"/>
      <c r="K895" s="363"/>
      <c r="L895" s="364"/>
      <c r="M895" s="363"/>
      <c r="N895" s="363"/>
      <c r="O895" s="363"/>
      <c r="P895" s="364"/>
      <c r="Q895" s="363"/>
      <c r="R895" s="363"/>
      <c r="S895" s="363"/>
      <c r="T895" s="363"/>
      <c r="U895" s="363"/>
      <c r="V895" s="363"/>
      <c r="W895" s="363"/>
      <c r="X895" s="363"/>
      <c r="Y895" s="363"/>
      <c r="Z895" s="363"/>
    </row>
    <row r="896" spans="1:26" ht="15.75" customHeight="1" x14ac:dyDescent="0.35">
      <c r="A896" s="363"/>
      <c r="B896" s="364"/>
      <c r="E896" s="364"/>
      <c r="H896" s="364"/>
      <c r="K896" s="363"/>
      <c r="L896" s="364"/>
      <c r="M896" s="363"/>
      <c r="N896" s="363"/>
      <c r="O896" s="363"/>
      <c r="P896" s="364"/>
      <c r="Q896" s="363"/>
      <c r="R896" s="363"/>
      <c r="S896" s="363"/>
      <c r="T896" s="363"/>
      <c r="U896" s="363"/>
      <c r="V896" s="363"/>
      <c r="W896" s="363"/>
      <c r="X896" s="363"/>
      <c r="Y896" s="363"/>
      <c r="Z896" s="363"/>
    </row>
    <row r="897" spans="1:26" ht="15.75" customHeight="1" x14ac:dyDescent="0.35">
      <c r="A897" s="363"/>
      <c r="B897" s="364"/>
      <c r="E897" s="364"/>
      <c r="H897" s="364"/>
      <c r="K897" s="363"/>
      <c r="L897" s="364"/>
      <c r="M897" s="363"/>
      <c r="N897" s="363"/>
      <c r="O897" s="363"/>
      <c r="P897" s="364"/>
      <c r="Q897" s="363"/>
      <c r="R897" s="363"/>
      <c r="S897" s="363"/>
      <c r="T897" s="363"/>
      <c r="U897" s="363"/>
      <c r="V897" s="363"/>
      <c r="W897" s="363"/>
      <c r="X897" s="363"/>
      <c r="Y897" s="363"/>
      <c r="Z897" s="363"/>
    </row>
    <row r="898" spans="1:26" ht="15.75" customHeight="1" x14ac:dyDescent="0.35">
      <c r="A898" s="363"/>
      <c r="B898" s="364"/>
      <c r="E898" s="364"/>
      <c r="H898" s="364"/>
      <c r="K898" s="363"/>
      <c r="L898" s="364"/>
      <c r="M898" s="363"/>
      <c r="N898" s="363"/>
      <c r="O898" s="363"/>
      <c r="P898" s="364"/>
      <c r="Q898" s="363"/>
      <c r="R898" s="363"/>
      <c r="S898" s="363"/>
      <c r="T898" s="363"/>
      <c r="U898" s="363"/>
      <c r="V898" s="363"/>
      <c r="W898" s="363"/>
      <c r="X898" s="363"/>
      <c r="Y898" s="363"/>
      <c r="Z898" s="363"/>
    </row>
    <row r="899" spans="1:26" ht="15.75" customHeight="1" x14ac:dyDescent="0.35">
      <c r="A899" s="363"/>
      <c r="B899" s="364"/>
      <c r="E899" s="364"/>
      <c r="H899" s="364"/>
      <c r="K899" s="363"/>
      <c r="L899" s="364"/>
      <c r="M899" s="363"/>
      <c r="N899" s="363"/>
      <c r="O899" s="363"/>
      <c r="P899" s="364"/>
      <c r="Q899" s="363"/>
      <c r="R899" s="363"/>
      <c r="S899" s="363"/>
      <c r="T899" s="363"/>
      <c r="U899" s="363"/>
      <c r="V899" s="363"/>
      <c r="W899" s="363"/>
      <c r="X899" s="363"/>
      <c r="Y899" s="363"/>
      <c r="Z899" s="363"/>
    </row>
    <row r="900" spans="1:26" ht="15.75" customHeight="1" x14ac:dyDescent="0.35">
      <c r="A900" s="363"/>
      <c r="B900" s="364"/>
      <c r="E900" s="364"/>
      <c r="H900" s="364"/>
      <c r="K900" s="363"/>
      <c r="L900" s="364"/>
      <c r="M900" s="363"/>
      <c r="N900" s="363"/>
      <c r="O900" s="363"/>
      <c r="P900" s="364"/>
      <c r="Q900" s="363"/>
      <c r="R900" s="363"/>
      <c r="S900" s="363"/>
      <c r="T900" s="363"/>
      <c r="U900" s="363"/>
      <c r="V900" s="363"/>
      <c r="W900" s="363"/>
      <c r="X900" s="363"/>
      <c r="Y900" s="363"/>
      <c r="Z900" s="363"/>
    </row>
    <row r="901" spans="1:26" ht="15.75" customHeight="1" x14ac:dyDescent="0.35">
      <c r="A901" s="363"/>
      <c r="B901" s="364"/>
      <c r="E901" s="364"/>
      <c r="H901" s="364"/>
      <c r="K901" s="363"/>
      <c r="L901" s="364"/>
      <c r="M901" s="363"/>
      <c r="N901" s="363"/>
      <c r="O901" s="363"/>
      <c r="P901" s="364"/>
      <c r="Q901" s="363"/>
      <c r="R901" s="363"/>
      <c r="S901" s="363"/>
      <c r="T901" s="363"/>
      <c r="U901" s="363"/>
      <c r="V901" s="363"/>
      <c r="W901" s="363"/>
      <c r="X901" s="363"/>
      <c r="Y901" s="363"/>
      <c r="Z901" s="363"/>
    </row>
    <row r="902" spans="1:26" ht="15.75" customHeight="1" x14ac:dyDescent="0.35">
      <c r="A902" s="363"/>
      <c r="B902" s="364"/>
      <c r="E902" s="364"/>
      <c r="H902" s="364"/>
      <c r="K902" s="363"/>
      <c r="L902" s="364"/>
      <c r="M902" s="363"/>
      <c r="N902" s="363"/>
      <c r="O902" s="363"/>
      <c r="P902" s="364"/>
      <c r="Q902" s="363"/>
      <c r="R902" s="363"/>
      <c r="S902" s="363"/>
      <c r="T902" s="363"/>
      <c r="U902" s="363"/>
      <c r="V902" s="363"/>
      <c r="W902" s="363"/>
      <c r="X902" s="363"/>
      <c r="Y902" s="363"/>
      <c r="Z902" s="363"/>
    </row>
    <row r="903" spans="1:26" ht="15.75" customHeight="1" x14ac:dyDescent="0.35">
      <c r="A903" s="363"/>
      <c r="B903" s="364"/>
      <c r="E903" s="364"/>
      <c r="H903" s="364"/>
      <c r="K903" s="363"/>
      <c r="L903" s="364"/>
      <c r="M903" s="363"/>
      <c r="N903" s="363"/>
      <c r="O903" s="363"/>
      <c r="P903" s="364"/>
      <c r="Q903" s="363"/>
      <c r="R903" s="363"/>
      <c r="S903" s="363"/>
      <c r="T903" s="363"/>
      <c r="U903" s="363"/>
      <c r="V903" s="363"/>
      <c r="W903" s="363"/>
      <c r="X903" s="363"/>
      <c r="Y903" s="363"/>
      <c r="Z903" s="363"/>
    </row>
    <row r="904" spans="1:26" ht="15.75" customHeight="1" x14ac:dyDescent="0.35">
      <c r="A904" s="363"/>
      <c r="B904" s="364"/>
      <c r="E904" s="364"/>
      <c r="H904" s="364"/>
      <c r="K904" s="363"/>
      <c r="L904" s="364"/>
      <c r="M904" s="363"/>
      <c r="N904" s="363"/>
      <c r="O904" s="363"/>
      <c r="P904" s="364"/>
      <c r="Q904" s="363"/>
      <c r="R904" s="363"/>
      <c r="S904" s="363"/>
      <c r="T904" s="363"/>
      <c r="U904" s="363"/>
      <c r="V904" s="363"/>
      <c r="W904" s="363"/>
      <c r="X904" s="363"/>
      <c r="Y904" s="363"/>
      <c r="Z904" s="363"/>
    </row>
    <row r="905" spans="1:26" ht="15.75" customHeight="1" x14ac:dyDescent="0.35">
      <c r="A905" s="363"/>
      <c r="B905" s="364"/>
      <c r="E905" s="364"/>
      <c r="H905" s="364"/>
      <c r="K905" s="363"/>
      <c r="L905" s="364"/>
      <c r="M905" s="363"/>
      <c r="N905" s="363"/>
      <c r="O905" s="363"/>
      <c r="P905" s="364"/>
      <c r="Q905" s="363"/>
      <c r="R905" s="363"/>
      <c r="S905" s="363"/>
      <c r="T905" s="363"/>
      <c r="U905" s="363"/>
      <c r="V905" s="363"/>
      <c r="W905" s="363"/>
      <c r="X905" s="363"/>
      <c r="Y905" s="363"/>
      <c r="Z905" s="363"/>
    </row>
    <row r="906" spans="1:26" ht="15.75" customHeight="1" x14ac:dyDescent="0.35">
      <c r="A906" s="363"/>
      <c r="B906" s="364"/>
      <c r="E906" s="364"/>
      <c r="H906" s="364"/>
      <c r="K906" s="363"/>
      <c r="L906" s="364"/>
      <c r="M906" s="363"/>
      <c r="N906" s="363"/>
      <c r="O906" s="363"/>
      <c r="P906" s="364"/>
      <c r="Q906" s="363"/>
      <c r="R906" s="363"/>
      <c r="S906" s="363"/>
      <c r="T906" s="363"/>
      <c r="U906" s="363"/>
      <c r="V906" s="363"/>
      <c r="W906" s="363"/>
      <c r="X906" s="363"/>
      <c r="Y906" s="363"/>
      <c r="Z906" s="363"/>
    </row>
    <row r="907" spans="1:26" ht="15.75" customHeight="1" x14ac:dyDescent="0.35">
      <c r="A907" s="363"/>
      <c r="B907" s="364"/>
      <c r="E907" s="364"/>
      <c r="H907" s="364"/>
      <c r="K907" s="363"/>
      <c r="L907" s="364"/>
      <c r="M907" s="363"/>
      <c r="N907" s="363"/>
      <c r="O907" s="363"/>
      <c r="P907" s="364"/>
      <c r="Q907" s="363"/>
      <c r="R907" s="363"/>
      <c r="S907" s="363"/>
      <c r="T907" s="363"/>
      <c r="U907" s="363"/>
      <c r="V907" s="363"/>
      <c r="W907" s="363"/>
      <c r="X907" s="363"/>
      <c r="Y907" s="363"/>
      <c r="Z907" s="363"/>
    </row>
    <row r="908" spans="1:26" ht="15.75" customHeight="1" x14ac:dyDescent="0.35">
      <c r="A908" s="363"/>
      <c r="B908" s="364"/>
      <c r="E908" s="364"/>
      <c r="H908" s="364"/>
      <c r="K908" s="363"/>
      <c r="L908" s="364"/>
      <c r="M908" s="363"/>
      <c r="N908" s="363"/>
      <c r="O908" s="363"/>
      <c r="P908" s="364"/>
      <c r="Q908" s="363"/>
      <c r="R908" s="363"/>
      <c r="S908" s="363"/>
      <c r="T908" s="363"/>
      <c r="U908" s="363"/>
      <c r="V908" s="363"/>
      <c r="W908" s="363"/>
      <c r="X908" s="363"/>
      <c r="Y908" s="363"/>
      <c r="Z908" s="363"/>
    </row>
    <row r="909" spans="1:26" ht="15.75" customHeight="1" x14ac:dyDescent="0.35">
      <c r="A909" s="363"/>
      <c r="B909" s="364"/>
      <c r="E909" s="364"/>
      <c r="H909" s="364"/>
      <c r="K909" s="363"/>
      <c r="L909" s="364"/>
      <c r="M909" s="363"/>
      <c r="N909" s="363"/>
      <c r="O909" s="363"/>
      <c r="P909" s="364"/>
      <c r="Q909" s="363"/>
      <c r="R909" s="363"/>
      <c r="S909" s="363"/>
      <c r="T909" s="363"/>
      <c r="U909" s="363"/>
      <c r="V909" s="363"/>
      <c r="W909" s="363"/>
      <c r="X909" s="363"/>
      <c r="Y909" s="363"/>
      <c r="Z909" s="363"/>
    </row>
    <row r="910" spans="1:26" ht="15.75" customHeight="1" x14ac:dyDescent="0.35">
      <c r="A910" s="363"/>
      <c r="B910" s="364"/>
      <c r="E910" s="364"/>
      <c r="H910" s="364"/>
      <c r="K910" s="363"/>
      <c r="L910" s="364"/>
      <c r="M910" s="363"/>
      <c r="N910" s="363"/>
      <c r="O910" s="363"/>
      <c r="P910" s="364"/>
      <c r="Q910" s="363"/>
      <c r="R910" s="363"/>
      <c r="S910" s="363"/>
      <c r="T910" s="363"/>
      <c r="U910" s="363"/>
      <c r="V910" s="363"/>
      <c r="W910" s="363"/>
      <c r="X910" s="363"/>
      <c r="Y910" s="363"/>
      <c r="Z910" s="363"/>
    </row>
    <row r="911" spans="1:26" ht="15.75" customHeight="1" x14ac:dyDescent="0.35">
      <c r="A911" s="363"/>
      <c r="B911" s="364"/>
      <c r="E911" s="364"/>
      <c r="H911" s="364"/>
      <c r="K911" s="363"/>
      <c r="L911" s="364"/>
      <c r="M911" s="363"/>
      <c r="N911" s="363"/>
      <c r="O911" s="363"/>
      <c r="P911" s="364"/>
      <c r="Q911" s="363"/>
      <c r="R911" s="363"/>
      <c r="S911" s="363"/>
      <c r="T911" s="363"/>
      <c r="U911" s="363"/>
      <c r="V911" s="363"/>
      <c r="W911" s="363"/>
      <c r="X911" s="363"/>
      <c r="Y911" s="363"/>
      <c r="Z911" s="363"/>
    </row>
    <row r="912" spans="1:26" ht="15.75" customHeight="1" x14ac:dyDescent="0.35">
      <c r="A912" s="363"/>
      <c r="B912" s="364"/>
      <c r="E912" s="364"/>
      <c r="H912" s="364"/>
      <c r="K912" s="363"/>
      <c r="L912" s="364"/>
      <c r="M912" s="363"/>
      <c r="N912" s="363"/>
      <c r="O912" s="363"/>
      <c r="P912" s="364"/>
      <c r="Q912" s="363"/>
      <c r="R912" s="363"/>
      <c r="S912" s="363"/>
      <c r="T912" s="363"/>
      <c r="U912" s="363"/>
      <c r="V912" s="363"/>
      <c r="W912" s="363"/>
      <c r="X912" s="363"/>
      <c r="Y912" s="363"/>
      <c r="Z912" s="363"/>
    </row>
    <row r="913" spans="1:26" ht="15.75" customHeight="1" x14ac:dyDescent="0.35">
      <c r="A913" s="363"/>
      <c r="B913" s="364"/>
      <c r="E913" s="364"/>
      <c r="H913" s="364"/>
      <c r="K913" s="363"/>
      <c r="L913" s="364"/>
      <c r="M913" s="363"/>
      <c r="N913" s="363"/>
      <c r="O913" s="363"/>
      <c r="P913" s="364"/>
      <c r="Q913" s="363"/>
      <c r="R913" s="363"/>
      <c r="S913" s="363"/>
      <c r="T913" s="363"/>
      <c r="U913" s="363"/>
      <c r="V913" s="363"/>
      <c r="W913" s="363"/>
      <c r="X913" s="363"/>
      <c r="Y913" s="363"/>
      <c r="Z913" s="363"/>
    </row>
    <row r="914" spans="1:26" ht="15.75" customHeight="1" x14ac:dyDescent="0.35">
      <c r="A914" s="363"/>
      <c r="B914" s="364"/>
      <c r="E914" s="364"/>
      <c r="H914" s="364"/>
      <c r="K914" s="363"/>
      <c r="L914" s="364"/>
      <c r="M914" s="363"/>
      <c r="N914" s="363"/>
      <c r="O914" s="363"/>
      <c r="P914" s="364"/>
      <c r="Q914" s="363"/>
      <c r="R914" s="363"/>
      <c r="S914" s="363"/>
      <c r="T914" s="363"/>
      <c r="U914" s="363"/>
      <c r="V914" s="363"/>
      <c r="W914" s="363"/>
      <c r="X914" s="363"/>
      <c r="Y914" s="363"/>
      <c r="Z914" s="363"/>
    </row>
    <row r="915" spans="1:26" ht="15.75" customHeight="1" x14ac:dyDescent="0.35">
      <c r="A915" s="363"/>
      <c r="B915" s="364"/>
      <c r="E915" s="364"/>
      <c r="H915" s="364"/>
      <c r="K915" s="363"/>
      <c r="L915" s="364"/>
      <c r="M915" s="363"/>
      <c r="N915" s="363"/>
      <c r="O915" s="363"/>
      <c r="P915" s="364"/>
      <c r="Q915" s="363"/>
      <c r="R915" s="363"/>
      <c r="S915" s="363"/>
      <c r="T915" s="363"/>
      <c r="U915" s="363"/>
      <c r="V915" s="363"/>
      <c r="W915" s="363"/>
      <c r="X915" s="363"/>
      <c r="Y915" s="363"/>
      <c r="Z915" s="363"/>
    </row>
    <row r="916" spans="1:26" ht="15.75" customHeight="1" x14ac:dyDescent="0.35">
      <c r="A916" s="363"/>
      <c r="B916" s="364"/>
      <c r="E916" s="364"/>
      <c r="H916" s="364"/>
      <c r="K916" s="363"/>
      <c r="L916" s="364"/>
      <c r="M916" s="363"/>
      <c r="N916" s="363"/>
      <c r="O916" s="363"/>
      <c r="P916" s="364"/>
      <c r="Q916" s="363"/>
      <c r="R916" s="363"/>
      <c r="S916" s="363"/>
      <c r="T916" s="363"/>
      <c r="U916" s="363"/>
      <c r="V916" s="363"/>
      <c r="W916" s="363"/>
      <c r="X916" s="363"/>
      <c r="Y916" s="363"/>
      <c r="Z916" s="363"/>
    </row>
    <row r="917" spans="1:26" ht="15.75" customHeight="1" x14ac:dyDescent="0.35">
      <c r="A917" s="363"/>
      <c r="B917" s="364"/>
      <c r="E917" s="364"/>
      <c r="H917" s="364"/>
      <c r="K917" s="363"/>
      <c r="L917" s="364"/>
      <c r="M917" s="363"/>
      <c r="N917" s="363"/>
      <c r="O917" s="363"/>
      <c r="P917" s="364"/>
      <c r="Q917" s="363"/>
      <c r="R917" s="363"/>
      <c r="S917" s="363"/>
      <c r="T917" s="363"/>
      <c r="U917" s="363"/>
      <c r="V917" s="363"/>
      <c r="W917" s="363"/>
      <c r="X917" s="363"/>
      <c r="Y917" s="363"/>
      <c r="Z917" s="363"/>
    </row>
    <row r="918" spans="1:26" ht="15.75" customHeight="1" x14ac:dyDescent="0.35">
      <c r="A918" s="363"/>
      <c r="B918" s="364"/>
      <c r="E918" s="364"/>
      <c r="H918" s="364"/>
      <c r="K918" s="363"/>
      <c r="L918" s="364"/>
      <c r="M918" s="363"/>
      <c r="N918" s="363"/>
      <c r="O918" s="363"/>
      <c r="P918" s="364"/>
      <c r="Q918" s="363"/>
      <c r="R918" s="363"/>
      <c r="S918" s="363"/>
      <c r="T918" s="363"/>
      <c r="U918" s="363"/>
      <c r="V918" s="363"/>
      <c r="W918" s="363"/>
      <c r="X918" s="363"/>
      <c r="Y918" s="363"/>
      <c r="Z918" s="363"/>
    </row>
    <row r="919" spans="1:26" ht="15.75" customHeight="1" x14ac:dyDescent="0.35">
      <c r="A919" s="363"/>
      <c r="B919" s="364"/>
      <c r="E919" s="364"/>
      <c r="H919" s="364"/>
      <c r="K919" s="363"/>
      <c r="L919" s="364"/>
      <c r="M919" s="363"/>
      <c r="N919" s="363"/>
      <c r="O919" s="363"/>
      <c r="P919" s="364"/>
      <c r="Q919" s="363"/>
      <c r="R919" s="363"/>
      <c r="S919" s="363"/>
      <c r="T919" s="363"/>
      <c r="U919" s="363"/>
      <c r="V919" s="363"/>
      <c r="W919" s="363"/>
      <c r="X919" s="363"/>
      <c r="Y919" s="363"/>
      <c r="Z919" s="363"/>
    </row>
    <row r="920" spans="1:26" ht="15.75" customHeight="1" x14ac:dyDescent="0.35">
      <c r="A920" s="363"/>
      <c r="B920" s="364"/>
      <c r="E920" s="364"/>
      <c r="H920" s="364"/>
      <c r="K920" s="363"/>
      <c r="L920" s="364"/>
      <c r="M920" s="363"/>
      <c r="N920" s="363"/>
      <c r="O920" s="363"/>
      <c r="P920" s="364"/>
      <c r="Q920" s="363"/>
      <c r="R920" s="363"/>
      <c r="S920" s="363"/>
      <c r="T920" s="363"/>
      <c r="U920" s="363"/>
      <c r="V920" s="363"/>
      <c r="W920" s="363"/>
      <c r="X920" s="363"/>
      <c r="Y920" s="363"/>
      <c r="Z920" s="363"/>
    </row>
    <row r="921" spans="1:26" ht="15.75" customHeight="1" x14ac:dyDescent="0.35">
      <c r="A921" s="363"/>
      <c r="B921" s="364"/>
      <c r="E921" s="364"/>
      <c r="H921" s="364"/>
      <c r="K921" s="363"/>
      <c r="L921" s="364"/>
      <c r="M921" s="363"/>
      <c r="N921" s="363"/>
      <c r="O921" s="363"/>
      <c r="P921" s="364"/>
      <c r="Q921" s="363"/>
      <c r="R921" s="363"/>
      <c r="S921" s="363"/>
      <c r="T921" s="363"/>
      <c r="U921" s="363"/>
      <c r="V921" s="363"/>
      <c r="W921" s="363"/>
      <c r="X921" s="363"/>
      <c r="Y921" s="363"/>
      <c r="Z921" s="363"/>
    </row>
    <row r="922" spans="1:26" ht="15.75" customHeight="1" x14ac:dyDescent="0.35">
      <c r="A922" s="363"/>
      <c r="B922" s="364"/>
      <c r="E922" s="364"/>
      <c r="H922" s="364"/>
      <c r="K922" s="363"/>
      <c r="L922" s="364"/>
      <c r="M922" s="363"/>
      <c r="N922" s="363"/>
      <c r="O922" s="363"/>
      <c r="P922" s="364"/>
      <c r="Q922" s="363"/>
      <c r="R922" s="363"/>
      <c r="S922" s="363"/>
      <c r="T922" s="363"/>
      <c r="U922" s="363"/>
      <c r="V922" s="363"/>
      <c r="W922" s="363"/>
      <c r="X922" s="363"/>
      <c r="Y922" s="363"/>
      <c r="Z922" s="363"/>
    </row>
    <row r="923" spans="1:26" ht="15.75" customHeight="1" x14ac:dyDescent="0.35">
      <c r="A923" s="363"/>
      <c r="B923" s="364"/>
      <c r="E923" s="364"/>
      <c r="H923" s="364"/>
      <c r="K923" s="363"/>
      <c r="L923" s="364"/>
      <c r="M923" s="363"/>
      <c r="N923" s="363"/>
      <c r="O923" s="363"/>
      <c r="P923" s="364"/>
      <c r="Q923" s="363"/>
      <c r="R923" s="363"/>
      <c r="S923" s="363"/>
      <c r="T923" s="363"/>
      <c r="U923" s="363"/>
      <c r="V923" s="363"/>
      <c r="W923" s="363"/>
      <c r="X923" s="363"/>
      <c r="Y923" s="363"/>
      <c r="Z923" s="363"/>
    </row>
    <row r="924" spans="1:26" ht="15.75" customHeight="1" x14ac:dyDescent="0.35">
      <c r="A924" s="363"/>
      <c r="B924" s="364"/>
      <c r="E924" s="364"/>
      <c r="H924" s="364"/>
      <c r="K924" s="363"/>
      <c r="L924" s="364"/>
      <c r="M924" s="363"/>
      <c r="N924" s="363"/>
      <c r="O924" s="363"/>
      <c r="P924" s="364"/>
      <c r="Q924" s="363"/>
      <c r="R924" s="363"/>
      <c r="S924" s="363"/>
      <c r="T924" s="363"/>
      <c r="U924" s="363"/>
      <c r="V924" s="363"/>
      <c r="W924" s="363"/>
      <c r="X924" s="363"/>
      <c r="Y924" s="363"/>
      <c r="Z924" s="363"/>
    </row>
    <row r="925" spans="1:26" ht="15.75" customHeight="1" x14ac:dyDescent="0.35">
      <c r="A925" s="363"/>
      <c r="B925" s="364"/>
      <c r="E925" s="364"/>
      <c r="H925" s="364"/>
      <c r="K925" s="363"/>
      <c r="L925" s="364"/>
      <c r="M925" s="363"/>
      <c r="N925" s="363"/>
      <c r="O925" s="363"/>
      <c r="P925" s="364"/>
      <c r="Q925" s="363"/>
      <c r="R925" s="363"/>
      <c r="S925" s="363"/>
      <c r="T925" s="363"/>
      <c r="U925" s="363"/>
      <c r="V925" s="363"/>
      <c r="W925" s="363"/>
      <c r="X925" s="363"/>
      <c r="Y925" s="363"/>
      <c r="Z925" s="363"/>
    </row>
    <row r="926" spans="1:26" ht="15.75" customHeight="1" x14ac:dyDescent="0.35">
      <c r="A926" s="363"/>
      <c r="B926" s="364"/>
      <c r="E926" s="364"/>
      <c r="H926" s="364"/>
      <c r="K926" s="363"/>
      <c r="L926" s="364"/>
      <c r="M926" s="363"/>
      <c r="N926" s="363"/>
      <c r="O926" s="363"/>
      <c r="P926" s="364"/>
      <c r="Q926" s="363"/>
      <c r="R926" s="363"/>
      <c r="S926" s="363"/>
      <c r="T926" s="363"/>
      <c r="U926" s="363"/>
      <c r="V926" s="363"/>
      <c r="W926" s="363"/>
      <c r="X926" s="363"/>
      <c r="Y926" s="363"/>
      <c r="Z926" s="363"/>
    </row>
    <row r="927" spans="1:26" ht="15.75" customHeight="1" x14ac:dyDescent="0.35">
      <c r="A927" s="363"/>
      <c r="B927" s="364"/>
      <c r="E927" s="364"/>
      <c r="H927" s="364"/>
      <c r="K927" s="363"/>
      <c r="L927" s="364"/>
      <c r="M927" s="363"/>
      <c r="N927" s="363"/>
      <c r="O927" s="363"/>
      <c r="P927" s="364"/>
      <c r="Q927" s="363"/>
      <c r="R927" s="363"/>
      <c r="S927" s="363"/>
      <c r="T927" s="363"/>
      <c r="U927" s="363"/>
      <c r="V927" s="363"/>
      <c r="W927" s="363"/>
      <c r="X927" s="363"/>
      <c r="Y927" s="363"/>
      <c r="Z927" s="363"/>
    </row>
    <row r="928" spans="1:26" ht="15.75" customHeight="1" x14ac:dyDescent="0.35">
      <c r="A928" s="363"/>
      <c r="B928" s="364"/>
      <c r="E928" s="364"/>
      <c r="H928" s="364"/>
      <c r="K928" s="363"/>
      <c r="L928" s="364"/>
      <c r="M928" s="363"/>
      <c r="N928" s="363"/>
      <c r="O928" s="363"/>
      <c r="P928" s="364"/>
      <c r="Q928" s="363"/>
      <c r="R928" s="363"/>
      <c r="S928" s="363"/>
      <c r="T928" s="363"/>
      <c r="U928" s="363"/>
      <c r="V928" s="363"/>
      <c r="W928" s="363"/>
      <c r="X928" s="363"/>
      <c r="Y928" s="363"/>
      <c r="Z928" s="363"/>
    </row>
    <row r="929" spans="1:26" ht="15.75" customHeight="1" x14ac:dyDescent="0.35">
      <c r="A929" s="363"/>
      <c r="B929" s="364"/>
      <c r="E929" s="364"/>
      <c r="H929" s="364"/>
      <c r="K929" s="363"/>
      <c r="L929" s="364"/>
      <c r="M929" s="363"/>
      <c r="N929" s="363"/>
      <c r="O929" s="363"/>
      <c r="P929" s="364"/>
      <c r="Q929" s="363"/>
      <c r="R929" s="363"/>
      <c r="S929" s="363"/>
      <c r="T929" s="363"/>
      <c r="U929" s="363"/>
      <c r="V929" s="363"/>
      <c r="W929" s="363"/>
      <c r="X929" s="363"/>
      <c r="Y929" s="363"/>
      <c r="Z929" s="363"/>
    </row>
    <row r="930" spans="1:26" ht="15.75" customHeight="1" x14ac:dyDescent="0.35">
      <c r="A930" s="363"/>
      <c r="B930" s="364"/>
      <c r="E930" s="364"/>
      <c r="H930" s="364"/>
      <c r="K930" s="363"/>
      <c r="L930" s="364"/>
      <c r="M930" s="363"/>
      <c r="N930" s="363"/>
      <c r="O930" s="363"/>
      <c r="P930" s="364"/>
      <c r="Q930" s="363"/>
      <c r="R930" s="363"/>
      <c r="S930" s="363"/>
      <c r="T930" s="363"/>
      <c r="U930" s="363"/>
      <c r="V930" s="363"/>
      <c r="W930" s="363"/>
      <c r="X930" s="363"/>
      <c r="Y930" s="363"/>
      <c r="Z930" s="363"/>
    </row>
    <row r="931" spans="1:26" ht="15.75" customHeight="1" x14ac:dyDescent="0.35">
      <c r="A931" s="363"/>
      <c r="B931" s="364"/>
      <c r="E931" s="364"/>
      <c r="H931" s="364"/>
      <c r="K931" s="363"/>
      <c r="L931" s="364"/>
      <c r="M931" s="363"/>
      <c r="N931" s="363"/>
      <c r="O931" s="363"/>
      <c r="P931" s="364"/>
      <c r="Q931" s="363"/>
      <c r="R931" s="363"/>
      <c r="S931" s="363"/>
      <c r="T931" s="363"/>
      <c r="U931" s="363"/>
      <c r="V931" s="363"/>
      <c r="W931" s="363"/>
      <c r="X931" s="363"/>
      <c r="Y931" s="363"/>
      <c r="Z931" s="363"/>
    </row>
    <row r="932" spans="1:26" ht="15.75" customHeight="1" x14ac:dyDescent="0.35">
      <c r="A932" s="363"/>
      <c r="B932" s="364"/>
      <c r="E932" s="364"/>
      <c r="H932" s="364"/>
      <c r="K932" s="363"/>
      <c r="L932" s="364"/>
      <c r="M932" s="363"/>
      <c r="N932" s="363"/>
      <c r="O932" s="363"/>
      <c r="P932" s="364"/>
      <c r="Q932" s="363"/>
      <c r="R932" s="363"/>
      <c r="S932" s="363"/>
      <c r="T932" s="363"/>
      <c r="U932" s="363"/>
      <c r="V932" s="363"/>
      <c r="W932" s="363"/>
      <c r="X932" s="363"/>
      <c r="Y932" s="363"/>
      <c r="Z932" s="363"/>
    </row>
    <row r="933" spans="1:26" ht="15.75" customHeight="1" x14ac:dyDescent="0.35">
      <c r="A933" s="363"/>
      <c r="B933" s="364"/>
      <c r="E933" s="364"/>
      <c r="H933" s="364"/>
      <c r="K933" s="363"/>
      <c r="L933" s="364"/>
      <c r="M933" s="363"/>
      <c r="N933" s="363"/>
      <c r="O933" s="363"/>
      <c r="P933" s="364"/>
      <c r="Q933" s="363"/>
      <c r="R933" s="363"/>
      <c r="S933" s="363"/>
      <c r="T933" s="363"/>
      <c r="U933" s="363"/>
      <c r="V933" s="363"/>
      <c r="W933" s="363"/>
      <c r="X933" s="363"/>
      <c r="Y933" s="363"/>
      <c r="Z933" s="363"/>
    </row>
    <row r="934" spans="1:26" ht="15.75" customHeight="1" x14ac:dyDescent="0.35">
      <c r="A934" s="363"/>
      <c r="B934" s="364"/>
      <c r="E934" s="364"/>
      <c r="H934" s="364"/>
      <c r="K934" s="363"/>
      <c r="L934" s="364"/>
      <c r="M934" s="363"/>
      <c r="N934" s="363"/>
      <c r="O934" s="363"/>
      <c r="P934" s="364"/>
      <c r="Q934" s="363"/>
      <c r="R934" s="363"/>
      <c r="S934" s="363"/>
      <c r="T934" s="363"/>
      <c r="U934" s="363"/>
      <c r="V934" s="363"/>
      <c r="W934" s="363"/>
      <c r="X934" s="363"/>
      <c r="Y934" s="363"/>
      <c r="Z934" s="363"/>
    </row>
    <row r="935" spans="1:26" ht="15.75" customHeight="1" x14ac:dyDescent="0.35">
      <c r="A935" s="363"/>
      <c r="B935" s="364"/>
      <c r="E935" s="364"/>
      <c r="H935" s="364"/>
      <c r="K935" s="363"/>
      <c r="L935" s="364"/>
      <c r="M935" s="363"/>
      <c r="N935" s="363"/>
      <c r="O935" s="363"/>
      <c r="P935" s="364"/>
      <c r="Q935" s="363"/>
      <c r="R935" s="363"/>
      <c r="S935" s="363"/>
      <c r="T935" s="363"/>
      <c r="U935" s="363"/>
      <c r="V935" s="363"/>
      <c r="W935" s="363"/>
      <c r="X935" s="363"/>
      <c r="Y935" s="363"/>
      <c r="Z935" s="363"/>
    </row>
    <row r="936" spans="1:26" ht="15.75" customHeight="1" x14ac:dyDescent="0.35">
      <c r="A936" s="363"/>
      <c r="B936" s="364"/>
      <c r="E936" s="364"/>
      <c r="H936" s="364"/>
      <c r="K936" s="363"/>
      <c r="L936" s="364"/>
      <c r="M936" s="363"/>
      <c r="N936" s="363"/>
      <c r="O936" s="363"/>
      <c r="P936" s="364"/>
      <c r="Q936" s="363"/>
      <c r="R936" s="363"/>
      <c r="S936" s="363"/>
      <c r="T936" s="363"/>
      <c r="U936" s="363"/>
      <c r="V936" s="363"/>
      <c r="W936" s="363"/>
      <c r="X936" s="363"/>
      <c r="Y936" s="363"/>
      <c r="Z936" s="363"/>
    </row>
    <row r="937" spans="1:26" ht="15.75" customHeight="1" x14ac:dyDescent="0.35">
      <c r="A937" s="363"/>
      <c r="B937" s="364"/>
      <c r="E937" s="364"/>
      <c r="H937" s="364"/>
      <c r="K937" s="363"/>
      <c r="L937" s="364"/>
      <c r="M937" s="363"/>
      <c r="N937" s="363"/>
      <c r="O937" s="363"/>
      <c r="P937" s="364"/>
      <c r="Q937" s="363"/>
      <c r="R937" s="363"/>
      <c r="S937" s="363"/>
      <c r="T937" s="363"/>
      <c r="U937" s="363"/>
      <c r="V937" s="363"/>
      <c r="W937" s="363"/>
      <c r="X937" s="363"/>
      <c r="Y937" s="363"/>
      <c r="Z937" s="363"/>
    </row>
    <row r="938" spans="1:26" ht="15.75" customHeight="1" x14ac:dyDescent="0.35">
      <c r="A938" s="363"/>
      <c r="B938" s="364"/>
      <c r="E938" s="364"/>
      <c r="H938" s="364"/>
      <c r="K938" s="363"/>
      <c r="L938" s="364"/>
      <c r="M938" s="363"/>
      <c r="N938" s="363"/>
      <c r="O938" s="363"/>
      <c r="P938" s="364"/>
      <c r="Q938" s="363"/>
      <c r="R938" s="363"/>
      <c r="S938" s="363"/>
      <c r="T938" s="363"/>
      <c r="U938" s="363"/>
      <c r="V938" s="363"/>
      <c r="W938" s="363"/>
      <c r="X938" s="363"/>
      <c r="Y938" s="363"/>
      <c r="Z938" s="363"/>
    </row>
    <row r="939" spans="1:26" ht="15.75" customHeight="1" x14ac:dyDescent="0.35">
      <c r="A939" s="363"/>
      <c r="B939" s="364"/>
      <c r="E939" s="364"/>
      <c r="H939" s="364"/>
      <c r="K939" s="363"/>
      <c r="L939" s="364"/>
      <c r="M939" s="363"/>
      <c r="N939" s="363"/>
      <c r="O939" s="363"/>
      <c r="P939" s="364"/>
      <c r="Q939" s="363"/>
      <c r="R939" s="363"/>
      <c r="S939" s="363"/>
      <c r="T939" s="363"/>
      <c r="U939" s="363"/>
      <c r="V939" s="363"/>
      <c r="W939" s="363"/>
      <c r="X939" s="363"/>
      <c r="Y939" s="363"/>
      <c r="Z939" s="363"/>
    </row>
    <row r="940" spans="1:26" ht="15.75" customHeight="1" x14ac:dyDescent="0.35">
      <c r="A940" s="363"/>
      <c r="B940" s="364"/>
      <c r="E940" s="364"/>
      <c r="H940" s="364"/>
      <c r="K940" s="363"/>
      <c r="L940" s="364"/>
      <c r="M940" s="363"/>
      <c r="N940" s="363"/>
      <c r="O940" s="363"/>
      <c r="P940" s="364"/>
      <c r="Q940" s="363"/>
      <c r="R940" s="363"/>
      <c r="S940" s="363"/>
      <c r="T940" s="363"/>
      <c r="U940" s="363"/>
      <c r="V940" s="363"/>
      <c r="W940" s="363"/>
      <c r="X940" s="363"/>
      <c r="Y940" s="363"/>
      <c r="Z940" s="363"/>
    </row>
    <row r="941" spans="1:26" ht="15.75" customHeight="1" x14ac:dyDescent="0.35">
      <c r="A941" s="363"/>
      <c r="B941" s="364"/>
      <c r="E941" s="364"/>
      <c r="H941" s="364"/>
      <c r="K941" s="363"/>
      <c r="L941" s="364"/>
      <c r="M941" s="363"/>
      <c r="N941" s="363"/>
      <c r="O941" s="363"/>
      <c r="P941" s="364"/>
      <c r="Q941" s="363"/>
      <c r="R941" s="363"/>
      <c r="S941" s="363"/>
      <c r="T941" s="363"/>
      <c r="U941" s="363"/>
      <c r="V941" s="363"/>
      <c r="W941" s="363"/>
      <c r="X941" s="363"/>
      <c r="Y941" s="363"/>
      <c r="Z941" s="363"/>
    </row>
    <row r="942" spans="1:26" ht="15.75" customHeight="1" x14ac:dyDescent="0.35">
      <c r="A942" s="363"/>
      <c r="B942" s="364"/>
      <c r="E942" s="364"/>
      <c r="H942" s="364"/>
      <c r="K942" s="363"/>
      <c r="L942" s="364"/>
      <c r="M942" s="363"/>
      <c r="N942" s="363"/>
      <c r="O942" s="363"/>
      <c r="P942" s="364"/>
      <c r="Q942" s="363"/>
      <c r="R942" s="363"/>
      <c r="S942" s="363"/>
      <c r="T942" s="363"/>
      <c r="U942" s="363"/>
      <c r="V942" s="363"/>
      <c r="W942" s="363"/>
      <c r="X942" s="363"/>
      <c r="Y942" s="363"/>
      <c r="Z942" s="363"/>
    </row>
    <row r="943" spans="1:26" ht="15.75" customHeight="1" x14ac:dyDescent="0.35">
      <c r="A943" s="363"/>
      <c r="B943" s="364"/>
      <c r="E943" s="364"/>
      <c r="H943" s="364"/>
      <c r="K943" s="363"/>
      <c r="L943" s="364"/>
      <c r="M943" s="363"/>
      <c r="N943" s="363"/>
      <c r="O943" s="363"/>
      <c r="P943" s="364"/>
      <c r="Q943" s="363"/>
      <c r="R943" s="363"/>
      <c r="S943" s="363"/>
      <c r="T943" s="363"/>
      <c r="U943" s="363"/>
      <c r="V943" s="363"/>
      <c r="W943" s="363"/>
      <c r="X943" s="363"/>
      <c r="Y943" s="363"/>
      <c r="Z943" s="363"/>
    </row>
    <row r="944" spans="1:26" ht="15.75" customHeight="1" x14ac:dyDescent="0.35">
      <c r="A944" s="363"/>
      <c r="B944" s="364"/>
      <c r="E944" s="364"/>
      <c r="H944" s="364"/>
      <c r="K944" s="363"/>
      <c r="L944" s="364"/>
      <c r="M944" s="363"/>
      <c r="N944" s="363"/>
      <c r="O944" s="363"/>
      <c r="P944" s="364"/>
      <c r="Q944" s="363"/>
      <c r="R944" s="363"/>
      <c r="S944" s="363"/>
      <c r="T944" s="363"/>
      <c r="U944" s="363"/>
      <c r="V944" s="363"/>
      <c r="W944" s="363"/>
      <c r="X944" s="363"/>
      <c r="Y944" s="363"/>
      <c r="Z944" s="363"/>
    </row>
    <row r="945" spans="1:26" ht="15.75" customHeight="1" x14ac:dyDescent="0.35">
      <c r="A945" s="363"/>
      <c r="B945" s="364"/>
      <c r="E945" s="364"/>
      <c r="H945" s="364"/>
      <c r="K945" s="363"/>
      <c r="L945" s="364"/>
      <c r="M945" s="363"/>
      <c r="N945" s="363"/>
      <c r="O945" s="363"/>
      <c r="P945" s="364"/>
      <c r="Q945" s="363"/>
      <c r="R945" s="363"/>
      <c r="S945" s="363"/>
      <c r="T945" s="363"/>
      <c r="U945" s="363"/>
      <c r="V945" s="363"/>
      <c r="W945" s="363"/>
      <c r="X945" s="363"/>
      <c r="Y945" s="363"/>
      <c r="Z945" s="363"/>
    </row>
    <row r="946" spans="1:26" ht="15.75" customHeight="1" x14ac:dyDescent="0.35">
      <c r="A946" s="363"/>
      <c r="B946" s="364"/>
      <c r="E946" s="364"/>
      <c r="H946" s="364"/>
      <c r="K946" s="363"/>
      <c r="L946" s="364"/>
      <c r="M946" s="363"/>
      <c r="N946" s="363"/>
      <c r="O946" s="363"/>
      <c r="P946" s="364"/>
      <c r="Q946" s="363"/>
      <c r="R946" s="363"/>
      <c r="S946" s="363"/>
      <c r="T946" s="363"/>
      <c r="U946" s="363"/>
      <c r="V946" s="363"/>
      <c r="W946" s="363"/>
      <c r="X946" s="363"/>
      <c r="Y946" s="363"/>
      <c r="Z946" s="363"/>
    </row>
    <row r="947" spans="1:26" ht="15.75" customHeight="1" x14ac:dyDescent="0.35">
      <c r="A947" s="363"/>
      <c r="B947" s="364"/>
      <c r="E947" s="364"/>
      <c r="H947" s="364"/>
      <c r="K947" s="363"/>
      <c r="L947" s="364"/>
      <c r="M947" s="363"/>
      <c r="N947" s="363"/>
      <c r="O947" s="363"/>
      <c r="P947" s="364"/>
      <c r="Q947" s="363"/>
      <c r="R947" s="363"/>
      <c r="S947" s="363"/>
      <c r="T947" s="363"/>
      <c r="U947" s="363"/>
      <c r="V947" s="363"/>
      <c r="W947" s="363"/>
      <c r="X947" s="363"/>
      <c r="Y947" s="363"/>
      <c r="Z947" s="363"/>
    </row>
    <row r="948" spans="1:26" ht="15.75" customHeight="1" x14ac:dyDescent="0.35">
      <c r="A948" s="363"/>
      <c r="B948" s="364"/>
      <c r="E948" s="364"/>
      <c r="H948" s="364"/>
      <c r="K948" s="363"/>
      <c r="L948" s="364"/>
      <c r="M948" s="363"/>
      <c r="N948" s="363"/>
      <c r="O948" s="363"/>
      <c r="P948" s="364"/>
      <c r="Q948" s="363"/>
      <c r="R948" s="363"/>
      <c r="S948" s="363"/>
      <c r="T948" s="363"/>
      <c r="U948" s="363"/>
      <c r="V948" s="363"/>
      <c r="W948" s="363"/>
      <c r="X948" s="363"/>
      <c r="Y948" s="363"/>
      <c r="Z948" s="363"/>
    </row>
    <row r="949" spans="1:26" ht="15.75" customHeight="1" x14ac:dyDescent="0.35">
      <c r="A949" s="363"/>
      <c r="B949" s="364"/>
      <c r="E949" s="364"/>
      <c r="H949" s="364"/>
      <c r="K949" s="363"/>
      <c r="L949" s="364"/>
      <c r="M949" s="363"/>
      <c r="N949" s="363"/>
      <c r="O949" s="363"/>
      <c r="P949" s="364"/>
      <c r="Q949" s="363"/>
      <c r="R949" s="363"/>
      <c r="S949" s="363"/>
      <c r="T949" s="363"/>
      <c r="U949" s="363"/>
      <c r="V949" s="363"/>
      <c r="W949" s="363"/>
      <c r="X949" s="363"/>
      <c r="Y949" s="363"/>
      <c r="Z949" s="363"/>
    </row>
    <row r="950" spans="1:26" ht="15.75" customHeight="1" x14ac:dyDescent="0.35">
      <c r="A950" s="363"/>
      <c r="B950" s="364"/>
      <c r="E950" s="364"/>
      <c r="H950" s="364"/>
      <c r="K950" s="363"/>
      <c r="L950" s="364"/>
      <c r="M950" s="363"/>
      <c r="N950" s="363"/>
      <c r="O950" s="363"/>
      <c r="P950" s="364"/>
      <c r="Q950" s="363"/>
      <c r="R950" s="363"/>
      <c r="S950" s="363"/>
      <c r="T950" s="363"/>
      <c r="U950" s="363"/>
      <c r="V950" s="363"/>
      <c r="W950" s="363"/>
      <c r="X950" s="363"/>
      <c r="Y950" s="363"/>
      <c r="Z950" s="363"/>
    </row>
    <row r="951" spans="1:26" ht="15.75" customHeight="1" x14ac:dyDescent="0.35">
      <c r="A951" s="363"/>
      <c r="B951" s="364"/>
      <c r="E951" s="364"/>
      <c r="H951" s="364"/>
      <c r="K951" s="363"/>
      <c r="L951" s="364"/>
      <c r="M951" s="363"/>
      <c r="N951" s="363"/>
      <c r="O951" s="363"/>
      <c r="P951" s="364"/>
      <c r="Q951" s="363"/>
      <c r="R951" s="363"/>
      <c r="S951" s="363"/>
      <c r="T951" s="363"/>
      <c r="U951" s="363"/>
      <c r="V951" s="363"/>
      <c r="W951" s="363"/>
      <c r="X951" s="363"/>
      <c r="Y951" s="363"/>
      <c r="Z951" s="363"/>
    </row>
    <row r="952" spans="1:26" ht="15.75" customHeight="1" x14ac:dyDescent="0.35">
      <c r="A952" s="363"/>
      <c r="B952" s="364"/>
      <c r="E952" s="364"/>
      <c r="H952" s="364"/>
      <c r="K952" s="363"/>
      <c r="L952" s="364"/>
      <c r="M952" s="363"/>
      <c r="N952" s="363"/>
      <c r="O952" s="363"/>
      <c r="P952" s="364"/>
      <c r="Q952" s="363"/>
      <c r="R952" s="363"/>
      <c r="S952" s="363"/>
      <c r="T952" s="363"/>
      <c r="U952" s="363"/>
      <c r="V952" s="363"/>
      <c r="W952" s="363"/>
      <c r="X952" s="363"/>
      <c r="Y952" s="363"/>
      <c r="Z952" s="363"/>
    </row>
    <row r="953" spans="1:26" ht="15.75" customHeight="1" x14ac:dyDescent="0.35">
      <c r="A953" s="363"/>
      <c r="B953" s="364"/>
      <c r="E953" s="364"/>
      <c r="H953" s="364"/>
      <c r="K953" s="363"/>
      <c r="L953" s="364"/>
      <c r="M953" s="363"/>
      <c r="N953" s="363"/>
      <c r="O953" s="363"/>
      <c r="P953" s="364"/>
      <c r="Q953" s="363"/>
      <c r="R953" s="363"/>
      <c r="S953" s="363"/>
      <c r="T953" s="363"/>
      <c r="U953" s="363"/>
      <c r="V953" s="363"/>
      <c r="W953" s="363"/>
      <c r="X953" s="363"/>
      <c r="Y953" s="363"/>
      <c r="Z953" s="363"/>
    </row>
    <row r="954" spans="1:26" ht="15.75" customHeight="1" x14ac:dyDescent="0.35">
      <c r="A954" s="363"/>
      <c r="B954" s="364"/>
      <c r="E954" s="364"/>
      <c r="H954" s="364"/>
      <c r="K954" s="363"/>
      <c r="L954" s="364"/>
      <c r="M954" s="363"/>
      <c r="N954" s="363"/>
      <c r="O954" s="363"/>
      <c r="P954" s="364"/>
      <c r="Q954" s="363"/>
      <c r="R954" s="363"/>
      <c r="S954" s="363"/>
      <c r="T954" s="363"/>
      <c r="U954" s="363"/>
      <c r="V954" s="363"/>
      <c r="W954" s="363"/>
      <c r="X954" s="363"/>
      <c r="Y954" s="363"/>
      <c r="Z954" s="363"/>
    </row>
    <row r="955" spans="1:26" ht="15.75" customHeight="1" x14ac:dyDescent="0.35">
      <c r="A955" s="363"/>
      <c r="B955" s="364"/>
      <c r="E955" s="364"/>
      <c r="H955" s="364"/>
      <c r="K955" s="363"/>
      <c r="L955" s="364"/>
      <c r="M955" s="363"/>
      <c r="N955" s="363"/>
      <c r="O955" s="363"/>
      <c r="P955" s="364"/>
      <c r="Q955" s="363"/>
      <c r="R955" s="363"/>
      <c r="S955" s="363"/>
      <c r="T955" s="363"/>
      <c r="U955" s="363"/>
      <c r="V955" s="363"/>
      <c r="W955" s="363"/>
      <c r="X955" s="363"/>
      <c r="Y955" s="363"/>
      <c r="Z955" s="363"/>
    </row>
    <row r="956" spans="1:26" ht="15.75" customHeight="1" x14ac:dyDescent="0.35">
      <c r="A956" s="363"/>
      <c r="B956" s="364"/>
      <c r="E956" s="364"/>
      <c r="H956" s="364"/>
      <c r="K956" s="363"/>
      <c r="L956" s="364"/>
      <c r="M956" s="363"/>
      <c r="N956" s="363"/>
      <c r="O956" s="363"/>
      <c r="P956" s="364"/>
      <c r="Q956" s="363"/>
      <c r="R956" s="363"/>
      <c r="S956" s="363"/>
      <c r="T956" s="363"/>
      <c r="U956" s="363"/>
      <c r="V956" s="363"/>
      <c r="W956" s="363"/>
      <c r="X956" s="363"/>
      <c r="Y956" s="363"/>
      <c r="Z956" s="363"/>
    </row>
    <row r="957" spans="1:26" ht="15.75" customHeight="1" x14ac:dyDescent="0.35">
      <c r="A957" s="363"/>
      <c r="B957" s="364"/>
      <c r="E957" s="364"/>
      <c r="H957" s="364"/>
      <c r="K957" s="363"/>
      <c r="L957" s="364"/>
      <c r="M957" s="363"/>
      <c r="N957" s="363"/>
      <c r="O957" s="363"/>
      <c r="P957" s="364"/>
      <c r="Q957" s="363"/>
      <c r="R957" s="363"/>
      <c r="S957" s="363"/>
      <c r="T957" s="363"/>
      <c r="U957" s="363"/>
      <c r="V957" s="363"/>
      <c r="W957" s="363"/>
      <c r="X957" s="363"/>
      <c r="Y957" s="363"/>
      <c r="Z957" s="363"/>
    </row>
    <row r="958" spans="1:26" ht="15.75" customHeight="1" x14ac:dyDescent="0.35">
      <c r="A958" s="363"/>
      <c r="B958" s="364"/>
      <c r="E958" s="364"/>
      <c r="H958" s="364"/>
      <c r="K958" s="363"/>
      <c r="L958" s="364"/>
      <c r="M958" s="363"/>
      <c r="N958" s="363"/>
      <c r="O958" s="363"/>
      <c r="P958" s="364"/>
      <c r="Q958" s="363"/>
      <c r="R958" s="363"/>
      <c r="S958" s="363"/>
      <c r="T958" s="363"/>
      <c r="U958" s="363"/>
      <c r="V958" s="363"/>
      <c r="W958" s="363"/>
      <c r="X958" s="363"/>
      <c r="Y958" s="363"/>
      <c r="Z958" s="363"/>
    </row>
    <row r="959" spans="1:26" ht="15.75" customHeight="1" x14ac:dyDescent="0.35">
      <c r="A959" s="363"/>
      <c r="B959" s="364"/>
      <c r="E959" s="364"/>
      <c r="H959" s="364"/>
      <c r="K959" s="363"/>
      <c r="L959" s="364"/>
      <c r="M959" s="363"/>
      <c r="N959" s="363"/>
      <c r="O959" s="363"/>
      <c r="P959" s="364"/>
      <c r="Q959" s="363"/>
      <c r="R959" s="363"/>
      <c r="S959" s="363"/>
      <c r="T959" s="363"/>
      <c r="U959" s="363"/>
      <c r="V959" s="363"/>
      <c r="W959" s="363"/>
      <c r="X959" s="363"/>
      <c r="Y959" s="363"/>
      <c r="Z959" s="363"/>
    </row>
    <row r="960" spans="1:26" ht="15.75" customHeight="1" x14ac:dyDescent="0.35">
      <c r="A960" s="363"/>
      <c r="B960" s="364"/>
      <c r="E960" s="364"/>
      <c r="H960" s="364"/>
      <c r="K960" s="363"/>
      <c r="L960" s="364"/>
      <c r="M960" s="363"/>
      <c r="N960" s="363"/>
      <c r="O960" s="363"/>
      <c r="P960" s="364"/>
      <c r="Q960" s="363"/>
      <c r="R960" s="363"/>
      <c r="S960" s="363"/>
      <c r="T960" s="363"/>
      <c r="U960" s="363"/>
      <c r="V960" s="363"/>
      <c r="W960" s="363"/>
      <c r="X960" s="363"/>
      <c r="Y960" s="363"/>
      <c r="Z960" s="363"/>
    </row>
    <row r="961" spans="1:26" ht="15.75" customHeight="1" x14ac:dyDescent="0.35">
      <c r="A961" s="363"/>
      <c r="B961" s="364"/>
      <c r="E961" s="364"/>
      <c r="H961" s="364"/>
      <c r="K961" s="363"/>
      <c r="L961" s="364"/>
      <c r="M961" s="363"/>
      <c r="N961" s="363"/>
      <c r="O961" s="363"/>
      <c r="P961" s="364"/>
      <c r="Q961" s="363"/>
      <c r="R961" s="363"/>
      <c r="S961" s="363"/>
      <c r="T961" s="363"/>
      <c r="U961" s="363"/>
      <c r="V961" s="363"/>
      <c r="W961" s="363"/>
      <c r="X961" s="363"/>
      <c r="Y961" s="363"/>
      <c r="Z961" s="363"/>
    </row>
    <row r="962" spans="1:26" ht="15.75" customHeight="1" x14ac:dyDescent="0.35">
      <c r="A962" s="363"/>
      <c r="B962" s="364"/>
      <c r="E962" s="364"/>
      <c r="H962" s="364"/>
      <c r="K962" s="363"/>
      <c r="L962" s="364"/>
      <c r="M962" s="363"/>
      <c r="N962" s="363"/>
      <c r="O962" s="363"/>
      <c r="P962" s="364"/>
      <c r="Q962" s="363"/>
      <c r="R962" s="363"/>
      <c r="S962" s="363"/>
      <c r="T962" s="363"/>
      <c r="U962" s="363"/>
      <c r="V962" s="363"/>
      <c r="W962" s="363"/>
      <c r="X962" s="363"/>
      <c r="Y962" s="363"/>
      <c r="Z962" s="363"/>
    </row>
    <row r="963" spans="1:26" ht="15.75" customHeight="1" x14ac:dyDescent="0.35">
      <c r="A963" s="363"/>
      <c r="B963" s="364"/>
      <c r="E963" s="364"/>
      <c r="H963" s="364"/>
      <c r="K963" s="363"/>
      <c r="L963" s="364"/>
      <c r="M963" s="363"/>
      <c r="N963" s="363"/>
      <c r="O963" s="363"/>
      <c r="P963" s="364"/>
      <c r="Q963" s="363"/>
      <c r="R963" s="363"/>
      <c r="S963" s="363"/>
      <c r="T963" s="363"/>
      <c r="U963" s="363"/>
      <c r="V963" s="363"/>
      <c r="W963" s="363"/>
      <c r="X963" s="363"/>
      <c r="Y963" s="363"/>
      <c r="Z963" s="363"/>
    </row>
    <row r="964" spans="1:26" ht="15.75" customHeight="1" x14ac:dyDescent="0.35">
      <c r="A964" s="363"/>
      <c r="B964" s="364"/>
      <c r="E964" s="364"/>
      <c r="H964" s="364"/>
      <c r="K964" s="363"/>
      <c r="L964" s="364"/>
      <c r="M964" s="363"/>
      <c r="N964" s="363"/>
      <c r="O964" s="363"/>
      <c r="P964" s="364"/>
      <c r="Q964" s="363"/>
      <c r="R964" s="363"/>
      <c r="S964" s="363"/>
      <c r="T964" s="363"/>
      <c r="U964" s="363"/>
      <c r="V964" s="363"/>
      <c r="W964" s="363"/>
      <c r="X964" s="363"/>
      <c r="Y964" s="363"/>
      <c r="Z964" s="363"/>
    </row>
    <row r="965" spans="1:26" ht="15.75" customHeight="1" x14ac:dyDescent="0.35">
      <c r="A965" s="363"/>
      <c r="B965" s="364"/>
      <c r="E965" s="364"/>
      <c r="H965" s="364"/>
      <c r="K965" s="363"/>
      <c r="L965" s="364"/>
      <c r="M965" s="363"/>
      <c r="N965" s="363"/>
      <c r="O965" s="363"/>
      <c r="P965" s="364"/>
      <c r="Q965" s="363"/>
      <c r="R965" s="363"/>
      <c r="S965" s="363"/>
      <c r="T965" s="363"/>
      <c r="U965" s="363"/>
      <c r="V965" s="363"/>
      <c r="W965" s="363"/>
      <c r="X965" s="363"/>
      <c r="Y965" s="363"/>
      <c r="Z965" s="363"/>
    </row>
    <row r="966" spans="1:26" ht="15.75" customHeight="1" x14ac:dyDescent="0.35">
      <c r="A966" s="363"/>
      <c r="B966" s="364"/>
      <c r="E966" s="364"/>
      <c r="H966" s="364"/>
      <c r="K966" s="363"/>
      <c r="L966" s="364"/>
      <c r="M966" s="363"/>
      <c r="N966" s="363"/>
      <c r="O966" s="363"/>
      <c r="P966" s="364"/>
      <c r="Q966" s="363"/>
      <c r="R966" s="363"/>
      <c r="S966" s="363"/>
      <c r="T966" s="363"/>
      <c r="U966" s="363"/>
      <c r="V966" s="363"/>
      <c r="W966" s="363"/>
      <c r="X966" s="363"/>
      <c r="Y966" s="363"/>
      <c r="Z966" s="363"/>
    </row>
    <row r="967" spans="1:26" ht="15.75" customHeight="1" x14ac:dyDescent="0.35">
      <c r="A967" s="363"/>
      <c r="B967" s="364"/>
      <c r="E967" s="364"/>
      <c r="H967" s="364"/>
      <c r="K967" s="363"/>
      <c r="L967" s="364"/>
      <c r="M967" s="363"/>
      <c r="N967" s="363"/>
      <c r="O967" s="363"/>
      <c r="P967" s="364"/>
      <c r="Q967" s="363"/>
      <c r="R967" s="363"/>
      <c r="S967" s="363"/>
      <c r="T967" s="363"/>
      <c r="U967" s="363"/>
      <c r="V967" s="363"/>
      <c r="W967" s="363"/>
      <c r="X967" s="363"/>
      <c r="Y967" s="363"/>
      <c r="Z967" s="363"/>
    </row>
    <row r="968" spans="1:26" ht="15.75" customHeight="1" x14ac:dyDescent="0.35">
      <c r="A968" s="363"/>
      <c r="B968" s="364"/>
      <c r="E968" s="364"/>
      <c r="H968" s="364"/>
      <c r="K968" s="363"/>
      <c r="L968" s="364"/>
      <c r="M968" s="363"/>
      <c r="N968" s="363"/>
      <c r="O968" s="363"/>
      <c r="P968" s="364"/>
      <c r="Q968" s="363"/>
      <c r="R968" s="363"/>
      <c r="S968" s="363"/>
      <c r="T968" s="363"/>
      <c r="U968" s="363"/>
      <c r="V968" s="363"/>
      <c r="W968" s="363"/>
      <c r="X968" s="363"/>
      <c r="Y968" s="363"/>
      <c r="Z968" s="363"/>
    </row>
    <row r="969" spans="1:26" ht="15.75" customHeight="1" x14ac:dyDescent="0.35">
      <c r="A969" s="363"/>
      <c r="B969" s="364"/>
      <c r="E969" s="364"/>
      <c r="H969" s="364"/>
      <c r="K969" s="363"/>
      <c r="L969" s="364"/>
      <c r="M969" s="363"/>
      <c r="N969" s="363"/>
      <c r="O969" s="363"/>
      <c r="P969" s="364"/>
      <c r="Q969" s="363"/>
      <c r="R969" s="363"/>
      <c r="S969" s="363"/>
      <c r="T969" s="363"/>
      <c r="U969" s="363"/>
      <c r="V969" s="363"/>
      <c r="W969" s="363"/>
      <c r="X969" s="363"/>
      <c r="Y969" s="363"/>
      <c r="Z969" s="363"/>
    </row>
    <row r="970" spans="1:26" ht="15.75" customHeight="1" x14ac:dyDescent="0.35">
      <c r="A970" s="363"/>
      <c r="B970" s="364"/>
      <c r="E970" s="364"/>
      <c r="H970" s="364"/>
      <c r="K970" s="363"/>
      <c r="L970" s="364"/>
      <c r="M970" s="363"/>
      <c r="N970" s="363"/>
      <c r="O970" s="363"/>
      <c r="P970" s="364"/>
      <c r="Q970" s="363"/>
      <c r="R970" s="363"/>
      <c r="S970" s="363"/>
      <c r="T970" s="363"/>
      <c r="U970" s="363"/>
      <c r="V970" s="363"/>
      <c r="W970" s="363"/>
      <c r="X970" s="363"/>
      <c r="Y970" s="363"/>
      <c r="Z970" s="363"/>
    </row>
    <row r="971" spans="1:26" ht="15.75" customHeight="1" x14ac:dyDescent="0.35">
      <c r="A971" s="363"/>
      <c r="B971" s="364"/>
      <c r="E971" s="364"/>
      <c r="H971" s="364"/>
      <c r="K971" s="363"/>
      <c r="L971" s="364"/>
      <c r="M971" s="363"/>
      <c r="N971" s="363"/>
      <c r="O971" s="363"/>
      <c r="P971" s="364"/>
      <c r="Q971" s="363"/>
      <c r="R971" s="363"/>
      <c r="S971" s="363"/>
      <c r="T971" s="363"/>
      <c r="U971" s="363"/>
      <c r="V971" s="363"/>
      <c r="W971" s="363"/>
      <c r="X971" s="363"/>
      <c r="Y971" s="363"/>
      <c r="Z971" s="363"/>
    </row>
    <row r="972" spans="1:26" ht="15.75" customHeight="1" x14ac:dyDescent="0.35">
      <c r="A972" s="363"/>
      <c r="B972" s="364"/>
      <c r="E972" s="364"/>
      <c r="H972" s="364"/>
      <c r="K972" s="363"/>
      <c r="L972" s="364"/>
      <c r="M972" s="363"/>
      <c r="N972" s="363"/>
      <c r="O972" s="363"/>
      <c r="P972" s="364"/>
      <c r="Q972" s="363"/>
      <c r="R972" s="363"/>
      <c r="S972" s="363"/>
      <c r="T972" s="363"/>
      <c r="U972" s="363"/>
      <c r="V972" s="363"/>
      <c r="W972" s="363"/>
      <c r="X972" s="363"/>
      <c r="Y972" s="363"/>
      <c r="Z972" s="363"/>
    </row>
    <row r="973" spans="1:26" ht="15.75" customHeight="1" x14ac:dyDescent="0.35">
      <c r="A973" s="363"/>
      <c r="B973" s="364"/>
      <c r="E973" s="364"/>
      <c r="H973" s="364"/>
      <c r="K973" s="363"/>
      <c r="L973" s="364"/>
      <c r="M973" s="363"/>
      <c r="N973" s="363"/>
      <c r="O973" s="363"/>
      <c r="P973" s="364"/>
      <c r="Q973" s="363"/>
      <c r="R973" s="363"/>
      <c r="S973" s="363"/>
      <c r="T973" s="363"/>
      <c r="U973" s="363"/>
      <c r="V973" s="363"/>
      <c r="W973" s="363"/>
      <c r="X973" s="363"/>
      <c r="Y973" s="363"/>
      <c r="Z973" s="363"/>
    </row>
    <row r="974" spans="1:26" ht="15.75" customHeight="1" x14ac:dyDescent="0.35">
      <c r="A974" s="363"/>
      <c r="B974" s="364"/>
      <c r="E974" s="364"/>
      <c r="H974" s="364"/>
      <c r="K974" s="363"/>
      <c r="L974" s="364"/>
      <c r="M974" s="363"/>
      <c r="N974" s="363"/>
      <c r="O974" s="363"/>
      <c r="P974" s="364"/>
      <c r="Q974" s="363"/>
      <c r="R974" s="363"/>
      <c r="S974" s="363"/>
      <c r="T974" s="363"/>
      <c r="U974" s="363"/>
      <c r="V974" s="363"/>
      <c r="W974" s="363"/>
      <c r="X974" s="363"/>
      <c r="Y974" s="363"/>
      <c r="Z974" s="363"/>
    </row>
    <row r="975" spans="1:26" ht="15.75" customHeight="1" x14ac:dyDescent="0.35">
      <c r="A975" s="363"/>
      <c r="B975" s="364"/>
      <c r="E975" s="364"/>
      <c r="H975" s="364"/>
      <c r="K975" s="363"/>
      <c r="L975" s="364"/>
      <c r="M975" s="363"/>
      <c r="N975" s="363"/>
      <c r="O975" s="363"/>
      <c r="P975" s="364"/>
      <c r="Q975" s="363"/>
      <c r="R975" s="363"/>
      <c r="S975" s="363"/>
      <c r="T975" s="363"/>
      <c r="U975" s="363"/>
      <c r="V975" s="363"/>
      <c r="W975" s="363"/>
      <c r="X975" s="363"/>
      <c r="Y975" s="363"/>
      <c r="Z975" s="363"/>
    </row>
    <row r="976" spans="1:26" ht="15.75" customHeight="1" x14ac:dyDescent="0.35">
      <c r="A976" s="363"/>
      <c r="B976" s="364"/>
      <c r="E976" s="364"/>
      <c r="H976" s="364"/>
      <c r="K976" s="363"/>
      <c r="L976" s="364"/>
      <c r="M976" s="363"/>
      <c r="N976" s="363"/>
      <c r="O976" s="363"/>
      <c r="P976" s="364"/>
      <c r="Q976" s="363"/>
      <c r="R976" s="363"/>
      <c r="S976" s="363"/>
      <c r="T976" s="363"/>
      <c r="U976" s="363"/>
      <c r="V976" s="363"/>
      <c r="W976" s="363"/>
      <c r="X976" s="363"/>
      <c r="Y976" s="363"/>
      <c r="Z976" s="363"/>
    </row>
    <row r="977" spans="1:26" ht="15.75" customHeight="1" x14ac:dyDescent="0.35">
      <c r="A977" s="363"/>
      <c r="B977" s="364"/>
      <c r="E977" s="364"/>
      <c r="H977" s="364"/>
      <c r="K977" s="363"/>
      <c r="L977" s="364"/>
      <c r="M977" s="363"/>
      <c r="N977" s="363"/>
      <c r="O977" s="363"/>
      <c r="P977" s="364"/>
      <c r="Q977" s="363"/>
      <c r="R977" s="363"/>
      <c r="S977" s="363"/>
      <c r="T977" s="363"/>
      <c r="U977" s="363"/>
      <c r="V977" s="363"/>
      <c r="W977" s="363"/>
      <c r="X977" s="363"/>
      <c r="Y977" s="363"/>
      <c r="Z977" s="363"/>
    </row>
    <row r="978" spans="1:26" ht="15.75" customHeight="1" x14ac:dyDescent="0.35">
      <c r="A978" s="363"/>
      <c r="B978" s="364"/>
      <c r="E978" s="364"/>
      <c r="H978" s="364"/>
      <c r="K978" s="363"/>
      <c r="L978" s="364"/>
      <c r="M978" s="363"/>
      <c r="N978" s="363"/>
      <c r="O978" s="363"/>
      <c r="P978" s="364"/>
      <c r="Q978" s="363"/>
      <c r="R978" s="363"/>
      <c r="S978" s="363"/>
      <c r="T978" s="363"/>
      <c r="U978" s="363"/>
      <c r="V978" s="363"/>
      <c r="W978" s="363"/>
      <c r="X978" s="363"/>
      <c r="Y978" s="363"/>
      <c r="Z978" s="363"/>
    </row>
    <row r="979" spans="1:26" ht="15.75" customHeight="1" x14ac:dyDescent="0.35">
      <c r="A979" s="363"/>
      <c r="B979" s="364"/>
      <c r="E979" s="364"/>
      <c r="H979" s="364"/>
      <c r="K979" s="363"/>
      <c r="L979" s="364"/>
      <c r="M979" s="363"/>
      <c r="N979" s="363"/>
      <c r="O979" s="363"/>
      <c r="P979" s="364"/>
      <c r="Q979" s="363"/>
      <c r="R979" s="363"/>
      <c r="S979" s="363"/>
      <c r="T979" s="363"/>
      <c r="U979" s="363"/>
      <c r="V979" s="363"/>
      <c r="W979" s="363"/>
      <c r="X979" s="363"/>
      <c r="Y979" s="363"/>
      <c r="Z979" s="363"/>
    </row>
    <row r="980" spans="1:26" ht="15.75" customHeight="1" x14ac:dyDescent="0.35">
      <c r="A980" s="363"/>
      <c r="B980" s="364"/>
      <c r="E980" s="364"/>
      <c r="H980" s="364"/>
      <c r="K980" s="363"/>
      <c r="L980" s="364"/>
      <c r="M980" s="363"/>
      <c r="N980" s="363"/>
      <c r="O980" s="363"/>
      <c r="P980" s="364"/>
      <c r="Q980" s="363"/>
      <c r="R980" s="363"/>
      <c r="S980" s="363"/>
      <c r="T980" s="363"/>
      <c r="U980" s="363"/>
      <c r="V980" s="363"/>
      <c r="W980" s="363"/>
      <c r="X980" s="363"/>
      <c r="Y980" s="363"/>
      <c r="Z980" s="363"/>
    </row>
    <row r="981" spans="1:26" ht="15.75" customHeight="1" x14ac:dyDescent="0.35">
      <c r="A981" s="363"/>
      <c r="B981" s="364"/>
      <c r="E981" s="364"/>
      <c r="H981" s="364"/>
      <c r="K981" s="363"/>
      <c r="L981" s="364"/>
      <c r="M981" s="363"/>
      <c r="N981" s="363"/>
      <c r="O981" s="363"/>
      <c r="P981" s="364"/>
      <c r="Q981" s="363"/>
      <c r="R981" s="363"/>
      <c r="S981" s="363"/>
      <c r="T981" s="363"/>
      <c r="U981" s="363"/>
      <c r="V981" s="363"/>
      <c r="W981" s="363"/>
      <c r="X981" s="363"/>
      <c r="Y981" s="363"/>
      <c r="Z981" s="363"/>
    </row>
    <row r="982" spans="1:26" ht="15.75" customHeight="1" x14ac:dyDescent="0.35">
      <c r="A982" s="363"/>
      <c r="B982" s="364"/>
      <c r="E982" s="364"/>
      <c r="H982" s="364"/>
      <c r="K982" s="363"/>
      <c r="L982" s="364"/>
      <c r="M982" s="363"/>
      <c r="N982" s="363"/>
      <c r="O982" s="363"/>
      <c r="P982" s="364"/>
      <c r="Q982" s="363"/>
      <c r="R982" s="363"/>
      <c r="S982" s="363"/>
      <c r="T982" s="363"/>
      <c r="U982" s="363"/>
      <c r="V982" s="363"/>
      <c r="W982" s="363"/>
      <c r="X982" s="363"/>
      <c r="Y982" s="363"/>
      <c r="Z982" s="363"/>
    </row>
    <row r="983" spans="1:26" ht="15.75" customHeight="1" x14ac:dyDescent="0.35">
      <c r="A983" s="363"/>
      <c r="B983" s="364"/>
      <c r="E983" s="364"/>
      <c r="H983" s="364"/>
      <c r="K983" s="363"/>
      <c r="L983" s="364"/>
      <c r="M983" s="363"/>
      <c r="N983" s="363"/>
      <c r="O983" s="363"/>
      <c r="P983" s="364"/>
      <c r="Q983" s="363"/>
      <c r="R983" s="363"/>
      <c r="S983" s="363"/>
      <c r="T983" s="363"/>
      <c r="U983" s="363"/>
      <c r="V983" s="363"/>
      <c r="W983" s="363"/>
      <c r="X983" s="363"/>
      <c r="Y983" s="363"/>
      <c r="Z983" s="363"/>
    </row>
    <row r="984" spans="1:26" ht="15.75" customHeight="1" x14ac:dyDescent="0.35">
      <c r="A984" s="363"/>
      <c r="B984" s="364"/>
      <c r="E984" s="364"/>
      <c r="H984" s="364"/>
      <c r="K984" s="363"/>
      <c r="L984" s="364"/>
      <c r="M984" s="363"/>
      <c r="N984" s="363"/>
      <c r="O984" s="363"/>
      <c r="P984" s="364"/>
      <c r="Q984" s="363"/>
      <c r="R984" s="363"/>
      <c r="S984" s="363"/>
      <c r="T984" s="363"/>
      <c r="U984" s="363"/>
      <c r="V984" s="363"/>
      <c r="W984" s="363"/>
      <c r="X984" s="363"/>
      <c r="Y984" s="363"/>
      <c r="Z984" s="363"/>
    </row>
    <row r="985" spans="1:26" ht="15.75" customHeight="1" x14ac:dyDescent="0.35">
      <c r="A985" s="363"/>
      <c r="B985" s="364"/>
      <c r="E985" s="364"/>
      <c r="H985" s="364"/>
      <c r="K985" s="363"/>
      <c r="L985" s="364"/>
      <c r="M985" s="363"/>
      <c r="N985" s="363"/>
      <c r="O985" s="363"/>
      <c r="P985" s="364"/>
      <c r="Q985" s="363"/>
      <c r="R985" s="363"/>
      <c r="S985" s="363"/>
      <c r="T985" s="363"/>
      <c r="U985" s="363"/>
      <c r="V985" s="363"/>
      <c r="W985" s="363"/>
      <c r="X985" s="363"/>
      <c r="Y985" s="363"/>
      <c r="Z985" s="363"/>
    </row>
    <row r="986" spans="1:26" ht="15.75" customHeight="1" x14ac:dyDescent="0.35">
      <c r="A986" s="363"/>
      <c r="B986" s="364"/>
      <c r="E986" s="364"/>
      <c r="H986" s="364"/>
      <c r="K986" s="363"/>
      <c r="L986" s="364"/>
      <c r="M986" s="363"/>
      <c r="N986" s="363"/>
      <c r="O986" s="363"/>
      <c r="P986" s="364"/>
      <c r="Q986" s="363"/>
      <c r="R986" s="363"/>
      <c r="S986" s="363"/>
      <c r="T986" s="363"/>
      <c r="U986" s="363"/>
      <c r="V986" s="363"/>
      <c r="W986" s="363"/>
      <c r="X986" s="363"/>
      <c r="Y986" s="363"/>
      <c r="Z986" s="363"/>
    </row>
    <row r="987" spans="1:26" ht="15.75" customHeight="1" x14ac:dyDescent="0.35">
      <c r="A987" s="363"/>
      <c r="B987" s="364"/>
      <c r="E987" s="364"/>
      <c r="H987" s="364"/>
      <c r="K987" s="363"/>
      <c r="L987" s="364"/>
      <c r="M987" s="363"/>
      <c r="N987" s="363"/>
      <c r="O987" s="363"/>
      <c r="P987" s="364"/>
      <c r="Q987" s="363"/>
      <c r="R987" s="363"/>
      <c r="S987" s="363"/>
      <c r="T987" s="363"/>
      <c r="U987" s="363"/>
      <c r="V987" s="363"/>
      <c r="W987" s="363"/>
      <c r="X987" s="363"/>
      <c r="Y987" s="363"/>
      <c r="Z987" s="363"/>
    </row>
    <row r="988" spans="1:26" ht="15.75" customHeight="1" x14ac:dyDescent="0.35">
      <c r="A988" s="363"/>
      <c r="B988" s="364"/>
      <c r="E988" s="364"/>
      <c r="H988" s="364"/>
      <c r="K988" s="363"/>
      <c r="L988" s="364"/>
      <c r="M988" s="363"/>
      <c r="N988" s="363"/>
      <c r="O988" s="363"/>
      <c r="P988" s="364"/>
      <c r="Q988" s="363"/>
      <c r="R988" s="363"/>
      <c r="S988" s="363"/>
      <c r="T988" s="363"/>
      <c r="U988" s="363"/>
      <c r="V988" s="363"/>
      <c r="W988" s="363"/>
      <c r="X988" s="363"/>
      <c r="Y988" s="363"/>
      <c r="Z988" s="363"/>
    </row>
    <row r="989" spans="1:26" ht="15.75" customHeight="1" x14ac:dyDescent="0.35">
      <c r="A989" s="363"/>
      <c r="B989" s="364"/>
      <c r="E989" s="364"/>
      <c r="H989" s="364"/>
      <c r="K989" s="363"/>
      <c r="L989" s="364"/>
      <c r="M989" s="363"/>
      <c r="N989" s="363"/>
      <c r="O989" s="363"/>
      <c r="P989" s="364"/>
      <c r="Q989" s="363"/>
      <c r="R989" s="363"/>
      <c r="S989" s="363"/>
      <c r="T989" s="363"/>
      <c r="U989" s="363"/>
      <c r="V989" s="363"/>
      <c r="W989" s="363"/>
      <c r="X989" s="363"/>
      <c r="Y989" s="363"/>
      <c r="Z989" s="363"/>
    </row>
    <row r="990" spans="1:26" ht="15.75" customHeight="1" x14ac:dyDescent="0.35">
      <c r="A990" s="363"/>
      <c r="B990" s="364"/>
      <c r="E990" s="364"/>
      <c r="H990" s="364"/>
      <c r="K990" s="363"/>
      <c r="L990" s="364"/>
      <c r="M990" s="363"/>
      <c r="N990" s="363"/>
      <c r="O990" s="363"/>
      <c r="P990" s="364"/>
      <c r="Q990" s="363"/>
      <c r="R990" s="363"/>
      <c r="S990" s="363"/>
      <c r="T990" s="363"/>
      <c r="U990" s="363"/>
      <c r="V990" s="363"/>
      <c r="W990" s="363"/>
      <c r="X990" s="363"/>
      <c r="Y990" s="363"/>
      <c r="Z990" s="363"/>
    </row>
    <row r="991" spans="1:26" ht="15.75" customHeight="1" x14ac:dyDescent="0.35">
      <c r="A991" s="363"/>
      <c r="B991" s="364"/>
      <c r="E991" s="364"/>
      <c r="H991" s="364"/>
      <c r="K991" s="363"/>
      <c r="L991" s="364"/>
      <c r="M991" s="363"/>
      <c r="N991" s="363"/>
      <c r="O991" s="363"/>
      <c r="P991" s="364"/>
      <c r="Q991" s="363"/>
      <c r="R991" s="363"/>
      <c r="S991" s="363"/>
      <c r="T991" s="363"/>
      <c r="U991" s="363"/>
      <c r="V991" s="363"/>
      <c r="W991" s="363"/>
      <c r="X991" s="363"/>
      <c r="Y991" s="363"/>
      <c r="Z991" s="363"/>
    </row>
    <row r="992" spans="1:26" ht="15.75" customHeight="1" x14ac:dyDescent="0.35">
      <c r="A992" s="363"/>
      <c r="B992" s="364"/>
      <c r="E992" s="364"/>
      <c r="H992" s="364"/>
      <c r="K992" s="363"/>
      <c r="L992" s="364"/>
      <c r="M992" s="363"/>
      <c r="N992" s="363"/>
      <c r="O992" s="363"/>
      <c r="P992" s="364"/>
      <c r="Q992" s="363"/>
      <c r="R992" s="363"/>
      <c r="S992" s="363"/>
      <c r="T992" s="363"/>
      <c r="U992" s="363"/>
      <c r="V992" s="363"/>
      <c r="W992" s="363"/>
      <c r="X992" s="363"/>
      <c r="Y992" s="363"/>
      <c r="Z992" s="363"/>
    </row>
    <row r="993" spans="1:26" ht="15.75" customHeight="1" x14ac:dyDescent="0.35">
      <c r="A993" s="363"/>
      <c r="B993" s="364"/>
      <c r="E993" s="364"/>
      <c r="H993" s="364"/>
      <c r="K993" s="363"/>
      <c r="L993" s="364"/>
      <c r="M993" s="363"/>
      <c r="N993" s="363"/>
      <c r="O993" s="363"/>
      <c r="P993" s="364"/>
      <c r="Q993" s="363"/>
      <c r="R993" s="363"/>
      <c r="S993" s="363"/>
      <c r="T993" s="363"/>
      <c r="U993" s="363"/>
      <c r="V993" s="363"/>
      <c r="W993" s="363"/>
      <c r="X993" s="363"/>
      <c r="Y993" s="363"/>
      <c r="Z993" s="363"/>
    </row>
    <row r="994" spans="1:26" ht="15.75" customHeight="1" x14ac:dyDescent="0.35">
      <c r="A994" s="363"/>
      <c r="B994" s="364"/>
      <c r="E994" s="364"/>
      <c r="H994" s="364"/>
      <c r="K994" s="363"/>
      <c r="L994" s="364"/>
      <c r="M994" s="363"/>
      <c r="N994" s="363"/>
      <c r="O994" s="363"/>
      <c r="P994" s="364"/>
      <c r="Q994" s="363"/>
      <c r="R994" s="363"/>
      <c r="S994" s="363"/>
      <c r="T994" s="363"/>
      <c r="U994" s="363"/>
      <c r="V994" s="363"/>
      <c r="W994" s="363"/>
      <c r="X994" s="363"/>
      <c r="Y994" s="363"/>
      <c r="Z994" s="363"/>
    </row>
    <row r="995" spans="1:26" ht="15.75" customHeight="1" x14ac:dyDescent="0.35">
      <c r="A995" s="363"/>
      <c r="B995" s="364"/>
      <c r="E995" s="364"/>
      <c r="H995" s="364"/>
      <c r="K995" s="363"/>
      <c r="L995" s="364"/>
      <c r="M995" s="363"/>
      <c r="N995" s="363"/>
      <c r="O995" s="363"/>
      <c r="P995" s="364"/>
      <c r="Q995" s="363"/>
      <c r="R995" s="363"/>
      <c r="S995" s="363"/>
      <c r="T995" s="363"/>
      <c r="U995" s="363"/>
      <c r="V995" s="363"/>
      <c r="W995" s="363"/>
      <c r="X995" s="363"/>
      <c r="Y995" s="363"/>
      <c r="Z995" s="363"/>
    </row>
    <row r="996" spans="1:26" ht="15.75" customHeight="1" x14ac:dyDescent="0.35">
      <c r="A996" s="363"/>
      <c r="B996" s="364"/>
      <c r="E996" s="364"/>
      <c r="H996" s="364"/>
      <c r="K996" s="363"/>
      <c r="L996" s="364"/>
      <c r="M996" s="363"/>
      <c r="N996" s="363"/>
      <c r="O996" s="363"/>
      <c r="P996" s="364"/>
      <c r="Q996" s="363"/>
      <c r="R996" s="363"/>
      <c r="S996" s="363"/>
      <c r="T996" s="363"/>
      <c r="U996" s="363"/>
      <c r="V996" s="363"/>
      <c r="W996" s="363"/>
      <c r="X996" s="363"/>
      <c r="Y996" s="363"/>
      <c r="Z996" s="363"/>
    </row>
    <row r="997" spans="1:26" ht="15.75" customHeight="1" x14ac:dyDescent="0.35">
      <c r="A997" s="363"/>
      <c r="B997" s="364"/>
      <c r="E997" s="364"/>
      <c r="H997" s="364"/>
      <c r="K997" s="363"/>
      <c r="L997" s="364"/>
      <c r="M997" s="363"/>
      <c r="N997" s="363"/>
      <c r="O997" s="363"/>
      <c r="P997" s="364"/>
      <c r="Q997" s="363"/>
      <c r="R997" s="363"/>
      <c r="S997" s="363"/>
      <c r="T997" s="363"/>
      <c r="U997" s="363"/>
      <c r="V997" s="363"/>
      <c r="W997" s="363"/>
      <c r="X997" s="363"/>
      <c r="Y997" s="363"/>
      <c r="Z997" s="363"/>
    </row>
    <row r="998" spans="1:26" ht="15.75" customHeight="1" x14ac:dyDescent="0.35">
      <c r="A998" s="363"/>
      <c r="B998" s="364"/>
      <c r="E998" s="364"/>
      <c r="H998" s="364"/>
      <c r="K998" s="363"/>
      <c r="L998" s="364"/>
      <c r="M998" s="363"/>
      <c r="N998" s="363"/>
      <c r="O998" s="363"/>
      <c r="P998" s="364"/>
      <c r="Q998" s="363"/>
      <c r="R998" s="363"/>
      <c r="S998" s="363"/>
      <c r="T998" s="363"/>
      <c r="U998" s="363"/>
      <c r="V998" s="363"/>
      <c r="W998" s="363"/>
      <c r="X998" s="363"/>
      <c r="Y998" s="363"/>
      <c r="Z998" s="363"/>
    </row>
    <row r="999" spans="1:26" ht="15.75" customHeight="1" x14ac:dyDescent="0.35">
      <c r="A999" s="363"/>
      <c r="B999" s="364"/>
      <c r="E999" s="364"/>
      <c r="H999" s="364"/>
      <c r="K999" s="363"/>
      <c r="L999" s="364"/>
      <c r="M999" s="363"/>
      <c r="N999" s="363"/>
      <c r="O999" s="363"/>
      <c r="P999" s="364"/>
      <c r="Q999" s="363"/>
      <c r="R999" s="363"/>
      <c r="S999" s="363"/>
      <c r="T999" s="363"/>
      <c r="U999" s="363"/>
      <c r="V999" s="363"/>
      <c r="W999" s="363"/>
      <c r="X999" s="363"/>
      <c r="Y999" s="363"/>
      <c r="Z999" s="363"/>
    </row>
    <row r="1000" spans="1:26" ht="15.75" customHeight="1" x14ac:dyDescent="0.35">
      <c r="A1000" s="363"/>
      <c r="B1000" s="364"/>
      <c r="E1000" s="364"/>
      <c r="H1000" s="364"/>
      <c r="K1000" s="363"/>
      <c r="L1000" s="364"/>
      <c r="M1000" s="363"/>
      <c r="N1000" s="363"/>
      <c r="O1000" s="363"/>
      <c r="P1000" s="364"/>
      <c r="Q1000" s="363"/>
      <c r="R1000" s="363"/>
      <c r="S1000" s="363"/>
      <c r="T1000" s="363"/>
      <c r="U1000" s="363"/>
      <c r="V1000" s="363"/>
      <c r="W1000" s="363"/>
      <c r="X1000" s="363"/>
      <c r="Y1000" s="363"/>
      <c r="Z1000" s="363"/>
    </row>
  </sheetData>
  <mergeCells count="1">
    <mergeCell ref="D2:Q2"/>
  </mergeCells>
  <hyperlinks>
    <hyperlink ref="C2" location="PAINEL!A1" display="&lt;&lt; VOLTAR AO PAINEL DE CONTROLE" xr:uid="{8BDDEB7D-A31D-4FAD-A9DA-D58ADD4F3141}"/>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2BF8-7EFE-4BD9-ABDC-64E2424FAC6E}">
  <sheetPr codeName="Planilha14">
    <tabColor theme="0" tint="-4.9989318521683403E-2"/>
  </sheetPr>
  <dimension ref="B1:L43"/>
  <sheetViews>
    <sheetView showGridLines="0" zoomScale="50" zoomScaleNormal="50" workbookViewId="0">
      <pane xSplit="1" ySplit="4" topLeftCell="B5" activePane="bottomRight" state="frozen"/>
      <selection activeCell="G17" sqref="G17"/>
      <selection pane="topRight" activeCell="G17" sqref="G17"/>
      <selection pane="bottomLeft" activeCell="G17" sqref="G17"/>
      <selection pane="bottomRight" activeCell="C2" sqref="C2"/>
    </sheetView>
  </sheetViews>
  <sheetFormatPr defaultColWidth="14.453125" defaultRowHeight="15.75" customHeight="1" x14ac:dyDescent="0.35"/>
  <cols>
    <col min="1" max="1" width="4.26953125" style="3" customWidth="1"/>
    <col min="2" max="2" width="9.7265625" style="2" customWidth="1"/>
    <col min="3" max="3" width="37.1796875" bestFit="1" customWidth="1"/>
    <col min="4" max="4" width="2.54296875" customWidth="1"/>
    <col min="5" max="5" width="222.54296875" customWidth="1"/>
    <col min="6" max="6" width="2.453125" customWidth="1"/>
    <col min="7" max="7" width="18.1796875" style="15" customWidth="1"/>
    <col min="8" max="8" width="46.81640625" style="3" customWidth="1"/>
    <col min="9" max="9" width="14.81640625" style="3" customWidth="1"/>
    <col min="10" max="10" width="1.81640625" style="3" customWidth="1"/>
    <col min="11" max="11" width="46.81640625" style="3" customWidth="1"/>
    <col min="12" max="12" width="14.81640625" style="3" customWidth="1"/>
    <col min="13" max="16384" width="14.453125" style="3"/>
  </cols>
  <sheetData>
    <row r="1" spans="2:12" ht="14.5" customHeight="1" x14ac:dyDescent="0.35"/>
    <row r="2" spans="2:12" customFormat="1" ht="59.15" customHeight="1" x14ac:dyDescent="0.35">
      <c r="B2" s="106"/>
      <c r="C2" s="99" t="s">
        <v>147</v>
      </c>
      <c r="D2" s="412" t="s">
        <v>122</v>
      </c>
      <c r="E2" s="413"/>
      <c r="F2" s="413"/>
      <c r="G2" s="414"/>
    </row>
    <row r="3" spans="2:12" ht="7.5" customHeight="1" x14ac:dyDescent="0.35"/>
    <row r="4" spans="2:12" s="112" customFormat="1" ht="63" customHeight="1" x14ac:dyDescent="0.8">
      <c r="B4" s="106" t="s">
        <v>55</v>
      </c>
      <c r="C4" s="100" t="s">
        <v>193</v>
      </c>
      <c r="D4" s="111"/>
      <c r="E4" s="107" t="s">
        <v>199</v>
      </c>
      <c r="F4" s="111"/>
      <c r="G4" s="113" t="s">
        <v>198</v>
      </c>
      <c r="H4" s="3"/>
      <c r="I4" s="3"/>
      <c r="J4" s="3"/>
      <c r="K4" s="3"/>
      <c r="L4" s="3"/>
    </row>
    <row r="5" spans="2:12" ht="6.75" customHeight="1" thickBot="1" x14ac:dyDescent="0.4"/>
    <row r="6" spans="2:12" ht="25.5" customHeight="1" thickTop="1" thickBot="1" x14ac:dyDescent="0.4">
      <c r="B6" s="125">
        <v>1</v>
      </c>
      <c r="C6" s="132" t="s">
        <v>194</v>
      </c>
      <c r="D6" s="124"/>
      <c r="E6" s="126" t="s">
        <v>195</v>
      </c>
      <c r="F6" s="124"/>
      <c r="G6" s="125" t="s">
        <v>117</v>
      </c>
    </row>
    <row r="7" spans="2:12" ht="25.5" customHeight="1" thickTop="1" thickBot="1" x14ac:dyDescent="0.4">
      <c r="B7" s="125">
        <v>2</v>
      </c>
      <c r="C7" s="132" t="s">
        <v>194</v>
      </c>
      <c r="D7" s="124"/>
      <c r="E7" s="126" t="s">
        <v>196</v>
      </c>
      <c r="F7" s="124"/>
      <c r="G7" s="125" t="s">
        <v>117</v>
      </c>
    </row>
    <row r="8" spans="2:12" ht="25.5" customHeight="1" thickTop="1" thickBot="1" x14ac:dyDescent="0.4">
      <c r="B8" s="125">
        <v>3</v>
      </c>
      <c r="C8" s="132" t="s">
        <v>194</v>
      </c>
      <c r="D8" s="124"/>
      <c r="E8" s="126" t="s">
        <v>197</v>
      </c>
      <c r="F8" s="124"/>
      <c r="G8" s="125" t="s">
        <v>117</v>
      </c>
    </row>
    <row r="9" spans="2:12" ht="25.5" customHeight="1" thickBot="1" x14ac:dyDescent="0.4">
      <c r="B9" s="125">
        <v>4</v>
      </c>
      <c r="C9" s="133" t="s">
        <v>202</v>
      </c>
      <c r="E9" s="128" t="s">
        <v>200</v>
      </c>
      <c r="G9" s="131" t="s">
        <v>117</v>
      </c>
    </row>
    <row r="10" spans="2:12" ht="25.5" customHeight="1" thickBot="1" x14ac:dyDescent="0.4">
      <c r="B10" s="125">
        <v>5</v>
      </c>
      <c r="C10" s="133" t="s">
        <v>202</v>
      </c>
      <c r="E10" s="128" t="s">
        <v>201</v>
      </c>
      <c r="G10" s="131" t="s">
        <v>117</v>
      </c>
    </row>
    <row r="11" spans="2:12" ht="25.5" customHeight="1" thickTop="1" thickBot="1" x14ac:dyDescent="0.4">
      <c r="B11" s="125">
        <v>6</v>
      </c>
      <c r="C11" s="132" t="s">
        <v>212</v>
      </c>
      <c r="E11" s="126" t="s">
        <v>203</v>
      </c>
      <c r="G11" s="131"/>
    </row>
    <row r="12" spans="2:12" ht="25.5" customHeight="1" thickTop="1" thickBot="1" x14ac:dyDescent="0.4">
      <c r="B12" s="125">
        <v>7</v>
      </c>
      <c r="C12" s="132" t="s">
        <v>212</v>
      </c>
      <c r="E12" s="126" t="s">
        <v>204</v>
      </c>
      <c r="G12" s="131"/>
    </row>
    <row r="13" spans="2:12" ht="25.5" customHeight="1" thickTop="1" thickBot="1" x14ac:dyDescent="0.4">
      <c r="B13" s="125">
        <v>8</v>
      </c>
      <c r="C13" s="132" t="s">
        <v>212</v>
      </c>
      <c r="E13" s="126" t="s">
        <v>205</v>
      </c>
      <c r="G13" s="131"/>
    </row>
    <row r="14" spans="2:12" ht="25.5" customHeight="1" thickTop="1" thickBot="1" x14ac:dyDescent="0.4">
      <c r="B14" s="125">
        <v>9</v>
      </c>
      <c r="C14" s="132" t="s">
        <v>212</v>
      </c>
      <c r="E14" s="126" t="s">
        <v>206</v>
      </c>
      <c r="G14" s="131"/>
    </row>
    <row r="15" spans="2:12" ht="25.5" customHeight="1" thickTop="1" thickBot="1" x14ac:dyDescent="0.4">
      <c r="B15" s="125">
        <v>10</v>
      </c>
      <c r="C15" s="132" t="s">
        <v>212</v>
      </c>
      <c r="E15" s="126" t="s">
        <v>207</v>
      </c>
      <c r="G15" s="131"/>
    </row>
    <row r="16" spans="2:12" ht="25.5" customHeight="1" thickTop="1" thickBot="1" x14ac:dyDescent="0.4">
      <c r="B16" s="125">
        <v>11</v>
      </c>
      <c r="C16" s="132" t="s">
        <v>212</v>
      </c>
      <c r="E16" s="126" t="s">
        <v>208</v>
      </c>
      <c r="G16" s="131"/>
    </row>
    <row r="17" spans="2:7" ht="25.5" customHeight="1" thickTop="1" thickBot="1" x14ac:dyDescent="0.4">
      <c r="B17" s="125">
        <v>12</v>
      </c>
      <c r="C17" s="132" t="s">
        <v>212</v>
      </c>
      <c r="E17" s="126" t="s">
        <v>209</v>
      </c>
      <c r="G17" s="131"/>
    </row>
    <row r="18" spans="2:7" ht="25.5" customHeight="1" thickTop="1" thickBot="1" x14ac:dyDescent="0.4">
      <c r="B18" s="125">
        <v>13</v>
      </c>
      <c r="C18" s="132" t="s">
        <v>212</v>
      </c>
      <c r="E18" s="126" t="s">
        <v>210</v>
      </c>
      <c r="G18" s="131"/>
    </row>
    <row r="19" spans="2:7" ht="25.5" customHeight="1" thickTop="1" thickBot="1" x14ac:dyDescent="0.4">
      <c r="B19" s="125">
        <v>14</v>
      </c>
      <c r="C19" s="132" t="s">
        <v>212</v>
      </c>
      <c r="E19" s="126" t="s">
        <v>211</v>
      </c>
      <c r="G19" s="131"/>
    </row>
    <row r="20" spans="2:7" ht="25.5" customHeight="1" thickBot="1" x14ac:dyDescent="0.4">
      <c r="B20" s="125">
        <v>15</v>
      </c>
      <c r="C20" s="133" t="s">
        <v>230</v>
      </c>
      <c r="E20" s="128" t="s">
        <v>213</v>
      </c>
      <c r="G20" s="131"/>
    </row>
    <row r="21" spans="2:7" ht="25.5" customHeight="1" thickTop="1" thickBot="1" x14ac:dyDescent="0.4">
      <c r="B21" s="125">
        <v>16</v>
      </c>
      <c r="C21" s="133" t="s">
        <v>230</v>
      </c>
      <c r="E21" s="127" t="s">
        <v>214</v>
      </c>
      <c r="G21" s="131"/>
    </row>
    <row r="22" spans="2:7" ht="25.5" customHeight="1" thickBot="1" x14ac:dyDescent="0.4">
      <c r="B22" s="125">
        <v>17</v>
      </c>
      <c r="C22" s="133" t="s">
        <v>230</v>
      </c>
      <c r="E22" s="128" t="s">
        <v>215</v>
      </c>
      <c r="G22" s="131"/>
    </row>
    <row r="23" spans="2:7" ht="25.5" customHeight="1" thickBot="1" x14ac:dyDescent="0.4">
      <c r="B23" s="125">
        <v>18</v>
      </c>
      <c r="C23" s="133" t="s">
        <v>230</v>
      </c>
      <c r="E23" s="128" t="s">
        <v>216</v>
      </c>
      <c r="G23" s="131"/>
    </row>
    <row r="24" spans="2:7" ht="25.5" customHeight="1" thickBot="1" x14ac:dyDescent="0.4">
      <c r="B24" s="125">
        <v>19</v>
      </c>
      <c r="C24" s="133" t="s">
        <v>230</v>
      </c>
      <c r="E24" s="128" t="s">
        <v>217</v>
      </c>
      <c r="G24" s="131"/>
    </row>
    <row r="25" spans="2:7" ht="25.5" customHeight="1" thickBot="1" x14ac:dyDescent="0.4">
      <c r="B25" s="125">
        <v>20</v>
      </c>
      <c r="C25" s="133" t="s">
        <v>230</v>
      </c>
      <c r="E25" s="128" t="s">
        <v>218</v>
      </c>
      <c r="G25" s="131"/>
    </row>
    <row r="26" spans="2:7" ht="25.5" customHeight="1" thickBot="1" x14ac:dyDescent="0.4">
      <c r="B26" s="125">
        <v>21</v>
      </c>
      <c r="C26" s="133" t="s">
        <v>230</v>
      </c>
      <c r="E26" s="128" t="s">
        <v>219</v>
      </c>
      <c r="G26" s="131"/>
    </row>
    <row r="27" spans="2:7" ht="25.5" customHeight="1" thickBot="1" x14ac:dyDescent="0.4">
      <c r="B27" s="125">
        <v>22</v>
      </c>
      <c r="C27" s="133" t="s">
        <v>230</v>
      </c>
      <c r="E27" s="128" t="s">
        <v>220</v>
      </c>
      <c r="G27" s="131"/>
    </row>
    <row r="28" spans="2:7" ht="25.5" customHeight="1" thickBot="1" x14ac:dyDescent="0.4">
      <c r="B28" s="125">
        <v>23</v>
      </c>
      <c r="C28" s="133" t="s">
        <v>230</v>
      </c>
      <c r="E28" s="128" t="s">
        <v>221</v>
      </c>
      <c r="G28" s="131"/>
    </row>
    <row r="29" spans="2:7" ht="25.5" customHeight="1" thickBot="1" x14ac:dyDescent="0.4">
      <c r="B29" s="125">
        <v>24</v>
      </c>
      <c r="C29" s="133" t="s">
        <v>230</v>
      </c>
      <c r="E29" s="128" t="s">
        <v>221</v>
      </c>
      <c r="G29" s="131"/>
    </row>
    <row r="30" spans="2:7" ht="25.5" customHeight="1" thickBot="1" x14ac:dyDescent="0.4">
      <c r="B30" s="125">
        <v>25</v>
      </c>
      <c r="C30" s="133" t="s">
        <v>230</v>
      </c>
      <c r="E30" s="128" t="s">
        <v>222</v>
      </c>
      <c r="G30" s="131"/>
    </row>
    <row r="31" spans="2:7" ht="25.5" customHeight="1" thickBot="1" x14ac:dyDescent="0.4">
      <c r="B31" s="125">
        <v>26</v>
      </c>
      <c r="C31" s="133" t="s">
        <v>230</v>
      </c>
      <c r="E31" s="128" t="s">
        <v>223</v>
      </c>
      <c r="G31" s="131"/>
    </row>
    <row r="32" spans="2:7" ht="25.5" customHeight="1" thickBot="1" x14ac:dyDescent="0.4">
      <c r="B32" s="125">
        <v>27</v>
      </c>
      <c r="C32" s="133" t="s">
        <v>230</v>
      </c>
      <c r="E32" s="128" t="s">
        <v>224</v>
      </c>
      <c r="G32" s="131"/>
    </row>
    <row r="33" spans="2:7" ht="25.5" customHeight="1" thickBot="1" x14ac:dyDescent="0.4">
      <c r="B33" s="125">
        <v>28</v>
      </c>
      <c r="C33" s="133" t="s">
        <v>230</v>
      </c>
      <c r="E33" s="128" t="s">
        <v>225</v>
      </c>
      <c r="G33" s="131"/>
    </row>
    <row r="34" spans="2:7" ht="25.5" customHeight="1" thickBot="1" x14ac:dyDescent="0.4">
      <c r="B34" s="125">
        <v>29</v>
      </c>
      <c r="C34" s="133" t="s">
        <v>230</v>
      </c>
      <c r="E34" s="128" t="s">
        <v>226</v>
      </c>
      <c r="G34" s="131"/>
    </row>
    <row r="35" spans="2:7" ht="25.5" customHeight="1" thickBot="1" x14ac:dyDescent="0.4">
      <c r="B35" s="125">
        <v>30</v>
      </c>
      <c r="C35" s="133" t="s">
        <v>230</v>
      </c>
      <c r="E35" s="128" t="s">
        <v>227</v>
      </c>
      <c r="G35" s="131"/>
    </row>
    <row r="36" spans="2:7" ht="25.5" customHeight="1" thickBot="1" x14ac:dyDescent="0.4">
      <c r="B36" s="125">
        <v>31</v>
      </c>
      <c r="C36" s="133" t="s">
        <v>230</v>
      </c>
      <c r="E36" s="128" t="s">
        <v>228</v>
      </c>
      <c r="G36" s="131"/>
    </row>
    <row r="37" spans="2:7" ht="25.5" customHeight="1" thickBot="1" x14ac:dyDescent="0.4">
      <c r="B37" s="125">
        <v>32</v>
      </c>
      <c r="C37" s="133" t="s">
        <v>230</v>
      </c>
      <c r="E37" s="128" t="s">
        <v>229</v>
      </c>
      <c r="G37" s="131"/>
    </row>
    <row r="38" spans="2:7" ht="25.5" customHeight="1" thickTop="1" thickBot="1" x14ac:dyDescent="0.4">
      <c r="B38" s="125">
        <v>33</v>
      </c>
      <c r="C38" s="132" t="s">
        <v>237</v>
      </c>
      <c r="E38" s="126" t="s">
        <v>231</v>
      </c>
      <c r="G38" s="131"/>
    </row>
    <row r="39" spans="2:7" ht="25.5" customHeight="1" thickTop="1" thickBot="1" x14ac:dyDescent="0.4">
      <c r="B39" s="125">
        <v>34</v>
      </c>
      <c r="C39" s="132" t="s">
        <v>237</v>
      </c>
      <c r="E39" s="126" t="s">
        <v>232</v>
      </c>
      <c r="G39" s="131"/>
    </row>
    <row r="40" spans="2:7" ht="25.5" customHeight="1" thickTop="1" thickBot="1" x14ac:dyDescent="0.4">
      <c r="B40" s="125">
        <v>35</v>
      </c>
      <c r="C40" s="132" t="s">
        <v>237</v>
      </c>
      <c r="E40" s="129" t="s">
        <v>233</v>
      </c>
      <c r="G40" s="131"/>
    </row>
    <row r="41" spans="2:7" ht="25.5" customHeight="1" thickTop="1" thickBot="1" x14ac:dyDescent="0.4">
      <c r="B41" s="125">
        <v>36</v>
      </c>
      <c r="C41" s="132" t="s">
        <v>237</v>
      </c>
      <c r="E41" s="129" t="s">
        <v>234</v>
      </c>
      <c r="G41" s="131"/>
    </row>
    <row r="42" spans="2:7" ht="25.5" customHeight="1" thickTop="1" thickBot="1" x14ac:dyDescent="0.4">
      <c r="B42" s="125">
        <v>37</v>
      </c>
      <c r="C42" s="132" t="s">
        <v>237</v>
      </c>
      <c r="E42" s="129" t="s">
        <v>235</v>
      </c>
      <c r="G42" s="131"/>
    </row>
    <row r="43" spans="2:7" ht="25.5" customHeight="1" thickTop="1" thickBot="1" x14ac:dyDescent="0.4">
      <c r="B43" s="125">
        <v>38</v>
      </c>
      <c r="C43" s="132" t="s">
        <v>237</v>
      </c>
      <c r="E43" s="129" t="s">
        <v>236</v>
      </c>
      <c r="G43" s="131"/>
    </row>
  </sheetData>
  <mergeCells count="1">
    <mergeCell ref="D2:G2"/>
  </mergeCells>
  <hyperlinks>
    <hyperlink ref="C2" location="PAINEL!A1" display="&lt;&lt; VOLTAR AO PAINEL DE CONTROLE" xr:uid="{E07674D0-58E5-4F11-8949-DC3BADFA5B7A}"/>
  </hyperlinks>
  <pageMargins left="0.511811024" right="0.511811024" top="0.78740157499999996" bottom="0.78740157499999996" header="0.31496062000000002" footer="0.31496062000000002"/>
  <pageSetup paperSize="9"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C0FE9-FE45-4FA3-8967-B4453D97DCB1}">
  <sheetPr codeName="Planilha15">
    <tabColor theme="0" tint="-4.9989318521683403E-2"/>
  </sheetPr>
  <dimension ref="B1:W9"/>
  <sheetViews>
    <sheetView showGridLines="0" zoomScale="50" zoomScaleNormal="50" workbookViewId="0">
      <pane xSplit="1" ySplit="4" topLeftCell="B5" activePane="bottomRight" state="frozen"/>
      <selection activeCell="G17" sqref="G17"/>
      <selection pane="topRight" activeCell="G17" sqref="G17"/>
      <selection pane="bottomLeft" activeCell="G17" sqref="G17"/>
      <selection pane="bottomRight" activeCell="F4" sqref="F4"/>
    </sheetView>
  </sheetViews>
  <sheetFormatPr defaultColWidth="14.453125" defaultRowHeight="15.75" customHeight="1" x14ac:dyDescent="0.35"/>
  <cols>
    <col min="1" max="1" width="4.26953125" style="3" customWidth="1"/>
    <col min="2" max="2" width="7" style="15" customWidth="1"/>
    <col min="3" max="3" width="47.453125" customWidth="1"/>
    <col min="4" max="4" width="2.54296875" customWidth="1"/>
    <col min="5" max="5" width="7" style="15" customWidth="1"/>
    <col min="6" max="6" width="46.81640625" customWidth="1"/>
    <col min="7" max="7" width="1.81640625" customWidth="1"/>
    <col min="8" max="8" width="7" style="15" customWidth="1"/>
    <col min="9" max="9" width="46.81640625" customWidth="1"/>
    <col min="10" max="10" width="1.81640625" customWidth="1"/>
    <col min="11" max="11" width="0.81640625" style="3" customWidth="1"/>
    <col min="12" max="12" width="7" style="15" customWidth="1"/>
    <col min="13" max="13" width="46.81640625" style="3" customWidth="1"/>
    <col min="14" max="14" width="2.1796875" style="3" customWidth="1"/>
    <col min="15" max="15" width="1.453125" style="3" hidden="1" customWidth="1"/>
    <col min="16" max="16" width="7" style="15" customWidth="1"/>
    <col min="17" max="17" width="57.453125" style="3" customWidth="1"/>
    <col min="18" max="18" width="1.54296875" style="3" customWidth="1"/>
    <col min="19" max="19" width="46.81640625" style="3" customWidth="1"/>
    <col min="20" max="20" width="14.81640625" style="3" customWidth="1"/>
    <col min="21" max="21" width="1.81640625" style="3" customWidth="1"/>
    <col min="22" max="22" width="46.81640625" style="3" customWidth="1"/>
    <col min="23" max="23" width="14.81640625" style="3" customWidth="1"/>
    <col min="24" max="16384" width="14.453125" style="3"/>
  </cols>
  <sheetData>
    <row r="1" spans="2:23" ht="14.5" customHeight="1" x14ac:dyDescent="0.35"/>
    <row r="2" spans="2:23" customFormat="1" ht="59.15" customHeight="1" x14ac:dyDescent="0.35">
      <c r="B2" s="113" t="s">
        <v>55</v>
      </c>
      <c r="C2" s="99" t="s">
        <v>147</v>
      </c>
      <c r="D2" s="408" t="s">
        <v>238</v>
      </c>
      <c r="E2" s="409"/>
      <c r="F2" s="409"/>
      <c r="G2" s="409"/>
      <c r="H2" s="409"/>
      <c r="I2" s="409"/>
      <c r="J2" s="409"/>
      <c r="K2" s="409"/>
      <c r="L2" s="409"/>
      <c r="M2" s="409"/>
      <c r="N2" s="409"/>
      <c r="O2" s="409"/>
      <c r="P2" s="409"/>
      <c r="Q2" s="409"/>
    </row>
    <row r="4" spans="2:23" s="112" customFormat="1" ht="36" x14ac:dyDescent="0.8">
      <c r="B4" s="113" t="s">
        <v>55</v>
      </c>
      <c r="C4" s="100" t="s">
        <v>239</v>
      </c>
      <c r="D4" s="111"/>
      <c r="E4" s="113" t="s">
        <v>55</v>
      </c>
      <c r="F4" s="100" t="s">
        <v>239</v>
      </c>
      <c r="G4" s="111"/>
      <c r="H4" s="113" t="s">
        <v>55</v>
      </c>
      <c r="I4" s="100" t="s">
        <v>239</v>
      </c>
      <c r="J4" s="111"/>
      <c r="L4" s="113" t="s">
        <v>55</v>
      </c>
      <c r="M4" s="100" t="s">
        <v>239</v>
      </c>
      <c r="P4" s="113" t="s">
        <v>55</v>
      </c>
      <c r="Q4" s="100" t="s">
        <v>239</v>
      </c>
      <c r="R4" s="3"/>
      <c r="S4" s="3"/>
      <c r="T4" s="3"/>
      <c r="U4" s="3"/>
      <c r="V4" s="3"/>
      <c r="W4" s="3"/>
    </row>
    <row r="5" spans="2:23" ht="6.75" customHeight="1" x14ac:dyDescent="0.35">
      <c r="M5"/>
      <c r="Q5"/>
    </row>
    <row r="6" spans="2:23" ht="84" customHeight="1" x14ac:dyDescent="0.35">
      <c r="B6" s="106"/>
      <c r="C6" s="130" t="s">
        <v>240</v>
      </c>
      <c r="E6" s="106"/>
      <c r="F6" s="130" t="s">
        <v>240</v>
      </c>
      <c r="H6" s="106"/>
      <c r="I6" s="130" t="s">
        <v>240</v>
      </c>
      <c r="L6" s="106"/>
      <c r="M6" s="130" t="s">
        <v>240</v>
      </c>
      <c r="P6" s="106"/>
      <c r="Q6" s="130" t="s">
        <v>240</v>
      </c>
    </row>
    <row r="7" spans="2:23" ht="109" customHeight="1" x14ac:dyDescent="0.35">
      <c r="B7" s="106">
        <v>1</v>
      </c>
      <c r="C7" s="20"/>
      <c r="E7" s="106">
        <v>1</v>
      </c>
      <c r="F7" s="20"/>
      <c r="H7" s="106">
        <v>1</v>
      </c>
      <c r="I7" s="20"/>
      <c r="L7" s="106">
        <v>1</v>
      </c>
      <c r="M7" s="20"/>
      <c r="P7" s="106">
        <v>1</v>
      </c>
      <c r="Q7" s="20"/>
    </row>
    <row r="8" spans="2:23" ht="109" customHeight="1" x14ac:dyDescent="0.35">
      <c r="B8" s="106">
        <v>2</v>
      </c>
      <c r="C8" s="20"/>
      <c r="E8" s="106">
        <v>2</v>
      </c>
      <c r="F8" s="20"/>
      <c r="H8" s="106">
        <v>2</v>
      </c>
      <c r="I8" s="20"/>
      <c r="L8" s="106">
        <v>2</v>
      </c>
      <c r="M8" s="20"/>
      <c r="P8" s="106">
        <v>2</v>
      </c>
      <c r="Q8" s="20"/>
    </row>
    <row r="9" spans="2:23" ht="109" customHeight="1" x14ac:dyDescent="0.35">
      <c r="B9" s="106">
        <v>3</v>
      </c>
      <c r="C9" s="20"/>
      <c r="E9" s="106">
        <v>3</v>
      </c>
      <c r="F9" s="20"/>
      <c r="H9" s="106">
        <v>3</v>
      </c>
      <c r="I9" s="20"/>
      <c r="L9" s="106">
        <v>3</v>
      </c>
      <c r="M9" s="20"/>
      <c r="P9" s="106">
        <v>3</v>
      </c>
      <c r="Q9" s="20"/>
    </row>
  </sheetData>
  <mergeCells count="1">
    <mergeCell ref="D2:Q2"/>
  </mergeCells>
  <hyperlinks>
    <hyperlink ref="C2" location="PAINEL!A1" display="&lt;&lt; VOLTAR AO PAINEL DE CONTROLE" xr:uid="{C0C8C980-6CD3-4877-97DF-A70EFFC4685C}"/>
  </hyperlinks>
  <pageMargins left="0.511811024" right="0.511811024" top="0.78740157499999996" bottom="0.78740157499999996" header="0.31496062000000002" footer="0.31496062000000002"/>
  <pageSetup paperSize="9" orientation="portrait"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8FB7-23AB-408D-8BA8-8029A4AC1CAF}">
  <sheetPr>
    <tabColor theme="0" tint="-4.9989318521683403E-2"/>
  </sheetPr>
  <dimension ref="B1:I12"/>
  <sheetViews>
    <sheetView showGridLines="0" zoomScale="40" zoomScaleNormal="40" workbookViewId="0">
      <pane xSplit="1" ySplit="4" topLeftCell="B5" activePane="bottomRight" state="frozen"/>
      <selection activeCell="B5" sqref="B5:B17"/>
      <selection pane="topRight" activeCell="B5" sqref="B5:B17"/>
      <selection pane="bottomLeft" activeCell="B5" sqref="B5:B17"/>
      <selection pane="bottomRight"/>
    </sheetView>
  </sheetViews>
  <sheetFormatPr defaultColWidth="14.453125" defaultRowHeight="15.75" customHeight="1" x14ac:dyDescent="0.35"/>
  <cols>
    <col min="1" max="1" width="4.26953125" style="3" customWidth="1"/>
    <col min="2" max="2" width="2.54296875" customWidth="1"/>
    <col min="3" max="3" width="26.54296875" style="15" customWidth="1"/>
    <col min="4" max="5" width="43.54296875" style="15" customWidth="1"/>
    <col min="6" max="7" width="43.54296875" customWidth="1"/>
    <col min="8" max="8" width="43.54296875" style="15" customWidth="1"/>
    <col min="9" max="9" width="43.54296875" customWidth="1"/>
    <col min="10" max="10" width="14.81640625" style="3" customWidth="1"/>
    <col min="11" max="11" width="1.81640625" style="3" customWidth="1"/>
    <col min="12" max="12" width="46.81640625" style="3" customWidth="1"/>
    <col min="13" max="13" width="14.81640625" style="3" customWidth="1"/>
    <col min="14" max="16384" width="14.453125" style="3"/>
  </cols>
  <sheetData>
    <row r="1" spans="2:9" ht="14.5" customHeight="1" x14ac:dyDescent="0.35"/>
    <row r="2" spans="2:9" customFormat="1" ht="59.15" customHeight="1" x14ac:dyDescent="0.35">
      <c r="C2" s="164" t="s">
        <v>147</v>
      </c>
      <c r="D2" s="408" t="s">
        <v>439</v>
      </c>
      <c r="E2" s="409"/>
      <c r="F2" s="409"/>
      <c r="G2" s="409"/>
      <c r="H2" s="409"/>
      <c r="I2" s="409"/>
    </row>
    <row r="3" spans="2:9" ht="5.5" customHeight="1" x14ac:dyDescent="0.35"/>
    <row r="4" spans="2:9" s="171" customFormat="1" ht="38.5" customHeight="1" x14ac:dyDescent="0.75">
      <c r="B4" s="170"/>
      <c r="C4" s="176"/>
      <c r="D4" s="418" t="s">
        <v>449</v>
      </c>
      <c r="E4" s="419"/>
      <c r="F4" s="168" t="s">
        <v>440</v>
      </c>
      <c r="G4" s="168" t="s">
        <v>450</v>
      </c>
      <c r="H4" s="168" t="s">
        <v>441</v>
      </c>
      <c r="I4" s="168" t="s">
        <v>442</v>
      </c>
    </row>
    <row r="5" spans="2:9" ht="6.75" customHeight="1" x14ac:dyDescent="0.35">
      <c r="C5" s="177"/>
      <c r="F5" s="15"/>
      <c r="G5" s="15"/>
      <c r="I5" s="15"/>
    </row>
    <row r="6" spans="2:9" ht="81" customHeight="1" x14ac:dyDescent="0.35">
      <c r="C6" s="177"/>
      <c r="D6" s="420" t="s">
        <v>966</v>
      </c>
      <c r="E6" s="421"/>
      <c r="F6" s="172">
        <v>100000</v>
      </c>
      <c r="G6" s="172">
        <v>90000</v>
      </c>
      <c r="H6" s="173">
        <f>F6-G6</f>
        <v>10000</v>
      </c>
      <c r="I6" s="169" t="s">
        <v>443</v>
      </c>
    </row>
    <row r="7" spans="2:9" ht="4.5" customHeight="1" thickBot="1" x14ac:dyDescent="0.4">
      <c r="C7" s="177"/>
    </row>
    <row r="8" spans="2:9" ht="38.5" customHeight="1" thickBot="1" x14ac:dyDescent="0.4">
      <c r="C8" s="177"/>
      <c r="D8" s="174" t="s">
        <v>444</v>
      </c>
      <c r="E8" s="174" t="s">
        <v>445</v>
      </c>
      <c r="F8" s="174" t="s">
        <v>446</v>
      </c>
      <c r="G8" s="174" t="s">
        <v>447</v>
      </c>
      <c r="H8" s="174" t="s">
        <v>448</v>
      </c>
      <c r="I8" s="174" t="s">
        <v>451</v>
      </c>
    </row>
    <row r="9" spans="2:9" ht="148.5" customHeight="1" thickTop="1" x14ac:dyDescent="0.35">
      <c r="B9" s="124"/>
      <c r="C9" s="177"/>
      <c r="D9" s="175" t="s">
        <v>955</v>
      </c>
      <c r="E9" s="175" t="s">
        <v>956</v>
      </c>
      <c r="F9" s="175" t="s">
        <v>957</v>
      </c>
      <c r="G9" s="356" t="s">
        <v>958</v>
      </c>
      <c r="H9" s="175"/>
      <c r="I9" s="175"/>
    </row>
    <row r="10" spans="2:9" ht="5.5" customHeight="1" thickBot="1" x14ac:dyDescent="0.4">
      <c r="C10" s="177"/>
    </row>
    <row r="11" spans="2:9" ht="38.5" customHeight="1" thickBot="1" x14ac:dyDescent="0.4">
      <c r="C11" s="177"/>
      <c r="D11" s="422" t="s">
        <v>452</v>
      </c>
      <c r="E11" s="423"/>
      <c r="F11" s="423"/>
      <c r="G11" s="424"/>
      <c r="H11" s="174" t="s">
        <v>453</v>
      </c>
      <c r="I11" s="174" t="s">
        <v>454</v>
      </c>
    </row>
    <row r="12" spans="2:9" ht="148.5" customHeight="1" thickTop="1" x14ac:dyDescent="0.35">
      <c r="B12" s="124"/>
      <c r="C12" s="177"/>
      <c r="D12" s="415" t="s">
        <v>965</v>
      </c>
      <c r="E12" s="416"/>
      <c r="F12" s="416"/>
      <c r="G12" s="417"/>
      <c r="H12" s="175" t="s">
        <v>964</v>
      </c>
      <c r="I12" s="315">
        <v>45688</v>
      </c>
    </row>
  </sheetData>
  <mergeCells count="5">
    <mergeCell ref="D12:G12"/>
    <mergeCell ref="D2:I2"/>
    <mergeCell ref="D4:E4"/>
    <mergeCell ref="D6:E6"/>
    <mergeCell ref="D11:G11"/>
  </mergeCells>
  <hyperlinks>
    <hyperlink ref="C2" location="PAINEL!A1" display="&lt;&lt; VOLTAR AO PAINEL DE CONTROLE" xr:uid="{AAE0E860-2774-4FD4-A6D6-D4A098DA5505}"/>
  </hyperlinks>
  <pageMargins left="0.511811024" right="0.511811024" top="0.78740157499999996" bottom="0.78740157499999996" header="0.31496062000000002" footer="0.31496062000000002"/>
  <pageSetup paperSize="9" orientation="portrait"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D73C-6967-4C80-815C-FB73AF6EAAC6}">
  <sheetPr>
    <tabColor theme="0" tint="-4.9989318521683403E-2"/>
  </sheetPr>
  <dimension ref="B1:V10"/>
  <sheetViews>
    <sheetView showGridLines="0" zoomScale="50" zoomScaleNormal="50" workbookViewId="0">
      <pane xSplit="1" ySplit="4" topLeftCell="B5" activePane="bottomRight" state="frozen"/>
      <selection activeCell="G17" sqref="G17"/>
      <selection pane="topRight" activeCell="G17" sqref="G17"/>
      <selection pane="bottomLeft" activeCell="G17" sqref="G17"/>
      <selection pane="bottomRight"/>
    </sheetView>
  </sheetViews>
  <sheetFormatPr defaultColWidth="14.453125" defaultRowHeight="15.75" customHeight="1" x14ac:dyDescent="0.35"/>
  <cols>
    <col min="1" max="1" width="4.26953125" style="3" customWidth="1"/>
    <col min="2" max="2" width="2.54296875" customWidth="1"/>
    <col min="3" max="3" width="30.1796875" style="15" customWidth="1"/>
    <col min="4" max="4" width="11.453125" style="15" customWidth="1"/>
    <col min="5" max="5" width="1" style="15" customWidth="1"/>
    <col min="6" max="6" width="95.54296875" customWidth="1"/>
    <col min="7" max="7" width="1.81640625" customWidth="1"/>
    <col min="8" max="8" width="16.26953125" style="15" bestFit="1" customWidth="1"/>
    <col min="9" max="9" width="1.81640625" customWidth="1"/>
    <col min="10" max="10" width="0.81640625" style="3" customWidth="1"/>
    <col min="11" max="11" width="10.81640625" style="15" customWidth="1"/>
    <col min="12" max="12" width="1" style="15" customWidth="1"/>
    <col min="13" max="13" width="95.54296875" style="3" customWidth="1"/>
    <col min="14" max="14" width="2.1796875" style="3" customWidth="1"/>
    <col min="15" max="15" width="1.453125" style="3" hidden="1" customWidth="1"/>
    <col min="16" max="16" width="18.1796875" style="15" customWidth="1"/>
    <col min="17" max="17" width="1.54296875" style="3" customWidth="1"/>
    <col min="18" max="18" width="46.81640625" style="3" customWidth="1"/>
    <col min="19" max="19" width="14.81640625" style="3" customWidth="1"/>
    <col min="20" max="20" width="1.81640625" style="3" customWidth="1"/>
    <col min="21" max="21" width="46.81640625" style="3" customWidth="1"/>
    <col min="22" max="22" width="14.81640625" style="3" customWidth="1"/>
    <col min="23" max="16384" width="14.453125" style="3"/>
  </cols>
  <sheetData>
    <row r="1" spans="2:22" ht="14.5" customHeight="1" x14ac:dyDescent="0.35"/>
    <row r="2" spans="2:22" customFormat="1" ht="59.15" customHeight="1" x14ac:dyDescent="0.35">
      <c r="C2" s="164" t="s">
        <v>147</v>
      </c>
      <c r="D2" s="408" t="s">
        <v>125</v>
      </c>
      <c r="E2" s="409"/>
      <c r="F2" s="409"/>
      <c r="G2" s="409"/>
      <c r="H2" s="409"/>
      <c r="I2" s="409"/>
      <c r="J2" s="409"/>
      <c r="K2" s="409"/>
      <c r="L2" s="427"/>
      <c r="M2" s="425" t="s">
        <v>407</v>
      </c>
      <c r="N2" s="426"/>
      <c r="O2" s="158"/>
      <c r="P2" s="165">
        <f>AVERAGE(H6,H7,H8,H9,H10,P6,P7,P8,P9,P10)</f>
        <v>6.5</v>
      </c>
    </row>
    <row r="4" spans="2:22" s="112" customFormat="1" ht="52" x14ac:dyDescent="0.8">
      <c r="B4" s="111"/>
      <c r="D4" s="163" t="s">
        <v>55</v>
      </c>
      <c r="E4" s="15"/>
      <c r="F4" s="100" t="s">
        <v>406</v>
      </c>
      <c r="G4" s="111"/>
      <c r="H4" s="106" t="s">
        <v>7</v>
      </c>
      <c r="I4" s="111"/>
      <c r="K4" s="163" t="s">
        <v>55</v>
      </c>
      <c r="L4" s="15"/>
      <c r="M4" s="100" t="s">
        <v>406</v>
      </c>
      <c r="P4" s="106" t="s">
        <v>7</v>
      </c>
      <c r="Q4" s="3"/>
      <c r="R4" s="3"/>
      <c r="S4" s="3"/>
      <c r="T4" s="3"/>
      <c r="U4" s="3"/>
      <c r="V4" s="3"/>
    </row>
    <row r="5" spans="2:22" ht="6.75" customHeight="1" x14ac:dyDescent="0.35">
      <c r="M5"/>
    </row>
    <row r="6" spans="2:22" ht="77.150000000000006" customHeight="1" x14ac:dyDescent="0.35">
      <c r="D6" s="167">
        <v>1</v>
      </c>
      <c r="F6" s="194" t="s">
        <v>408</v>
      </c>
      <c r="H6" s="166">
        <v>5</v>
      </c>
      <c r="K6" s="167">
        <v>6</v>
      </c>
      <c r="M6" s="194" t="s">
        <v>413</v>
      </c>
      <c r="P6" s="166">
        <v>4</v>
      </c>
    </row>
    <row r="7" spans="2:22" ht="77.150000000000006" customHeight="1" x14ac:dyDescent="0.35">
      <c r="D7" s="167">
        <v>2</v>
      </c>
      <c r="F7" s="194" t="s">
        <v>409</v>
      </c>
      <c r="H7" s="166">
        <v>6</v>
      </c>
      <c r="K7" s="167">
        <v>7</v>
      </c>
      <c r="M7" s="194" t="s">
        <v>414</v>
      </c>
      <c r="P7" s="166">
        <v>6</v>
      </c>
    </row>
    <row r="8" spans="2:22" ht="77.150000000000006" customHeight="1" x14ac:dyDescent="0.35">
      <c r="D8" s="167">
        <v>3</v>
      </c>
      <c r="F8" s="194" t="s">
        <v>410</v>
      </c>
      <c r="H8" s="166">
        <v>7</v>
      </c>
      <c r="K8" s="167">
        <v>8</v>
      </c>
      <c r="M8" s="194" t="s">
        <v>415</v>
      </c>
      <c r="P8" s="166">
        <v>5</v>
      </c>
    </row>
    <row r="9" spans="2:22" ht="77.150000000000006" customHeight="1" x14ac:dyDescent="0.35">
      <c r="D9" s="167">
        <v>4</v>
      </c>
      <c r="F9" s="194" t="s">
        <v>411</v>
      </c>
      <c r="H9" s="166">
        <v>8</v>
      </c>
      <c r="K9" s="167">
        <v>9</v>
      </c>
      <c r="M9" s="194" t="s">
        <v>416</v>
      </c>
      <c r="P9" s="166">
        <v>7</v>
      </c>
    </row>
    <row r="10" spans="2:22" ht="77.150000000000006" customHeight="1" x14ac:dyDescent="0.35">
      <c r="D10" s="167">
        <v>5</v>
      </c>
      <c r="F10" s="194" t="s">
        <v>412</v>
      </c>
      <c r="H10" s="166">
        <v>9</v>
      </c>
      <c r="K10" s="167">
        <v>10</v>
      </c>
      <c r="M10" s="194" t="s">
        <v>417</v>
      </c>
      <c r="P10" s="166">
        <v>8</v>
      </c>
    </row>
  </sheetData>
  <mergeCells count="2">
    <mergeCell ref="M2:N2"/>
    <mergeCell ref="D2:L2"/>
  </mergeCells>
  <hyperlinks>
    <hyperlink ref="C2" location="PAINEL!A1" display="&lt;&lt; VOLTAR AO PAINEL DE CONTROLE" xr:uid="{B9FC4208-1DC0-4C61-8F0C-29FBBAA9D542}"/>
  </hyperlinks>
  <pageMargins left="0.511811024" right="0.511811024" top="0.78740157499999996" bottom="0.78740157499999996" header="0.31496062000000002" footer="0.31496062000000002"/>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1D24-F8E7-4F0B-A4BF-D48A523E39A9}">
  <sheetPr>
    <tabColor theme="0" tint="-4.9989318521683403E-2"/>
  </sheetPr>
  <dimension ref="B1:N18"/>
  <sheetViews>
    <sheetView showGridLines="0" zoomScale="50" zoomScaleNormal="50" workbookViewId="0"/>
  </sheetViews>
  <sheetFormatPr defaultColWidth="14.453125" defaultRowHeight="15.75" customHeight="1" x14ac:dyDescent="0.35"/>
  <cols>
    <col min="1" max="1" width="4.26953125" style="3" customWidth="1"/>
    <col min="2" max="2" width="2.54296875" customWidth="1"/>
    <col min="3" max="3" width="30.1796875" style="15" customWidth="1"/>
    <col min="4" max="4" width="1.1796875" style="15" customWidth="1"/>
    <col min="5" max="5" width="40.453125" style="15" customWidth="1"/>
    <col min="6" max="6" width="40.1796875" style="15" customWidth="1"/>
    <col min="7" max="7" width="43.81640625" style="15" customWidth="1"/>
    <col min="8" max="8" width="27.1796875" bestFit="1" customWidth="1"/>
    <col min="9" max="9" width="27.26953125" customWidth="1"/>
    <col min="10" max="10" width="31.54296875" style="15" customWidth="1"/>
    <col min="11" max="11" width="14.81640625" style="3" customWidth="1"/>
    <col min="12" max="12" width="7.26953125" style="3" customWidth="1"/>
    <col min="13" max="13" width="22.1796875" style="3" customWidth="1"/>
    <col min="14" max="14" width="26.26953125" style="3" customWidth="1"/>
    <col min="15" max="16384" width="14.453125" style="3"/>
  </cols>
  <sheetData>
    <row r="1" spans="2:14" ht="14.5" customHeight="1" x14ac:dyDescent="0.35"/>
    <row r="2" spans="2:14" customFormat="1" ht="59.15" customHeight="1" x14ac:dyDescent="0.35">
      <c r="C2" s="164" t="s">
        <v>147</v>
      </c>
      <c r="D2" s="15"/>
      <c r="E2" s="408" t="s">
        <v>898</v>
      </c>
      <c r="F2" s="409"/>
      <c r="G2" s="409"/>
      <c r="H2" s="409"/>
      <c r="I2" s="409"/>
      <c r="J2" s="409"/>
    </row>
    <row r="4" spans="2:14" s="112" customFormat="1" ht="83.15" customHeight="1" x14ac:dyDescent="0.8">
      <c r="B4" s="111"/>
      <c r="C4" s="428" t="s">
        <v>912</v>
      </c>
      <c r="D4" s="15"/>
      <c r="E4" s="312" t="s">
        <v>899</v>
      </c>
      <c r="F4" s="313" t="s">
        <v>907</v>
      </c>
      <c r="G4" s="314" t="s">
        <v>908</v>
      </c>
      <c r="H4" s="314" t="s">
        <v>909</v>
      </c>
      <c r="I4" s="314" t="s">
        <v>910</v>
      </c>
      <c r="J4" s="314" t="s">
        <v>911</v>
      </c>
      <c r="K4" s="3"/>
      <c r="L4" s="3"/>
      <c r="M4" s="3"/>
      <c r="N4" s="3"/>
    </row>
    <row r="5" spans="2:14" ht="26" x14ac:dyDescent="0.6">
      <c r="C5" s="429"/>
      <c r="E5" s="270" t="s">
        <v>900</v>
      </c>
      <c r="F5" s="311">
        <v>1</v>
      </c>
      <c r="G5" s="311">
        <v>1</v>
      </c>
      <c r="H5" s="311">
        <v>3</v>
      </c>
      <c r="I5" s="271">
        <v>2000</v>
      </c>
      <c r="J5" s="272">
        <f t="shared" ref="J5:J10" si="0">G5*H5*I5</f>
        <v>6000</v>
      </c>
    </row>
    <row r="6" spans="2:14" ht="26" x14ac:dyDescent="0.6">
      <c r="C6" s="429"/>
      <c r="E6" s="270" t="s">
        <v>901</v>
      </c>
      <c r="F6" s="311">
        <v>2</v>
      </c>
      <c r="G6" s="311">
        <v>1</v>
      </c>
      <c r="H6" s="311">
        <v>2</v>
      </c>
      <c r="I6" s="271">
        <v>3000</v>
      </c>
      <c r="J6" s="272">
        <f t="shared" si="0"/>
        <v>6000</v>
      </c>
    </row>
    <row r="7" spans="2:14" ht="26" x14ac:dyDescent="0.6">
      <c r="C7" s="429"/>
      <c r="E7" s="270" t="s">
        <v>902</v>
      </c>
      <c r="F7" s="311">
        <v>3</v>
      </c>
      <c r="G7" s="311">
        <v>1</v>
      </c>
      <c r="H7" s="311">
        <v>2</v>
      </c>
      <c r="I7" s="271">
        <v>5000</v>
      </c>
      <c r="J7" s="272">
        <f t="shared" si="0"/>
        <v>10000</v>
      </c>
    </row>
    <row r="8" spans="2:14" ht="26" x14ac:dyDescent="0.6">
      <c r="C8" s="429"/>
      <c r="E8" s="270" t="s">
        <v>903</v>
      </c>
      <c r="F8" s="311">
        <v>4</v>
      </c>
      <c r="G8" s="311">
        <v>1</v>
      </c>
      <c r="H8" s="311">
        <v>2</v>
      </c>
      <c r="I8" s="271">
        <v>8000</v>
      </c>
      <c r="J8" s="272">
        <f t="shared" si="0"/>
        <v>16000</v>
      </c>
    </row>
    <row r="9" spans="2:14" ht="26" x14ac:dyDescent="0.6">
      <c r="C9" s="429"/>
      <c r="E9" s="270" t="s">
        <v>904</v>
      </c>
      <c r="F9" s="311">
        <v>6</v>
      </c>
      <c r="G9" s="311">
        <v>1</v>
      </c>
      <c r="H9" s="311">
        <v>2</v>
      </c>
      <c r="I9" s="271">
        <v>10000</v>
      </c>
      <c r="J9" s="272">
        <f t="shared" si="0"/>
        <v>20000</v>
      </c>
    </row>
    <row r="10" spans="2:14" ht="26" x14ac:dyDescent="0.6">
      <c r="C10" s="429"/>
      <c r="E10" s="270" t="s">
        <v>905</v>
      </c>
      <c r="F10" s="311">
        <v>12</v>
      </c>
      <c r="G10" s="311">
        <v>1</v>
      </c>
      <c r="H10" s="311">
        <v>1</v>
      </c>
      <c r="I10" s="271">
        <v>20000</v>
      </c>
      <c r="J10" s="272">
        <f t="shared" si="0"/>
        <v>20000</v>
      </c>
    </row>
    <row r="11" spans="2:14" ht="45.65" customHeight="1" x14ac:dyDescent="0.35">
      <c r="C11" s="429"/>
      <c r="E11" s="308" t="s">
        <v>906</v>
      </c>
      <c r="F11" s="308" t="s">
        <v>92</v>
      </c>
      <c r="G11" s="308" t="s">
        <v>92</v>
      </c>
      <c r="H11" s="309">
        <f>SUM(H5:H10)</f>
        <v>12</v>
      </c>
      <c r="I11" s="310" t="s">
        <v>92</v>
      </c>
      <c r="J11" s="274">
        <f>SUM(J5:J10)</f>
        <v>78000</v>
      </c>
    </row>
    <row r="12" spans="2:14" ht="5.5" customHeight="1" x14ac:dyDescent="0.35">
      <c r="E12" s="268"/>
      <c r="F12" s="269"/>
      <c r="G12" s="269"/>
      <c r="H12" s="269"/>
      <c r="I12" s="269"/>
      <c r="J12" s="269"/>
    </row>
    <row r="13" spans="2:14" ht="45.65" customHeight="1" x14ac:dyDescent="0.35">
      <c r="C13" s="432"/>
      <c r="E13" s="430" t="s">
        <v>950</v>
      </c>
      <c r="F13" s="431"/>
      <c r="G13" s="431"/>
      <c r="H13" s="431"/>
      <c r="I13" s="431"/>
      <c r="J13" s="274">
        <f>J11</f>
        <v>78000</v>
      </c>
      <c r="K13" s="307" t="s">
        <v>954</v>
      </c>
    </row>
    <row r="14" spans="2:14" ht="5.5" customHeight="1" x14ac:dyDescent="0.35">
      <c r="C14" s="432"/>
      <c r="E14" s="268"/>
      <c r="F14" s="269"/>
      <c r="G14" s="269"/>
      <c r="H14" s="269"/>
      <c r="I14" s="269"/>
      <c r="J14" s="269"/>
    </row>
    <row r="15" spans="2:14" ht="45.65" customHeight="1" x14ac:dyDescent="0.35">
      <c r="C15" s="432"/>
      <c r="E15" s="430" t="s">
        <v>951</v>
      </c>
      <c r="F15" s="431"/>
      <c r="G15" s="431"/>
      <c r="H15" s="431"/>
      <c r="I15" s="431"/>
      <c r="J15" s="274">
        <v>1000000</v>
      </c>
      <c r="K15" s="273" t="s">
        <v>952</v>
      </c>
    </row>
    <row r="16" spans="2:14" ht="5.5" customHeight="1" x14ac:dyDescent="0.35">
      <c r="C16" s="432"/>
      <c r="E16" s="268"/>
      <c r="F16" s="269"/>
      <c r="G16" s="269"/>
      <c r="H16" s="269"/>
      <c r="I16" s="269"/>
      <c r="J16" s="269"/>
    </row>
    <row r="17" spans="3:11" ht="45.65" customHeight="1" x14ac:dyDescent="0.35">
      <c r="C17" s="432"/>
      <c r="E17" s="430" t="s">
        <v>953</v>
      </c>
      <c r="F17" s="431"/>
      <c r="G17" s="431"/>
      <c r="H17" s="431"/>
      <c r="I17" s="431"/>
      <c r="J17" s="275">
        <f>J13/J15</f>
        <v>7.8E-2</v>
      </c>
      <c r="K17" s="307" t="s">
        <v>954</v>
      </c>
    </row>
    <row r="18" spans="3:11" ht="15.75" customHeight="1" x14ac:dyDescent="0.35">
      <c r="E18" s="268"/>
      <c r="F18" s="269"/>
      <c r="G18" s="269"/>
      <c r="H18" s="269"/>
      <c r="I18" s="269"/>
      <c r="J18" s="269"/>
    </row>
  </sheetData>
  <mergeCells count="6">
    <mergeCell ref="C4:C11"/>
    <mergeCell ref="E17:I17"/>
    <mergeCell ref="E2:J2"/>
    <mergeCell ref="E13:I13"/>
    <mergeCell ref="E15:I15"/>
    <mergeCell ref="C13:C17"/>
  </mergeCells>
  <hyperlinks>
    <hyperlink ref="C2" location="PAINEL!A1" display="&lt;&lt; VOLTAR AO PAINEL DE CONTROLE" xr:uid="{BBA14A5D-3C2E-46FF-A879-6D86DA7610D2}"/>
  </hyperlinks>
  <pageMargins left="0.511811024" right="0.511811024" top="0.78740157499999996" bottom="0.78740157499999996" header="0.31496062000000002" footer="0.31496062000000002"/>
  <pageSetup paperSize="9"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72C9-391F-41CC-819A-C284A64203B1}">
  <sheetPr codeName="Planilha12">
    <tabColor theme="0" tint="-4.9989318521683403E-2"/>
  </sheetPr>
  <dimension ref="A2:N50"/>
  <sheetViews>
    <sheetView showGridLines="0" zoomScale="50" zoomScaleNormal="50" workbookViewId="0">
      <pane ySplit="4" topLeftCell="A5" activePane="bottomLeft" state="frozen"/>
      <selection activeCell="M21" sqref="M21"/>
      <selection pane="bottomLeft"/>
    </sheetView>
  </sheetViews>
  <sheetFormatPr defaultColWidth="14.453125" defaultRowHeight="15.75" customHeight="1" x14ac:dyDescent="0.35"/>
  <cols>
    <col min="1" max="1" width="4.453125" style="3" customWidth="1"/>
    <col min="2" max="2" width="74.54296875" customWidth="1"/>
    <col min="3" max="3" width="1.81640625" customWidth="1"/>
    <col min="4" max="4" width="74.54296875" customWidth="1"/>
    <col min="5" max="5" width="1.81640625" customWidth="1"/>
    <col min="6" max="6" width="74.54296875" customWidth="1"/>
    <col min="7" max="7" width="2" customWidth="1"/>
    <col min="8" max="8" width="74.54296875" customWidth="1"/>
    <col min="9" max="9" width="18.81640625" style="3" customWidth="1"/>
    <col min="10" max="10" width="2.81640625" style="3" bestFit="1" customWidth="1"/>
    <col min="11" max="11" width="1.453125" style="3" customWidth="1"/>
    <col min="12" max="12" width="21.1796875" style="3" customWidth="1"/>
    <col min="13" max="13" width="2.81640625" style="3" bestFit="1" customWidth="1"/>
    <col min="14" max="14" width="1.54296875" style="3" customWidth="1"/>
    <col min="15" max="16384" width="14.453125" style="3"/>
  </cols>
  <sheetData>
    <row r="2" spans="1:14" customFormat="1" ht="59.15" customHeight="1" x14ac:dyDescent="0.35">
      <c r="B2" s="99" t="s">
        <v>147</v>
      </c>
      <c r="D2" s="408" t="s">
        <v>127</v>
      </c>
      <c r="E2" s="409"/>
      <c r="F2" s="409"/>
      <c r="G2" s="409"/>
      <c r="H2" s="409"/>
    </row>
    <row r="3" spans="1:14" ht="6.65" customHeight="1" x14ac:dyDescent="0.35"/>
    <row r="4" spans="1:14" s="109" customFormat="1" ht="31" x14ac:dyDescent="0.7">
      <c r="B4" s="107" t="s">
        <v>189</v>
      </c>
      <c r="C4" s="108"/>
      <c r="D4" s="107" t="s">
        <v>190</v>
      </c>
      <c r="E4" s="108"/>
      <c r="F4" s="107" t="s">
        <v>191</v>
      </c>
      <c r="G4" s="108"/>
      <c r="H4" s="107" t="s">
        <v>192</v>
      </c>
    </row>
    <row r="5" spans="1:14" ht="6.75" customHeight="1" x14ac:dyDescent="0.35"/>
    <row r="6" spans="1:14" ht="77.5" customHeight="1" x14ac:dyDescent="1">
      <c r="B6" s="157" t="s">
        <v>396</v>
      </c>
      <c r="C6" s="122"/>
      <c r="D6" s="157" t="s">
        <v>397</v>
      </c>
      <c r="E6" s="123"/>
      <c r="F6" s="157" t="s">
        <v>398</v>
      </c>
      <c r="G6" s="123"/>
      <c r="H6" s="157" t="s">
        <v>399</v>
      </c>
    </row>
    <row r="7" spans="1:14" ht="64.5" customHeight="1" x14ac:dyDescent="0.5">
      <c r="B7" s="326" t="s">
        <v>293</v>
      </c>
      <c r="C7" s="155"/>
      <c r="D7" s="326" t="s">
        <v>303</v>
      </c>
      <c r="E7" s="266"/>
      <c r="F7" s="326" t="s">
        <v>294</v>
      </c>
      <c r="G7" s="266"/>
      <c r="H7" s="326" t="s">
        <v>297</v>
      </c>
    </row>
    <row r="8" spans="1:14" ht="64.5" customHeight="1" x14ac:dyDescent="0.5">
      <c r="B8" s="326" t="s">
        <v>305</v>
      </c>
      <c r="C8" s="155"/>
      <c r="D8" s="326" t="s">
        <v>302</v>
      </c>
      <c r="E8" s="266"/>
      <c r="F8" s="326" t="s">
        <v>295</v>
      </c>
      <c r="G8" s="266"/>
      <c r="H8" s="326" t="s">
        <v>298</v>
      </c>
    </row>
    <row r="9" spans="1:14" ht="64.5" customHeight="1" x14ac:dyDescent="0.5">
      <c r="B9" s="326" t="s">
        <v>306</v>
      </c>
      <c r="C9" s="155"/>
      <c r="D9" s="326" t="s">
        <v>304</v>
      </c>
      <c r="E9" s="266"/>
      <c r="F9" s="326" t="s">
        <v>296</v>
      </c>
      <c r="G9" s="266"/>
      <c r="H9" s="326" t="s">
        <v>300</v>
      </c>
    </row>
    <row r="10" spans="1:14" ht="64.5" customHeight="1" x14ac:dyDescent="0.5">
      <c r="B10" s="326" t="s">
        <v>307</v>
      </c>
      <c r="C10" s="155"/>
      <c r="D10" s="326" t="s">
        <v>309</v>
      </c>
      <c r="E10" s="266"/>
      <c r="F10" s="326" t="s">
        <v>299</v>
      </c>
      <c r="G10" s="266"/>
      <c r="H10" s="326" t="s">
        <v>301</v>
      </c>
    </row>
    <row r="11" spans="1:14" ht="64.5" customHeight="1" x14ac:dyDescent="0.5">
      <c r="B11" s="326" t="s">
        <v>308</v>
      </c>
      <c r="C11" s="155"/>
      <c r="D11" s="326" t="s">
        <v>310</v>
      </c>
      <c r="E11" s="266"/>
      <c r="F11" s="326" t="s">
        <v>311</v>
      </c>
      <c r="G11" s="266"/>
      <c r="H11" s="326" t="s">
        <v>312</v>
      </c>
    </row>
    <row r="12" spans="1:14" ht="6.65" customHeight="1" x14ac:dyDescent="0.35">
      <c r="B12" s="3"/>
      <c r="C12" s="3"/>
      <c r="D12" s="3"/>
      <c r="E12" s="3"/>
      <c r="F12" s="3"/>
      <c r="G12" s="3"/>
      <c r="H12" s="3"/>
    </row>
    <row r="13" spans="1:14" s="105" customFormat="1" ht="31" x14ac:dyDescent="0.7">
      <c r="A13" s="3"/>
      <c r="B13" s="107" t="s">
        <v>189</v>
      </c>
      <c r="C13" s="108"/>
      <c r="D13" s="107" t="s">
        <v>190</v>
      </c>
      <c r="E13" s="108"/>
      <c r="F13" s="107" t="s">
        <v>191</v>
      </c>
      <c r="G13" s="108"/>
      <c r="H13" s="107" t="s">
        <v>192</v>
      </c>
      <c r="I13" s="3"/>
      <c r="J13" s="3"/>
      <c r="K13" s="3"/>
      <c r="L13" s="3"/>
      <c r="M13" s="3"/>
      <c r="N13" s="3"/>
    </row>
    <row r="14" spans="1:14" ht="64.5" customHeight="1" x14ac:dyDescent="0.5">
      <c r="B14" s="154"/>
      <c r="C14" s="155"/>
      <c r="D14" s="156"/>
      <c r="E14" s="155"/>
      <c r="F14" s="154"/>
      <c r="G14" s="155"/>
      <c r="H14" s="154"/>
    </row>
    <row r="15" spans="1:14" ht="64.5" customHeight="1" x14ac:dyDescent="0.5">
      <c r="B15" s="154"/>
      <c r="C15" s="155"/>
      <c r="D15" s="156"/>
      <c r="E15" s="155"/>
      <c r="F15" s="154"/>
      <c r="G15" s="155"/>
      <c r="H15" s="154"/>
    </row>
    <row r="16" spans="1:14" ht="64.5" customHeight="1" x14ac:dyDescent="0.5">
      <c r="B16" s="154"/>
      <c r="C16" s="155"/>
      <c r="D16" s="156"/>
      <c r="E16" s="155"/>
      <c r="F16" s="154"/>
      <c r="G16" s="155"/>
      <c r="H16" s="154"/>
    </row>
    <row r="17" spans="2:8" ht="64.5" customHeight="1" x14ac:dyDescent="0.5">
      <c r="B17" s="154"/>
      <c r="C17" s="155"/>
      <c r="D17" s="156"/>
      <c r="E17" s="155"/>
      <c r="F17" s="154"/>
      <c r="G17" s="155"/>
      <c r="H17" s="154"/>
    </row>
    <row r="18" spans="2:8" ht="64.5" customHeight="1" x14ac:dyDescent="0.5">
      <c r="B18" s="154"/>
      <c r="C18" s="155"/>
      <c r="D18" s="156"/>
      <c r="E18" s="155"/>
      <c r="F18" s="154"/>
      <c r="G18" s="155"/>
      <c r="H18" s="154"/>
    </row>
    <row r="19" spans="2:8" ht="64.5" customHeight="1" x14ac:dyDescent="0.5">
      <c r="B19" s="154"/>
      <c r="C19" s="155"/>
      <c r="D19" s="156"/>
      <c r="E19" s="155"/>
      <c r="F19" s="154"/>
      <c r="G19" s="155"/>
      <c r="H19" s="154"/>
    </row>
    <row r="20" spans="2:8" ht="64.5" customHeight="1" x14ac:dyDescent="0.5">
      <c r="B20" s="154"/>
      <c r="C20" s="155"/>
      <c r="D20" s="156"/>
      <c r="E20" s="155"/>
      <c r="F20" s="154"/>
      <c r="G20" s="155"/>
      <c r="H20" s="154"/>
    </row>
    <row r="21" spans="2:8" ht="64.5" customHeight="1" x14ac:dyDescent="0.5">
      <c r="B21" s="154"/>
      <c r="C21" s="155"/>
      <c r="D21" s="156"/>
      <c r="E21" s="155"/>
      <c r="F21" s="154"/>
      <c r="G21" s="155"/>
      <c r="H21" s="154"/>
    </row>
    <row r="22" spans="2:8" ht="64.5" customHeight="1" x14ac:dyDescent="0.5">
      <c r="B22" s="154"/>
      <c r="C22" s="155"/>
      <c r="D22" s="156"/>
      <c r="E22" s="155"/>
      <c r="F22" s="154"/>
      <c r="G22" s="155"/>
      <c r="H22" s="154"/>
    </row>
    <row r="23" spans="2:8" ht="64.5" customHeight="1" x14ac:dyDescent="0.5">
      <c r="B23" s="154"/>
      <c r="C23" s="155"/>
      <c r="D23" s="156"/>
      <c r="E23" s="155"/>
      <c r="F23" s="154"/>
      <c r="G23" s="155"/>
      <c r="H23" s="154"/>
    </row>
    <row r="24" spans="2:8" ht="64.5" customHeight="1" x14ac:dyDescent="0.5">
      <c r="B24" s="154"/>
      <c r="C24" s="155"/>
      <c r="D24" s="156"/>
      <c r="E24" s="155"/>
      <c r="F24" s="154"/>
      <c r="G24" s="155"/>
      <c r="H24" s="154"/>
    </row>
    <row r="25" spans="2:8" ht="64.5" customHeight="1" x14ac:dyDescent="0.5">
      <c r="B25" s="154"/>
      <c r="C25" s="155"/>
      <c r="D25" s="156"/>
      <c r="E25" s="155"/>
      <c r="F25" s="154"/>
      <c r="G25" s="155"/>
      <c r="H25" s="154"/>
    </row>
    <row r="26" spans="2:8" ht="64.5" customHeight="1" x14ac:dyDescent="0.5">
      <c r="B26" s="154"/>
      <c r="C26" s="155"/>
      <c r="D26" s="156"/>
      <c r="E26" s="155"/>
      <c r="F26" s="154"/>
      <c r="G26" s="155"/>
      <c r="H26" s="154"/>
    </row>
    <row r="27" spans="2:8" ht="64.5" customHeight="1" x14ac:dyDescent="0.5">
      <c r="B27" s="154"/>
      <c r="C27" s="155"/>
      <c r="D27" s="156"/>
      <c r="E27" s="155"/>
      <c r="F27" s="154"/>
      <c r="G27" s="155"/>
      <c r="H27" s="154"/>
    </row>
    <row r="28" spans="2:8" ht="64.5" customHeight="1" x14ac:dyDescent="0.5">
      <c r="B28" s="154"/>
      <c r="C28" s="155"/>
      <c r="D28" s="156"/>
      <c r="E28" s="155"/>
      <c r="F28" s="154"/>
      <c r="G28" s="155"/>
      <c r="H28" s="154"/>
    </row>
    <row r="29" spans="2:8" ht="64.5" customHeight="1" x14ac:dyDescent="0.5">
      <c r="B29" s="154"/>
      <c r="C29" s="155"/>
      <c r="D29" s="156"/>
      <c r="E29" s="155"/>
      <c r="F29" s="154"/>
      <c r="G29" s="155"/>
      <c r="H29" s="154"/>
    </row>
    <row r="30" spans="2:8" ht="64.5" customHeight="1" x14ac:dyDescent="0.5">
      <c r="B30" s="154"/>
      <c r="C30" s="155"/>
      <c r="D30" s="156"/>
      <c r="E30" s="155"/>
      <c r="F30" s="154"/>
      <c r="G30" s="155"/>
      <c r="H30" s="154"/>
    </row>
    <row r="31" spans="2:8" ht="64.5" customHeight="1" x14ac:dyDescent="0.5">
      <c r="B31" s="154"/>
      <c r="C31" s="155"/>
      <c r="D31" s="156"/>
      <c r="E31" s="155"/>
      <c r="F31" s="154"/>
      <c r="G31" s="155"/>
      <c r="H31" s="154"/>
    </row>
    <row r="32" spans="2:8" ht="64.5" customHeight="1" x14ac:dyDescent="0.5">
      <c r="B32" s="154"/>
      <c r="C32" s="155"/>
      <c r="D32" s="156"/>
      <c r="E32" s="155"/>
      <c r="F32" s="154"/>
      <c r="G32" s="155"/>
      <c r="H32" s="154"/>
    </row>
    <row r="33" spans="2:8" ht="64.5" customHeight="1" x14ac:dyDescent="0.5">
      <c r="B33" s="154"/>
      <c r="C33" s="155"/>
      <c r="D33" s="156"/>
      <c r="E33" s="155"/>
      <c r="F33" s="154"/>
      <c r="G33" s="155"/>
      <c r="H33" s="154"/>
    </row>
    <row r="34" spans="2:8" ht="64.5" customHeight="1" x14ac:dyDescent="0.5">
      <c r="B34" s="154"/>
      <c r="C34" s="155"/>
      <c r="D34" s="156"/>
      <c r="E34" s="155"/>
      <c r="F34" s="154"/>
      <c r="G34" s="155"/>
      <c r="H34" s="154"/>
    </row>
    <row r="35" spans="2:8" ht="64.5" customHeight="1" x14ac:dyDescent="0.5">
      <c r="B35" s="154"/>
      <c r="C35" s="155"/>
      <c r="D35" s="156"/>
      <c r="E35" s="155"/>
      <c r="F35" s="154"/>
      <c r="G35" s="155"/>
      <c r="H35" s="154"/>
    </row>
    <row r="36" spans="2:8" ht="64.5" customHeight="1" x14ac:dyDescent="0.5">
      <c r="B36" s="154"/>
      <c r="C36" s="155"/>
      <c r="D36" s="156"/>
      <c r="E36" s="155"/>
      <c r="F36" s="154"/>
      <c r="G36" s="155"/>
      <c r="H36" s="154"/>
    </row>
    <row r="37" spans="2:8" ht="64.5" customHeight="1" x14ac:dyDescent="0.5">
      <c r="B37" s="154"/>
      <c r="C37" s="155"/>
      <c r="D37" s="156"/>
      <c r="E37" s="155"/>
      <c r="F37" s="154"/>
      <c r="G37" s="155"/>
      <c r="H37" s="154"/>
    </row>
    <row r="38" spans="2:8" ht="64.5" customHeight="1" x14ac:dyDescent="0.5">
      <c r="B38" s="154"/>
      <c r="C38" s="155"/>
      <c r="D38" s="156"/>
      <c r="E38" s="155"/>
      <c r="F38" s="154"/>
      <c r="G38" s="155"/>
      <c r="H38" s="154"/>
    </row>
    <row r="39" spans="2:8" ht="64.5" customHeight="1" x14ac:dyDescent="0.5">
      <c r="B39" s="154"/>
      <c r="C39" s="155"/>
      <c r="D39" s="156"/>
      <c r="E39" s="155"/>
      <c r="F39" s="154"/>
      <c r="G39" s="155"/>
      <c r="H39" s="154"/>
    </row>
    <row r="40" spans="2:8" ht="64.5" customHeight="1" x14ac:dyDescent="0.5">
      <c r="B40" s="154"/>
      <c r="C40" s="155"/>
      <c r="D40" s="156"/>
      <c r="E40" s="155"/>
      <c r="F40" s="154"/>
      <c r="G40" s="155"/>
      <c r="H40" s="154"/>
    </row>
    <row r="41" spans="2:8" ht="64.5" customHeight="1" x14ac:dyDescent="0.5">
      <c r="B41" s="154"/>
      <c r="C41" s="155"/>
      <c r="D41" s="156"/>
      <c r="E41" s="155"/>
      <c r="F41" s="154"/>
      <c r="G41" s="155"/>
      <c r="H41" s="154"/>
    </row>
    <row r="42" spans="2:8" ht="64.5" customHeight="1" x14ac:dyDescent="0.5">
      <c r="B42" s="154"/>
      <c r="C42" s="155"/>
      <c r="D42" s="156"/>
      <c r="E42" s="155"/>
      <c r="F42" s="154"/>
      <c r="G42" s="155"/>
      <c r="H42" s="154"/>
    </row>
    <row r="43" spans="2:8" ht="64.5" customHeight="1" x14ac:dyDescent="0.5">
      <c r="B43" s="154"/>
      <c r="C43" s="155"/>
      <c r="D43" s="156"/>
      <c r="E43" s="155"/>
      <c r="F43" s="154"/>
      <c r="G43" s="155"/>
      <c r="H43" s="154"/>
    </row>
    <row r="44" spans="2:8" ht="64.5" customHeight="1" x14ac:dyDescent="0.5">
      <c r="B44" s="154"/>
      <c r="C44" s="155"/>
      <c r="D44" s="156"/>
      <c r="E44" s="155"/>
      <c r="F44" s="154"/>
      <c r="G44" s="155"/>
      <c r="H44" s="154"/>
    </row>
    <row r="45" spans="2:8" ht="64.5" customHeight="1" x14ac:dyDescent="0.5">
      <c r="B45" s="154"/>
      <c r="C45" s="155"/>
      <c r="D45" s="156"/>
      <c r="E45" s="155"/>
      <c r="F45" s="154"/>
      <c r="G45" s="155"/>
      <c r="H45" s="154"/>
    </row>
    <row r="46" spans="2:8" ht="64.5" customHeight="1" x14ac:dyDescent="0.5">
      <c r="B46" s="154"/>
      <c r="C46" s="155"/>
      <c r="D46" s="156"/>
      <c r="E46" s="155"/>
      <c r="F46" s="154"/>
      <c r="G46" s="155"/>
      <c r="H46" s="154"/>
    </row>
    <row r="47" spans="2:8" ht="64.5" customHeight="1" x14ac:dyDescent="0.5">
      <c r="B47" s="154"/>
      <c r="C47" s="155"/>
      <c r="D47" s="156"/>
      <c r="E47" s="155"/>
      <c r="F47" s="154"/>
      <c r="G47" s="155"/>
      <c r="H47" s="154"/>
    </row>
    <row r="48" spans="2:8" ht="64.5" customHeight="1" x14ac:dyDescent="0.5">
      <c r="B48" s="154"/>
      <c r="C48" s="155"/>
      <c r="D48" s="156"/>
      <c r="E48" s="155"/>
      <c r="F48" s="154"/>
      <c r="G48" s="155"/>
      <c r="H48" s="154"/>
    </row>
    <row r="49" spans="2:8" ht="64.5" customHeight="1" x14ac:dyDescent="0.5">
      <c r="B49" s="154"/>
      <c r="C49" s="155"/>
      <c r="D49" s="156"/>
      <c r="E49" s="155"/>
      <c r="F49" s="154"/>
      <c r="G49" s="155"/>
      <c r="H49" s="154"/>
    </row>
    <row r="50" spans="2:8" ht="64.5" customHeight="1" x14ac:dyDescent="0.5">
      <c r="B50" s="154"/>
      <c r="C50" s="155"/>
      <c r="D50" s="156"/>
      <c r="E50" s="155"/>
      <c r="F50" s="154"/>
      <c r="G50" s="155"/>
      <c r="H50" s="154"/>
    </row>
  </sheetData>
  <mergeCells count="1">
    <mergeCell ref="D2:H2"/>
  </mergeCells>
  <hyperlinks>
    <hyperlink ref="B2" location="PAINEL!A1" display="&lt;&lt; VOLTAR AO PAINEL DE CONTROLE" xr:uid="{58768CBA-9E67-49DE-87A2-899D52417920}"/>
  </hyperlink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67B18-523D-4AFC-8D10-02A752E44C79}">
  <sheetPr codeName="Planilha13">
    <tabColor theme="0" tint="-4.9989318521683403E-2"/>
  </sheetPr>
  <dimension ref="B2:P26"/>
  <sheetViews>
    <sheetView showGridLines="0" topLeftCell="I1" zoomScale="50" zoomScaleNormal="50" workbookViewId="0">
      <pane ySplit="4" topLeftCell="A5" activePane="bottomLeft" state="frozen"/>
      <selection activeCell="D15" sqref="D15"/>
      <selection pane="bottomLeft" activeCell="F8" sqref="F8:F10"/>
    </sheetView>
  </sheetViews>
  <sheetFormatPr defaultColWidth="14.453125" defaultRowHeight="15.75" customHeight="1" outlineLevelRow="1" x14ac:dyDescent="0.35"/>
  <cols>
    <col min="1" max="1" width="4.453125" style="3" customWidth="1"/>
    <col min="2" max="2" width="74.54296875" customWidth="1"/>
    <col min="3" max="3" width="1.81640625" customWidth="1"/>
    <col min="4" max="4" width="74.54296875" customWidth="1"/>
    <col min="5" max="5" width="1.81640625" customWidth="1"/>
    <col min="6" max="6" width="74.54296875" customWidth="1"/>
    <col min="7" max="7" width="2" customWidth="1"/>
    <col min="8" max="8" width="74.54296875" customWidth="1"/>
    <col min="9" max="9" width="13.1796875" style="3" customWidth="1"/>
    <col min="10" max="10" width="44.81640625" style="3" customWidth="1"/>
    <col min="11" max="16" width="44.81640625" style="159" customWidth="1"/>
    <col min="17" max="16384" width="14.453125" style="3"/>
  </cols>
  <sheetData>
    <row r="2" spans="2:16" customFormat="1" ht="59.15" customHeight="1" x14ac:dyDescent="0.35">
      <c r="B2" s="99" t="s">
        <v>147</v>
      </c>
      <c r="D2" s="408" t="s">
        <v>128</v>
      </c>
      <c r="E2" s="409"/>
      <c r="F2" s="409"/>
      <c r="G2" s="409"/>
      <c r="H2" s="409"/>
      <c r="J2" s="408" t="s">
        <v>391</v>
      </c>
      <c r="K2" s="409"/>
      <c r="L2" s="409"/>
      <c r="M2" s="409"/>
      <c r="N2" s="409"/>
      <c r="O2" s="409"/>
      <c r="P2" s="409"/>
    </row>
    <row r="3" spans="2:16" ht="6.65" customHeight="1" x14ac:dyDescent="0.35"/>
    <row r="4" spans="2:16" s="109" customFormat="1" ht="31" x14ac:dyDescent="0.7">
      <c r="B4" s="107" t="s">
        <v>189</v>
      </c>
      <c r="C4" s="108"/>
      <c r="D4" s="107" t="s">
        <v>190</v>
      </c>
      <c r="E4" s="108"/>
      <c r="F4" s="107" t="s">
        <v>191</v>
      </c>
      <c r="G4" s="108"/>
      <c r="H4" s="107" t="s">
        <v>192</v>
      </c>
      <c r="K4" s="159"/>
      <c r="L4" s="159"/>
      <c r="M4" s="159"/>
      <c r="N4" s="159"/>
      <c r="O4" s="159"/>
      <c r="P4" s="159"/>
    </row>
    <row r="5" spans="2:16" ht="6.75" customHeight="1" x14ac:dyDescent="0.35"/>
    <row r="6" spans="2:16" ht="77.5" customHeight="1" x14ac:dyDescent="1">
      <c r="B6" s="157" t="s">
        <v>396</v>
      </c>
      <c r="C6" s="122"/>
      <c r="D6" s="157" t="s">
        <v>397</v>
      </c>
      <c r="E6" s="123"/>
      <c r="F6" s="157" t="s">
        <v>398</v>
      </c>
      <c r="G6" s="123"/>
      <c r="H6" s="157" t="s">
        <v>399</v>
      </c>
      <c r="J6" s="160" t="s">
        <v>392</v>
      </c>
      <c r="K6" s="160" t="s">
        <v>332</v>
      </c>
      <c r="L6" s="160" t="s">
        <v>342</v>
      </c>
      <c r="M6" s="160" t="s">
        <v>352</v>
      </c>
      <c r="N6" s="160" t="s">
        <v>362</v>
      </c>
      <c r="O6" s="160" t="s">
        <v>372</v>
      </c>
      <c r="P6" s="160" t="s">
        <v>382</v>
      </c>
    </row>
    <row r="7" spans="2:16" ht="64.5" customHeight="1" x14ac:dyDescent="0.5">
      <c r="B7" s="161" t="s">
        <v>293</v>
      </c>
      <c r="C7" s="155"/>
      <c r="D7" s="161" t="s">
        <v>303</v>
      </c>
      <c r="E7" s="155"/>
      <c r="F7" s="161" t="s">
        <v>294</v>
      </c>
      <c r="G7" s="155"/>
      <c r="H7" s="161" t="s">
        <v>297</v>
      </c>
      <c r="J7" s="160" t="s">
        <v>323</v>
      </c>
      <c r="K7" s="160" t="s">
        <v>333</v>
      </c>
      <c r="L7" s="160" t="s">
        <v>343</v>
      </c>
      <c r="M7" s="160" t="s">
        <v>353</v>
      </c>
      <c r="N7" s="160" t="s">
        <v>363</v>
      </c>
      <c r="O7" s="160" t="s">
        <v>373</v>
      </c>
      <c r="P7" s="160" t="s">
        <v>383</v>
      </c>
    </row>
    <row r="8" spans="2:16" ht="64.5" customHeight="1" outlineLevel="1" x14ac:dyDescent="0.5">
      <c r="B8" s="360" t="s">
        <v>313</v>
      </c>
      <c r="C8" s="267"/>
      <c r="D8" s="327" t="s">
        <v>316</v>
      </c>
      <c r="E8" s="267"/>
      <c r="F8" s="327" t="s">
        <v>319</v>
      </c>
      <c r="G8" s="267"/>
      <c r="H8" s="327" t="s">
        <v>322</v>
      </c>
      <c r="J8" s="160" t="s">
        <v>324</v>
      </c>
      <c r="K8" s="160" t="s">
        <v>334</v>
      </c>
      <c r="L8" s="160" t="s">
        <v>344</v>
      </c>
      <c r="M8" s="160" t="s">
        <v>354</v>
      </c>
      <c r="N8" s="160" t="s">
        <v>364</v>
      </c>
      <c r="O8" s="160" t="s">
        <v>374</v>
      </c>
      <c r="P8" s="160" t="s">
        <v>393</v>
      </c>
    </row>
    <row r="9" spans="2:16" ht="64.5" customHeight="1" outlineLevel="1" x14ac:dyDescent="0.5">
      <c r="B9" s="360" t="s">
        <v>314</v>
      </c>
      <c r="C9" s="267"/>
      <c r="D9" s="327" t="s">
        <v>317</v>
      </c>
      <c r="E9" s="267"/>
      <c r="F9" s="327" t="s">
        <v>320</v>
      </c>
      <c r="G9" s="267"/>
      <c r="H9" s="327" t="s">
        <v>394</v>
      </c>
      <c r="J9" s="160" t="s">
        <v>325</v>
      </c>
      <c r="K9" s="160" t="s">
        <v>335</v>
      </c>
      <c r="L9" s="160" t="s">
        <v>345</v>
      </c>
      <c r="M9" s="160" t="s">
        <v>355</v>
      </c>
      <c r="N9" s="160" t="s">
        <v>365</v>
      </c>
      <c r="O9" s="160" t="s">
        <v>375</v>
      </c>
      <c r="P9" s="160" t="s">
        <v>384</v>
      </c>
    </row>
    <row r="10" spans="2:16" ht="64.5" customHeight="1" outlineLevel="1" x14ac:dyDescent="0.5">
      <c r="B10" s="360" t="s">
        <v>315</v>
      </c>
      <c r="C10" s="267"/>
      <c r="D10" s="327" t="s">
        <v>318</v>
      </c>
      <c r="E10" s="267"/>
      <c r="F10" s="327" t="s">
        <v>321</v>
      </c>
      <c r="G10" s="267"/>
      <c r="H10" s="327" t="s">
        <v>395</v>
      </c>
      <c r="J10" s="160" t="s">
        <v>326</v>
      </c>
      <c r="K10" s="160" t="s">
        <v>336</v>
      </c>
      <c r="L10" s="160" t="s">
        <v>346</v>
      </c>
      <c r="M10" s="160" t="s">
        <v>356</v>
      </c>
      <c r="N10" s="160" t="s">
        <v>366</v>
      </c>
      <c r="O10" s="160" t="s">
        <v>376</v>
      </c>
      <c r="P10" s="160" t="s">
        <v>385</v>
      </c>
    </row>
    <row r="11" spans="2:16" ht="64.5" customHeight="1" x14ac:dyDescent="0.5">
      <c r="B11" s="161" t="s">
        <v>305</v>
      </c>
      <c r="C11" s="155"/>
      <c r="D11" s="161" t="s">
        <v>302</v>
      </c>
      <c r="E11" s="155"/>
      <c r="F11" s="161" t="s">
        <v>295</v>
      </c>
      <c r="G11" s="155"/>
      <c r="H11" s="161" t="s">
        <v>298</v>
      </c>
      <c r="J11" s="160" t="s">
        <v>327</v>
      </c>
      <c r="K11" s="160" t="s">
        <v>337</v>
      </c>
      <c r="L11" s="160" t="s">
        <v>347</v>
      </c>
      <c r="M11" s="160" t="s">
        <v>357</v>
      </c>
      <c r="N11" s="160" t="s">
        <v>367</v>
      </c>
      <c r="O11" s="160" t="s">
        <v>377</v>
      </c>
      <c r="P11" s="160" t="s">
        <v>386</v>
      </c>
    </row>
    <row r="12" spans="2:16" ht="64.5" customHeight="1" outlineLevel="1" x14ac:dyDescent="0.5">
      <c r="B12" s="327" t="s">
        <v>834</v>
      </c>
      <c r="C12" s="328"/>
      <c r="D12" s="327" t="s">
        <v>841</v>
      </c>
      <c r="E12" s="328"/>
      <c r="F12" s="327" t="s">
        <v>858</v>
      </c>
      <c r="G12" s="328"/>
      <c r="H12" s="327" t="s">
        <v>861</v>
      </c>
      <c r="J12" s="160" t="s">
        <v>328</v>
      </c>
      <c r="K12" s="160" t="s">
        <v>338</v>
      </c>
      <c r="L12" s="160" t="s">
        <v>348</v>
      </c>
      <c r="M12" s="160" t="s">
        <v>358</v>
      </c>
      <c r="N12" s="160" t="s">
        <v>368</v>
      </c>
      <c r="O12" s="160" t="s">
        <v>378</v>
      </c>
      <c r="P12" s="160" t="s">
        <v>387</v>
      </c>
    </row>
    <row r="13" spans="2:16" ht="64.5" customHeight="1" outlineLevel="1" x14ac:dyDescent="0.5">
      <c r="B13" s="327" t="s">
        <v>835</v>
      </c>
      <c r="C13" s="328"/>
      <c r="D13" s="327" t="s">
        <v>842</v>
      </c>
      <c r="E13" s="328"/>
      <c r="F13" s="327" t="s">
        <v>859</v>
      </c>
      <c r="G13" s="328"/>
      <c r="H13" s="327" t="s">
        <v>862</v>
      </c>
      <c r="J13" s="160" t="s">
        <v>329</v>
      </c>
      <c r="K13" s="160" t="s">
        <v>339</v>
      </c>
      <c r="L13" s="160" t="s">
        <v>349</v>
      </c>
      <c r="M13" s="160" t="s">
        <v>359</v>
      </c>
      <c r="N13" s="160" t="s">
        <v>369</v>
      </c>
      <c r="O13" s="160" t="s">
        <v>379</v>
      </c>
      <c r="P13" s="160" t="s">
        <v>388</v>
      </c>
    </row>
    <row r="14" spans="2:16" ht="64.5" customHeight="1" outlineLevel="1" x14ac:dyDescent="0.5">
      <c r="B14" s="327" t="s">
        <v>836</v>
      </c>
      <c r="C14" s="328"/>
      <c r="D14" s="327" t="s">
        <v>843</v>
      </c>
      <c r="E14" s="328"/>
      <c r="F14" s="327" t="s">
        <v>860</v>
      </c>
      <c r="G14" s="328"/>
      <c r="H14" s="327" t="s">
        <v>863</v>
      </c>
      <c r="J14" s="160" t="s">
        <v>330</v>
      </c>
      <c r="K14" s="160" t="s">
        <v>340</v>
      </c>
      <c r="L14" s="160" t="s">
        <v>350</v>
      </c>
      <c r="M14" s="160" t="s">
        <v>360</v>
      </c>
      <c r="N14" s="160" t="s">
        <v>370</v>
      </c>
      <c r="O14" s="160" t="s">
        <v>380</v>
      </c>
      <c r="P14" s="160" t="s">
        <v>389</v>
      </c>
    </row>
    <row r="15" spans="2:16" ht="64.5" customHeight="1" x14ac:dyDescent="0.5">
      <c r="B15" s="161" t="s">
        <v>306</v>
      </c>
      <c r="C15" s="155"/>
      <c r="D15" s="161" t="s">
        <v>304</v>
      </c>
      <c r="E15" s="155"/>
      <c r="F15" s="161" t="s">
        <v>296</v>
      </c>
      <c r="G15" s="155"/>
      <c r="H15" s="161" t="s">
        <v>300</v>
      </c>
      <c r="J15" s="160" t="s">
        <v>331</v>
      </c>
      <c r="K15" s="160" t="s">
        <v>341</v>
      </c>
      <c r="L15" s="160" t="s">
        <v>351</v>
      </c>
      <c r="M15" s="160" t="s">
        <v>361</v>
      </c>
      <c r="N15" s="160" t="s">
        <v>371</v>
      </c>
      <c r="O15" s="160" t="s">
        <v>381</v>
      </c>
      <c r="P15" s="160" t="s">
        <v>390</v>
      </c>
    </row>
    <row r="16" spans="2:16" ht="64.5" customHeight="1" outlineLevel="1" x14ac:dyDescent="0.5">
      <c r="B16" s="327" t="s">
        <v>837</v>
      </c>
      <c r="C16" s="328"/>
      <c r="D16" s="327" t="s">
        <v>844</v>
      </c>
      <c r="E16" s="328"/>
      <c r="F16" s="327" t="s">
        <v>972</v>
      </c>
      <c r="G16" s="328"/>
      <c r="H16" s="327" t="s">
        <v>864</v>
      </c>
    </row>
    <row r="17" spans="2:8" ht="64.5" customHeight="1" outlineLevel="1" x14ac:dyDescent="0.5">
      <c r="B17" s="327" t="s">
        <v>838</v>
      </c>
      <c r="C17" s="328"/>
      <c r="D17" s="327" t="s">
        <v>845</v>
      </c>
      <c r="E17" s="328"/>
      <c r="F17" s="327" t="s">
        <v>973</v>
      </c>
      <c r="G17" s="328"/>
      <c r="H17" s="327" t="s">
        <v>865</v>
      </c>
    </row>
    <row r="18" spans="2:8" ht="64.5" customHeight="1" outlineLevel="1" x14ac:dyDescent="0.5">
      <c r="B18" s="327" t="s">
        <v>839</v>
      </c>
      <c r="C18" s="328"/>
      <c r="D18" s="327" t="s">
        <v>846</v>
      </c>
      <c r="E18" s="328"/>
      <c r="F18" s="327" t="s">
        <v>867</v>
      </c>
      <c r="G18" s="328"/>
      <c r="H18" s="327" t="s">
        <v>866</v>
      </c>
    </row>
    <row r="19" spans="2:8" ht="64.5" customHeight="1" x14ac:dyDescent="0.5">
      <c r="B19" s="161" t="s">
        <v>307</v>
      </c>
      <c r="C19" s="155"/>
      <c r="D19" s="161" t="s">
        <v>309</v>
      </c>
      <c r="E19" s="155"/>
      <c r="F19" s="161" t="s">
        <v>299</v>
      </c>
      <c r="G19" s="155"/>
      <c r="H19" s="161" t="s">
        <v>301</v>
      </c>
    </row>
    <row r="20" spans="2:8" ht="64.5" customHeight="1" outlineLevel="1" x14ac:dyDescent="0.5">
      <c r="B20" s="327" t="s">
        <v>840</v>
      </c>
      <c r="C20" s="328"/>
      <c r="D20" s="327" t="s">
        <v>852</v>
      </c>
      <c r="E20" s="328"/>
      <c r="F20" s="327" t="s">
        <v>868</v>
      </c>
      <c r="G20" s="328"/>
      <c r="H20" s="327" t="s">
        <v>871</v>
      </c>
    </row>
    <row r="21" spans="2:8" ht="64.5" customHeight="1" outlineLevel="1" x14ac:dyDescent="0.5">
      <c r="B21" s="327" t="s">
        <v>847</v>
      </c>
      <c r="C21" s="328"/>
      <c r="D21" s="327" t="s">
        <v>853</v>
      </c>
      <c r="E21" s="328"/>
      <c r="F21" s="327" t="s">
        <v>869</v>
      </c>
      <c r="G21" s="328"/>
      <c r="H21" s="327" t="s">
        <v>878</v>
      </c>
    </row>
    <row r="22" spans="2:8" ht="64.5" customHeight="1" outlineLevel="1" x14ac:dyDescent="0.5">
      <c r="B22" s="327" t="s">
        <v>848</v>
      </c>
      <c r="C22" s="328"/>
      <c r="D22" s="327" t="s">
        <v>854</v>
      </c>
      <c r="E22" s="328"/>
      <c r="F22" s="327" t="s">
        <v>870</v>
      </c>
      <c r="G22" s="328"/>
      <c r="H22" s="327" t="s">
        <v>879</v>
      </c>
    </row>
    <row r="23" spans="2:8" ht="64.5" customHeight="1" x14ac:dyDescent="0.5">
      <c r="B23" s="161" t="s">
        <v>308</v>
      </c>
      <c r="C23" s="155"/>
      <c r="D23" s="161" t="s">
        <v>310</v>
      </c>
      <c r="E23" s="155"/>
      <c r="F23" s="161" t="s">
        <v>311</v>
      </c>
      <c r="G23" s="155"/>
      <c r="H23" s="161" t="s">
        <v>312</v>
      </c>
    </row>
    <row r="24" spans="2:8" ht="64.5" customHeight="1" outlineLevel="1" x14ac:dyDescent="0.5">
      <c r="B24" s="327" t="s">
        <v>849</v>
      </c>
      <c r="C24" s="328"/>
      <c r="D24" s="327" t="s">
        <v>855</v>
      </c>
      <c r="E24" s="328"/>
      <c r="F24" s="327" t="s">
        <v>875</v>
      </c>
      <c r="G24" s="328"/>
      <c r="H24" s="327" t="s">
        <v>881</v>
      </c>
    </row>
    <row r="25" spans="2:8" ht="64.5" customHeight="1" outlineLevel="1" x14ac:dyDescent="0.5">
      <c r="B25" s="327" t="s">
        <v>850</v>
      </c>
      <c r="C25" s="328"/>
      <c r="D25" s="327" t="s">
        <v>856</v>
      </c>
      <c r="E25" s="328"/>
      <c r="F25" s="327" t="s">
        <v>876</v>
      </c>
      <c r="G25" s="328"/>
      <c r="H25" s="327" t="s">
        <v>880</v>
      </c>
    </row>
    <row r="26" spans="2:8" ht="64.5" customHeight="1" outlineLevel="1" x14ac:dyDescent="0.5">
      <c r="B26" s="327" t="s">
        <v>851</v>
      </c>
      <c r="C26" s="328"/>
      <c r="D26" s="327" t="s">
        <v>857</v>
      </c>
      <c r="E26" s="328"/>
      <c r="F26" s="327" t="s">
        <v>877</v>
      </c>
      <c r="G26" s="328"/>
      <c r="H26" s="327" t="s">
        <v>882</v>
      </c>
    </row>
  </sheetData>
  <mergeCells count="2">
    <mergeCell ref="D2:H2"/>
    <mergeCell ref="J2:P2"/>
  </mergeCells>
  <hyperlinks>
    <hyperlink ref="B2" location="PAINEL!A1" display="&lt;&lt; VOLTAR AO PAINEL DE CONTROLE" xr:uid="{9708C829-6CD7-4C89-8C7B-B38079334DCE}"/>
  </hyperlink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3CF7-B721-4AD4-A2B7-07EB1BF553BE}">
  <sheetPr>
    <tabColor theme="0" tint="-4.9989318521683403E-2"/>
  </sheetPr>
  <dimension ref="B2:C50"/>
  <sheetViews>
    <sheetView showGridLines="0" zoomScale="80" zoomScaleNormal="80" zoomScaleSheetLayoutView="80" workbookViewId="0">
      <pane ySplit="3" topLeftCell="A8" activePane="bottomLeft" state="frozen"/>
      <selection activeCell="D15" sqref="D15"/>
      <selection pane="bottomLeft"/>
    </sheetView>
  </sheetViews>
  <sheetFormatPr defaultColWidth="8.7265625" defaultRowHeight="14.5" x14ac:dyDescent="0.35"/>
  <cols>
    <col min="1" max="1" width="3.453125" style="124" customWidth="1"/>
    <col min="2" max="2" width="15.81640625" style="143" customWidth="1"/>
    <col min="3" max="3" width="125.1796875" style="124" customWidth="1"/>
    <col min="4" max="16384" width="8.7265625" style="124"/>
  </cols>
  <sheetData>
    <row r="2" spans="2:3" s="144" customFormat="1" ht="61.5" customHeight="1" x14ac:dyDescent="0.35">
      <c r="B2" s="95" t="s">
        <v>147</v>
      </c>
      <c r="C2" s="145" t="s">
        <v>241</v>
      </c>
    </row>
    <row r="3" spans="2:3" ht="7" customHeight="1" x14ac:dyDescent="0.35"/>
    <row r="4" spans="2:3" x14ac:dyDescent="0.35">
      <c r="B4" s="135">
        <v>1</v>
      </c>
      <c r="C4" s="136" t="s">
        <v>242</v>
      </c>
    </row>
    <row r="5" spans="2:3" ht="25" x14ac:dyDescent="0.35">
      <c r="B5" s="135">
        <v>2</v>
      </c>
      <c r="C5" s="137" t="s">
        <v>243</v>
      </c>
    </row>
    <row r="6" spans="2:3" ht="25" x14ac:dyDescent="0.35">
      <c r="B6" s="135">
        <v>3</v>
      </c>
      <c r="C6" s="137" t="s">
        <v>244</v>
      </c>
    </row>
    <row r="7" spans="2:3" x14ac:dyDescent="0.35">
      <c r="B7" s="135">
        <v>4</v>
      </c>
      <c r="C7" s="146" t="s">
        <v>245</v>
      </c>
    </row>
    <row r="8" spans="2:3" x14ac:dyDescent="0.35">
      <c r="B8" s="135">
        <v>5</v>
      </c>
      <c r="C8" s="138" t="s">
        <v>246</v>
      </c>
    </row>
    <row r="9" spans="2:3" x14ac:dyDescent="0.35">
      <c r="B9" s="135">
        <v>6</v>
      </c>
      <c r="C9" s="138" t="s">
        <v>247</v>
      </c>
    </row>
    <row r="10" spans="2:3" x14ac:dyDescent="0.35">
      <c r="B10" s="135">
        <v>7</v>
      </c>
      <c r="C10" s="138" t="s">
        <v>248</v>
      </c>
    </row>
    <row r="11" spans="2:3" x14ac:dyDescent="0.35">
      <c r="B11" s="135">
        <v>8</v>
      </c>
      <c r="C11" s="136" t="s">
        <v>249</v>
      </c>
    </row>
    <row r="12" spans="2:3" x14ac:dyDescent="0.35">
      <c r="B12" s="135">
        <v>9</v>
      </c>
      <c r="C12" s="138" t="s">
        <v>250</v>
      </c>
    </row>
    <row r="13" spans="2:3" x14ac:dyDescent="0.35">
      <c r="B13" s="135">
        <v>10</v>
      </c>
      <c r="C13" s="138" t="s">
        <v>251</v>
      </c>
    </row>
    <row r="14" spans="2:3" x14ac:dyDescent="0.35">
      <c r="B14" s="135">
        <v>11</v>
      </c>
      <c r="C14" s="136" t="s">
        <v>252</v>
      </c>
    </row>
    <row r="15" spans="2:3" x14ac:dyDescent="0.35">
      <c r="B15" s="135">
        <v>12</v>
      </c>
      <c r="C15" s="138" t="s">
        <v>253</v>
      </c>
    </row>
    <row r="16" spans="2:3" x14ac:dyDescent="0.35">
      <c r="B16" s="135">
        <v>13</v>
      </c>
      <c r="C16" s="139" t="s">
        <v>254</v>
      </c>
    </row>
    <row r="17" spans="2:3" x14ac:dyDescent="0.35">
      <c r="B17" s="135">
        <v>14</v>
      </c>
      <c r="C17" s="139" t="s">
        <v>255</v>
      </c>
    </row>
    <row r="18" spans="2:3" x14ac:dyDescent="0.35">
      <c r="B18" s="135">
        <v>15</v>
      </c>
      <c r="C18" s="139" t="s">
        <v>256</v>
      </c>
    </row>
    <row r="19" spans="2:3" x14ac:dyDescent="0.35">
      <c r="B19" s="135">
        <v>16</v>
      </c>
      <c r="C19" s="136" t="s">
        <v>257</v>
      </c>
    </row>
    <row r="20" spans="2:3" x14ac:dyDescent="0.35">
      <c r="B20" s="135">
        <v>17</v>
      </c>
      <c r="C20" s="140" t="s">
        <v>258</v>
      </c>
    </row>
    <row r="21" spans="2:3" x14ac:dyDescent="0.35">
      <c r="B21" s="135">
        <v>18</v>
      </c>
      <c r="C21" s="141" t="s">
        <v>259</v>
      </c>
    </row>
    <row r="22" spans="2:3" x14ac:dyDescent="0.35">
      <c r="B22" s="135">
        <v>19</v>
      </c>
      <c r="C22" s="136" t="s">
        <v>260</v>
      </c>
    </row>
    <row r="23" spans="2:3" x14ac:dyDescent="0.35">
      <c r="B23" s="135">
        <v>20</v>
      </c>
      <c r="C23" s="138" t="s">
        <v>261</v>
      </c>
    </row>
    <row r="24" spans="2:3" x14ac:dyDescent="0.35">
      <c r="B24" s="135">
        <v>21</v>
      </c>
      <c r="C24" s="136" t="s">
        <v>262</v>
      </c>
    </row>
    <row r="25" spans="2:3" ht="36" x14ac:dyDescent="0.35">
      <c r="B25" s="135">
        <v>22</v>
      </c>
      <c r="C25" s="142" t="s">
        <v>263</v>
      </c>
    </row>
    <row r="26" spans="2:3" x14ac:dyDescent="0.35">
      <c r="B26" s="135">
        <v>23</v>
      </c>
      <c r="C26" s="136" t="s">
        <v>264</v>
      </c>
    </row>
    <row r="27" spans="2:3" ht="24" x14ac:dyDescent="0.35">
      <c r="B27" s="135">
        <v>24</v>
      </c>
      <c r="C27" s="142" t="s">
        <v>265</v>
      </c>
    </row>
    <row r="28" spans="2:3" x14ac:dyDescent="0.35">
      <c r="B28" s="135">
        <v>25</v>
      </c>
      <c r="C28" s="136" t="s">
        <v>266</v>
      </c>
    </row>
    <row r="29" spans="2:3" ht="24" x14ac:dyDescent="0.35">
      <c r="B29" s="135">
        <v>26</v>
      </c>
      <c r="C29" s="142" t="s">
        <v>267</v>
      </c>
    </row>
    <row r="30" spans="2:3" x14ac:dyDescent="0.35">
      <c r="B30" s="135">
        <v>27</v>
      </c>
      <c r="C30" s="136" t="s">
        <v>268</v>
      </c>
    </row>
    <row r="31" spans="2:3" ht="24" x14ac:dyDescent="0.35">
      <c r="B31" s="135">
        <v>28</v>
      </c>
      <c r="C31" s="142" t="s">
        <v>269</v>
      </c>
    </row>
    <row r="32" spans="2:3" x14ac:dyDescent="0.35">
      <c r="B32" s="135">
        <v>29</v>
      </c>
      <c r="C32" s="136" t="s">
        <v>270</v>
      </c>
    </row>
    <row r="33" spans="2:3" ht="24" x14ac:dyDescent="0.35">
      <c r="B33" s="135">
        <v>30</v>
      </c>
      <c r="C33" s="142" t="s">
        <v>271</v>
      </c>
    </row>
    <row r="34" spans="2:3" x14ac:dyDescent="0.35">
      <c r="B34" s="135">
        <v>31</v>
      </c>
      <c r="C34" s="136" t="s">
        <v>272</v>
      </c>
    </row>
    <row r="35" spans="2:3" ht="24" x14ac:dyDescent="0.35">
      <c r="B35" s="135">
        <v>32</v>
      </c>
      <c r="C35" s="142" t="s">
        <v>273</v>
      </c>
    </row>
    <row r="36" spans="2:3" x14ac:dyDescent="0.35">
      <c r="B36" s="135">
        <v>33</v>
      </c>
      <c r="C36" s="136" t="s">
        <v>274</v>
      </c>
    </row>
    <row r="37" spans="2:3" ht="24" x14ac:dyDescent="0.35">
      <c r="B37" s="135">
        <v>34</v>
      </c>
      <c r="C37" s="142" t="s">
        <v>275</v>
      </c>
    </row>
    <row r="38" spans="2:3" x14ac:dyDescent="0.35">
      <c r="B38" s="135">
        <v>35</v>
      </c>
      <c r="C38" s="136" t="s">
        <v>276</v>
      </c>
    </row>
    <row r="39" spans="2:3" x14ac:dyDescent="0.35">
      <c r="B39" s="135">
        <v>36</v>
      </c>
      <c r="C39" s="140" t="s">
        <v>277</v>
      </c>
    </row>
    <row r="40" spans="2:3" ht="24" x14ac:dyDescent="0.35">
      <c r="B40" s="135">
        <v>37</v>
      </c>
      <c r="C40" s="142" t="s">
        <v>278</v>
      </c>
    </row>
    <row r="41" spans="2:3" x14ac:dyDescent="0.35">
      <c r="B41" s="135">
        <v>38</v>
      </c>
      <c r="C41" s="141" t="s">
        <v>279</v>
      </c>
    </row>
    <row r="42" spans="2:3" ht="24" x14ac:dyDescent="0.35">
      <c r="B42" s="135">
        <v>39</v>
      </c>
      <c r="C42" s="142" t="s">
        <v>280</v>
      </c>
    </row>
    <row r="43" spans="2:3" x14ac:dyDescent="0.35">
      <c r="B43" s="135">
        <v>40</v>
      </c>
      <c r="C43" s="136" t="s">
        <v>281</v>
      </c>
    </row>
    <row r="44" spans="2:3" x14ac:dyDescent="0.35">
      <c r="B44" s="135">
        <v>41</v>
      </c>
      <c r="C44" s="140" t="s">
        <v>277</v>
      </c>
    </row>
    <row r="45" spans="2:3" x14ac:dyDescent="0.35">
      <c r="B45" s="135">
        <v>42</v>
      </c>
      <c r="C45" s="141" t="s">
        <v>282</v>
      </c>
    </row>
    <row r="46" spans="2:3" ht="24" x14ac:dyDescent="0.35">
      <c r="B46" s="135">
        <v>43</v>
      </c>
      <c r="C46" s="142" t="s">
        <v>283</v>
      </c>
    </row>
    <row r="47" spans="2:3" x14ac:dyDescent="0.35">
      <c r="B47" s="135">
        <v>44</v>
      </c>
      <c r="C47" s="136" t="s">
        <v>284</v>
      </c>
    </row>
    <row r="48" spans="2:3" x14ac:dyDescent="0.35">
      <c r="B48" s="135">
        <v>45</v>
      </c>
      <c r="C48" s="140" t="s">
        <v>285</v>
      </c>
    </row>
    <row r="49" spans="2:3" x14ac:dyDescent="0.35">
      <c r="B49" s="135">
        <v>46</v>
      </c>
      <c r="C49" s="141" t="s">
        <v>286</v>
      </c>
    </row>
    <row r="50" spans="2:3" x14ac:dyDescent="0.35">
      <c r="B50" s="433" t="s">
        <v>287</v>
      </c>
      <c r="C50" s="434"/>
    </row>
  </sheetData>
  <mergeCells count="1">
    <mergeCell ref="B50:C50"/>
  </mergeCells>
  <hyperlinks>
    <hyperlink ref="B2" location="PAINEL!A1" display="&lt;&lt; VOLTAR AO PAINEL DE CONTROLE" xr:uid="{C5F72DA9-A228-4D8F-BD52-473E36C76713}"/>
  </hyperlinks>
  <pageMargins left="0.25" right="0.25" top="0.75" bottom="0.75" header="0.3" footer="0.3"/>
  <pageSetup paperSize="9" scale="59" orientation="portrait" horizontalDpi="360" verticalDpi="36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B194-FB56-433B-9C9F-76147111BC87}">
  <sheetPr>
    <tabColor theme="0" tint="-4.9989318521683403E-2"/>
  </sheetPr>
  <dimension ref="B2:C50"/>
  <sheetViews>
    <sheetView showGridLines="0" zoomScale="80" zoomScaleNormal="80" zoomScaleSheetLayoutView="80" workbookViewId="0">
      <pane ySplit="3" topLeftCell="A4" activePane="bottomLeft" state="frozen"/>
      <selection activeCell="D15" sqref="D15"/>
      <selection pane="bottomLeft" activeCell="B2" sqref="B2"/>
    </sheetView>
  </sheetViews>
  <sheetFormatPr defaultColWidth="8.7265625" defaultRowHeight="14.5" x14ac:dyDescent="0.35"/>
  <cols>
    <col min="1" max="1" width="3.453125" style="124" customWidth="1"/>
    <col min="2" max="2" width="15.81640625" style="143" customWidth="1"/>
    <col min="3" max="3" width="125.1796875" style="124" customWidth="1"/>
    <col min="4" max="16384" width="8.7265625" style="124"/>
  </cols>
  <sheetData>
    <row r="2" spans="2:3" s="144" customFormat="1" ht="61.5" customHeight="1" x14ac:dyDescent="0.35">
      <c r="B2" s="95" t="s">
        <v>147</v>
      </c>
      <c r="C2" s="237" t="s">
        <v>833</v>
      </c>
    </row>
    <row r="3" spans="2:3" ht="7" customHeight="1" x14ac:dyDescent="0.35"/>
    <row r="4" spans="2:3" x14ac:dyDescent="0.35">
      <c r="B4" s="135">
        <v>1</v>
      </c>
      <c r="C4" s="137"/>
    </row>
    <row r="5" spans="2:3" x14ac:dyDescent="0.35">
      <c r="B5" s="135">
        <v>2</v>
      </c>
      <c r="C5" s="137"/>
    </row>
    <row r="6" spans="2:3" x14ac:dyDescent="0.35">
      <c r="B6" s="135">
        <v>3</v>
      </c>
      <c r="C6" s="137"/>
    </row>
    <row r="7" spans="2:3" x14ac:dyDescent="0.35">
      <c r="B7" s="135">
        <v>4</v>
      </c>
      <c r="C7" s="137"/>
    </row>
    <row r="8" spans="2:3" x14ac:dyDescent="0.35">
      <c r="B8" s="135">
        <v>5</v>
      </c>
      <c r="C8" s="137"/>
    </row>
    <row r="9" spans="2:3" x14ac:dyDescent="0.35">
      <c r="B9" s="135">
        <v>6</v>
      </c>
      <c r="C9" s="137"/>
    </row>
    <row r="10" spans="2:3" x14ac:dyDescent="0.35">
      <c r="B10" s="135">
        <v>7</v>
      </c>
      <c r="C10" s="137"/>
    </row>
    <row r="11" spans="2:3" x14ac:dyDescent="0.35">
      <c r="B11" s="135">
        <v>8</v>
      </c>
      <c r="C11" s="137"/>
    </row>
    <row r="12" spans="2:3" x14ac:dyDescent="0.35">
      <c r="B12" s="135">
        <v>9</v>
      </c>
      <c r="C12" s="137"/>
    </row>
    <row r="13" spans="2:3" x14ac:dyDescent="0.35">
      <c r="B13" s="135">
        <v>10</v>
      </c>
      <c r="C13" s="137"/>
    </row>
    <row r="14" spans="2:3" x14ac:dyDescent="0.35">
      <c r="B14" s="135">
        <v>11</v>
      </c>
      <c r="C14" s="137"/>
    </row>
    <row r="15" spans="2:3" x14ac:dyDescent="0.35">
      <c r="B15" s="135">
        <v>12</v>
      </c>
      <c r="C15" s="137"/>
    </row>
    <row r="16" spans="2:3" x14ac:dyDescent="0.35">
      <c r="B16" s="135">
        <v>13</v>
      </c>
      <c r="C16" s="137"/>
    </row>
    <row r="17" spans="2:3" x14ac:dyDescent="0.35">
      <c r="B17" s="135">
        <v>14</v>
      </c>
      <c r="C17" s="137"/>
    </row>
    <row r="18" spans="2:3" x14ac:dyDescent="0.35">
      <c r="B18" s="135">
        <v>15</v>
      </c>
      <c r="C18" s="137"/>
    </row>
    <row r="19" spans="2:3" x14ac:dyDescent="0.35">
      <c r="B19" s="135">
        <v>16</v>
      </c>
      <c r="C19" s="137"/>
    </row>
    <row r="20" spans="2:3" x14ac:dyDescent="0.35">
      <c r="B20" s="135">
        <v>17</v>
      </c>
      <c r="C20" s="137"/>
    </row>
    <row r="21" spans="2:3" x14ac:dyDescent="0.35">
      <c r="B21" s="135">
        <v>18</v>
      </c>
      <c r="C21" s="137"/>
    </row>
    <row r="22" spans="2:3" x14ac:dyDescent="0.35">
      <c r="B22" s="135">
        <v>19</v>
      </c>
      <c r="C22" s="137"/>
    </row>
    <row r="23" spans="2:3" x14ac:dyDescent="0.35">
      <c r="B23" s="135">
        <v>20</v>
      </c>
      <c r="C23" s="137"/>
    </row>
    <row r="24" spans="2:3" x14ac:dyDescent="0.35">
      <c r="B24" s="135">
        <v>21</v>
      </c>
      <c r="C24" s="137"/>
    </row>
    <row r="25" spans="2:3" x14ac:dyDescent="0.35">
      <c r="B25" s="135">
        <v>22</v>
      </c>
      <c r="C25" s="137"/>
    </row>
    <row r="26" spans="2:3" x14ac:dyDescent="0.35">
      <c r="B26" s="135">
        <v>23</v>
      </c>
      <c r="C26" s="137"/>
    </row>
    <row r="27" spans="2:3" x14ac:dyDescent="0.35">
      <c r="B27" s="135">
        <v>24</v>
      </c>
      <c r="C27" s="137"/>
    </row>
    <row r="28" spans="2:3" x14ac:dyDescent="0.35">
      <c r="B28" s="135">
        <v>25</v>
      </c>
      <c r="C28" s="137"/>
    </row>
    <row r="29" spans="2:3" x14ac:dyDescent="0.35">
      <c r="B29" s="135">
        <v>26</v>
      </c>
      <c r="C29" s="137"/>
    </row>
    <row r="30" spans="2:3" x14ac:dyDescent="0.35">
      <c r="B30" s="135">
        <v>27</v>
      </c>
      <c r="C30" s="137"/>
    </row>
    <row r="31" spans="2:3" x14ac:dyDescent="0.35">
      <c r="B31" s="135">
        <v>28</v>
      </c>
      <c r="C31" s="137"/>
    </row>
    <row r="32" spans="2:3" x14ac:dyDescent="0.35">
      <c r="B32" s="135">
        <v>29</v>
      </c>
      <c r="C32" s="137"/>
    </row>
    <row r="33" spans="2:3" x14ac:dyDescent="0.35">
      <c r="B33" s="135">
        <v>30</v>
      </c>
      <c r="C33" s="137"/>
    </row>
    <row r="34" spans="2:3" x14ac:dyDescent="0.35">
      <c r="B34" s="135">
        <v>31</v>
      </c>
      <c r="C34" s="137"/>
    </row>
    <row r="35" spans="2:3" x14ac:dyDescent="0.35">
      <c r="B35" s="135">
        <v>32</v>
      </c>
      <c r="C35" s="137"/>
    </row>
    <row r="36" spans="2:3" x14ac:dyDescent="0.35">
      <c r="B36" s="135">
        <v>33</v>
      </c>
      <c r="C36" s="137"/>
    </row>
    <row r="37" spans="2:3" x14ac:dyDescent="0.35">
      <c r="B37" s="135">
        <v>34</v>
      </c>
      <c r="C37" s="137"/>
    </row>
    <row r="38" spans="2:3" x14ac:dyDescent="0.35">
      <c r="B38" s="135">
        <v>35</v>
      </c>
      <c r="C38" s="137"/>
    </row>
    <row r="39" spans="2:3" x14ac:dyDescent="0.35">
      <c r="B39" s="135">
        <v>36</v>
      </c>
      <c r="C39" s="137"/>
    </row>
    <row r="40" spans="2:3" x14ac:dyDescent="0.35">
      <c r="B40" s="135">
        <v>37</v>
      </c>
      <c r="C40" s="137"/>
    </row>
    <row r="41" spans="2:3" x14ac:dyDescent="0.35">
      <c r="B41" s="135">
        <v>38</v>
      </c>
      <c r="C41" s="137"/>
    </row>
    <row r="42" spans="2:3" x14ac:dyDescent="0.35">
      <c r="B42" s="135">
        <v>39</v>
      </c>
      <c r="C42" s="137"/>
    </row>
    <row r="43" spans="2:3" x14ac:dyDescent="0.35">
      <c r="B43" s="135">
        <v>40</v>
      </c>
      <c r="C43" s="137"/>
    </row>
    <row r="44" spans="2:3" x14ac:dyDescent="0.35">
      <c r="B44" s="135">
        <v>41</v>
      </c>
      <c r="C44" s="137"/>
    </row>
    <row r="45" spans="2:3" x14ac:dyDescent="0.35">
      <c r="B45" s="135">
        <v>42</v>
      </c>
      <c r="C45" s="137"/>
    </row>
    <row r="46" spans="2:3" x14ac:dyDescent="0.35">
      <c r="B46" s="135">
        <v>43</v>
      </c>
      <c r="C46" s="142"/>
    </row>
    <row r="47" spans="2:3" x14ac:dyDescent="0.35">
      <c r="B47" s="135">
        <v>44</v>
      </c>
      <c r="C47" s="137"/>
    </row>
    <row r="48" spans="2:3" x14ac:dyDescent="0.35">
      <c r="B48" s="135">
        <v>45</v>
      </c>
      <c r="C48" s="137"/>
    </row>
    <row r="49" spans="2:3" x14ac:dyDescent="0.35">
      <c r="B49" s="135">
        <v>46</v>
      </c>
      <c r="C49" s="137"/>
    </row>
    <row r="50" spans="2:3" x14ac:dyDescent="0.35">
      <c r="B50" s="433" t="s">
        <v>287</v>
      </c>
      <c r="C50" s="434"/>
    </row>
  </sheetData>
  <mergeCells count="1">
    <mergeCell ref="B50:C50"/>
  </mergeCells>
  <hyperlinks>
    <hyperlink ref="B2" location="PAINEL!A1" display="&lt;&lt; VOLTAR AO PAINEL DE CONTROLE" xr:uid="{D09B8626-4F22-4B26-A774-0697FDE09CE4}"/>
  </hyperlinks>
  <pageMargins left="0.25" right="0.25" top="0.75" bottom="0.75" header="0.3" footer="0.3"/>
  <pageSetup paperSize="9" scale="59" orientation="portrait" horizontalDpi="360" verticalDpi="36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D6076-1425-42CF-A553-D9F897FC7B52}">
  <sheetPr>
    <tabColor theme="0" tint="-4.9989318521683403E-2"/>
  </sheetPr>
  <dimension ref="B1:I27"/>
  <sheetViews>
    <sheetView showGridLines="0" zoomScale="80" zoomScaleNormal="80" workbookViewId="0">
      <pane ySplit="4" topLeftCell="A5" activePane="bottomLeft" state="frozen"/>
      <selection activeCell="D15" sqref="D15"/>
      <selection pane="bottomLeft" activeCell="B2" sqref="B2"/>
    </sheetView>
  </sheetViews>
  <sheetFormatPr defaultRowHeight="14.5" x14ac:dyDescent="0.35"/>
  <cols>
    <col min="1" max="1" width="3.7265625" customWidth="1"/>
    <col min="2" max="2" width="15.1796875" customWidth="1"/>
    <col min="3" max="3" width="59.453125" style="19" customWidth="1"/>
    <col min="4" max="4" width="8.81640625" customWidth="1"/>
    <col min="5" max="5" width="10.81640625" customWidth="1"/>
    <col min="6" max="6" width="15.1796875" customWidth="1"/>
    <col min="7" max="7" width="59.81640625" style="19" customWidth="1"/>
    <col min="8" max="8" width="8.81640625" customWidth="1"/>
  </cols>
  <sheetData>
    <row r="1" spans="2:9" ht="15" thickBot="1" x14ac:dyDescent="0.4"/>
    <row r="2" spans="2:9" ht="43" customHeight="1" thickBot="1" x14ac:dyDescent="0.4">
      <c r="B2" s="95" t="s">
        <v>147</v>
      </c>
      <c r="C2" s="399" t="s">
        <v>510</v>
      </c>
      <c r="D2" s="375"/>
      <c r="E2" s="375"/>
      <c r="F2" s="375"/>
      <c r="G2" s="375"/>
      <c r="H2" s="457">
        <f>(D26+H26)/2</f>
        <v>6.6</v>
      </c>
      <c r="I2" s="458"/>
    </row>
    <row r="3" spans="2:9" ht="3" customHeight="1" thickBot="1" x14ac:dyDescent="0.4"/>
    <row r="4" spans="2:9" s="86" customFormat="1" ht="26.5" thickBot="1" x14ac:dyDescent="0.35">
      <c r="B4" s="183" t="s">
        <v>482</v>
      </c>
      <c r="C4" s="183" t="s">
        <v>483</v>
      </c>
      <c r="D4" s="183" t="s">
        <v>484</v>
      </c>
      <c r="E4" s="183" t="s">
        <v>773</v>
      </c>
      <c r="F4" s="183" t="s">
        <v>482</v>
      </c>
      <c r="G4" s="183" t="s">
        <v>483</v>
      </c>
      <c r="H4" s="183" t="s">
        <v>484</v>
      </c>
      <c r="I4" s="183" t="s">
        <v>773</v>
      </c>
    </row>
    <row r="5" spans="2:9" ht="19" customHeight="1" thickTop="1" thickBot="1" x14ac:dyDescent="0.4">
      <c r="B5" s="459" t="s">
        <v>459</v>
      </c>
      <c r="C5" s="179" t="s">
        <v>974</v>
      </c>
      <c r="D5" s="185">
        <v>10</v>
      </c>
      <c r="E5" s="451">
        <f>AVERAGE(D5:D9)</f>
        <v>8</v>
      </c>
      <c r="F5" s="462" t="s">
        <v>505</v>
      </c>
      <c r="G5" s="178" t="s">
        <v>485</v>
      </c>
      <c r="H5" s="185">
        <v>9</v>
      </c>
      <c r="I5" s="451">
        <f>AVERAGE(H5:H9)</f>
        <v>8.1999999999999993</v>
      </c>
    </row>
    <row r="6" spans="2:9" ht="19" customHeight="1" thickTop="1" thickBot="1" x14ac:dyDescent="0.4">
      <c r="B6" s="460"/>
      <c r="C6" s="179" t="s">
        <v>460</v>
      </c>
      <c r="D6" s="186">
        <v>9</v>
      </c>
      <c r="E6" s="452"/>
      <c r="F6" s="460"/>
      <c r="G6" s="179" t="s">
        <v>486</v>
      </c>
      <c r="H6" s="186">
        <v>9</v>
      </c>
      <c r="I6" s="452"/>
    </row>
    <row r="7" spans="2:9" ht="18.649999999999999" customHeight="1" thickBot="1" x14ac:dyDescent="0.4">
      <c r="B7" s="460"/>
      <c r="C7" s="180" t="s">
        <v>461</v>
      </c>
      <c r="D7" s="187">
        <v>8</v>
      </c>
      <c r="E7" s="452"/>
      <c r="F7" s="460"/>
      <c r="G7" s="180" t="s">
        <v>487</v>
      </c>
      <c r="H7" s="187">
        <v>8</v>
      </c>
      <c r="I7" s="452"/>
    </row>
    <row r="8" spans="2:9" ht="18.649999999999999" customHeight="1" thickBot="1" x14ac:dyDescent="0.4">
      <c r="B8" s="460"/>
      <c r="C8" s="180" t="s">
        <v>462</v>
      </c>
      <c r="D8" s="187">
        <v>7</v>
      </c>
      <c r="E8" s="452"/>
      <c r="F8" s="460"/>
      <c r="G8" s="180" t="s">
        <v>488</v>
      </c>
      <c r="H8" s="187">
        <v>7</v>
      </c>
      <c r="I8" s="452"/>
    </row>
    <row r="9" spans="2:9" ht="18.649999999999999" customHeight="1" thickBot="1" x14ac:dyDescent="0.4">
      <c r="B9" s="461"/>
      <c r="C9" s="180" t="s">
        <v>463</v>
      </c>
      <c r="D9" s="187">
        <v>6</v>
      </c>
      <c r="E9" s="453"/>
      <c r="F9" s="461"/>
      <c r="G9" s="180" t="s">
        <v>489</v>
      </c>
      <c r="H9" s="187">
        <v>8</v>
      </c>
      <c r="I9" s="453"/>
    </row>
    <row r="10" spans="2:9" ht="22" customHeight="1" thickTop="1" thickBot="1" x14ac:dyDescent="0.4">
      <c r="B10" s="446" t="s">
        <v>464</v>
      </c>
      <c r="C10" s="181" t="s">
        <v>465</v>
      </c>
      <c r="D10" s="188">
        <v>9</v>
      </c>
      <c r="E10" s="438">
        <f>AVERAGE(D10:D14)</f>
        <v>7</v>
      </c>
      <c r="F10" s="447" t="s">
        <v>506</v>
      </c>
      <c r="G10" s="329" t="s">
        <v>490</v>
      </c>
      <c r="H10" s="330">
        <v>6</v>
      </c>
      <c r="I10" s="438">
        <f>AVERAGE(H10:H14)</f>
        <v>7.6</v>
      </c>
    </row>
    <row r="11" spans="2:9" ht="18.649999999999999" customHeight="1" thickBot="1" x14ac:dyDescent="0.4">
      <c r="B11" s="436"/>
      <c r="C11" s="181" t="s">
        <v>466</v>
      </c>
      <c r="D11" s="188">
        <v>8</v>
      </c>
      <c r="E11" s="439"/>
      <c r="F11" s="442"/>
      <c r="G11" s="329" t="s">
        <v>491</v>
      </c>
      <c r="H11" s="330">
        <v>7</v>
      </c>
      <c r="I11" s="439"/>
    </row>
    <row r="12" spans="2:9" ht="18.649999999999999" customHeight="1" thickBot="1" x14ac:dyDescent="0.4">
      <c r="B12" s="436"/>
      <c r="C12" s="181" t="s">
        <v>467</v>
      </c>
      <c r="D12" s="188">
        <v>7</v>
      </c>
      <c r="E12" s="439"/>
      <c r="F12" s="442"/>
      <c r="G12" s="329" t="s">
        <v>492</v>
      </c>
      <c r="H12" s="330">
        <v>8</v>
      </c>
      <c r="I12" s="439"/>
    </row>
    <row r="13" spans="2:9" ht="18.649999999999999" customHeight="1" thickBot="1" x14ac:dyDescent="0.4">
      <c r="B13" s="436"/>
      <c r="C13" s="181" t="s">
        <v>468</v>
      </c>
      <c r="D13" s="188">
        <v>6</v>
      </c>
      <c r="E13" s="439"/>
      <c r="F13" s="442"/>
      <c r="G13" s="329" t="s">
        <v>493</v>
      </c>
      <c r="H13" s="330">
        <v>9</v>
      </c>
      <c r="I13" s="439"/>
    </row>
    <row r="14" spans="2:9" ht="18.649999999999999" customHeight="1" thickBot="1" x14ac:dyDescent="0.4">
      <c r="B14" s="437"/>
      <c r="C14" s="181" t="s">
        <v>469</v>
      </c>
      <c r="D14" s="188">
        <v>5</v>
      </c>
      <c r="E14" s="440"/>
      <c r="F14" s="443"/>
      <c r="G14" s="329" t="s">
        <v>494</v>
      </c>
      <c r="H14" s="330">
        <v>8</v>
      </c>
      <c r="I14" s="440"/>
    </row>
    <row r="15" spans="2:9" ht="19" customHeight="1" thickTop="1" thickBot="1" x14ac:dyDescent="0.4">
      <c r="B15" s="448" t="s">
        <v>470</v>
      </c>
      <c r="C15" s="182" t="s">
        <v>471</v>
      </c>
      <c r="D15" s="187">
        <v>6</v>
      </c>
      <c r="E15" s="451">
        <f>AVERAGE(D15:D19)</f>
        <v>4</v>
      </c>
      <c r="F15" s="454" t="s">
        <v>507</v>
      </c>
      <c r="G15" s="182" t="s">
        <v>495</v>
      </c>
      <c r="H15" s="187">
        <v>7</v>
      </c>
      <c r="I15" s="451">
        <f>AVERAGE(H15:H19)</f>
        <v>5.2</v>
      </c>
    </row>
    <row r="16" spans="2:9" ht="18.649999999999999" customHeight="1" thickBot="1" x14ac:dyDescent="0.4">
      <c r="B16" s="449"/>
      <c r="C16" s="182" t="s">
        <v>472</v>
      </c>
      <c r="D16" s="187">
        <v>5</v>
      </c>
      <c r="E16" s="452"/>
      <c r="F16" s="455"/>
      <c r="G16" s="182" t="s">
        <v>496</v>
      </c>
      <c r="H16" s="187">
        <v>6</v>
      </c>
      <c r="I16" s="452"/>
    </row>
    <row r="17" spans="2:9" ht="18.649999999999999" customHeight="1" thickBot="1" x14ac:dyDescent="0.4">
      <c r="B17" s="449"/>
      <c r="C17" s="182" t="s">
        <v>473</v>
      </c>
      <c r="D17" s="187">
        <v>4</v>
      </c>
      <c r="E17" s="452"/>
      <c r="F17" s="455"/>
      <c r="G17" s="182" t="s">
        <v>497</v>
      </c>
      <c r="H17" s="187">
        <v>5</v>
      </c>
      <c r="I17" s="452"/>
    </row>
    <row r="18" spans="2:9" ht="18.649999999999999" customHeight="1" thickBot="1" x14ac:dyDescent="0.4">
      <c r="B18" s="449"/>
      <c r="C18" s="182" t="s">
        <v>474</v>
      </c>
      <c r="D18" s="187">
        <v>3</v>
      </c>
      <c r="E18" s="452"/>
      <c r="F18" s="455"/>
      <c r="G18" s="182" t="s">
        <v>498</v>
      </c>
      <c r="H18" s="187">
        <v>4</v>
      </c>
      <c r="I18" s="452"/>
    </row>
    <row r="19" spans="2:9" ht="18.649999999999999" customHeight="1" thickBot="1" x14ac:dyDescent="0.4">
      <c r="B19" s="450"/>
      <c r="C19" s="182" t="s">
        <v>475</v>
      </c>
      <c r="D19" s="187">
        <v>2</v>
      </c>
      <c r="E19" s="453"/>
      <c r="F19" s="456"/>
      <c r="G19" s="182" t="s">
        <v>499</v>
      </c>
      <c r="H19" s="187">
        <v>4</v>
      </c>
      <c r="I19" s="453"/>
    </row>
    <row r="20" spans="2:9" ht="22" customHeight="1" thickTop="1" thickBot="1" x14ac:dyDescent="0.4">
      <c r="B20" s="435" t="s">
        <v>476</v>
      </c>
      <c r="C20" s="181" t="s">
        <v>477</v>
      </c>
      <c r="D20" s="188">
        <v>5</v>
      </c>
      <c r="E20" s="438">
        <f>AVERAGE(D20:D24)</f>
        <v>7</v>
      </c>
      <c r="F20" s="441" t="s">
        <v>508</v>
      </c>
      <c r="G20" s="329" t="s">
        <v>500</v>
      </c>
      <c r="H20" s="330">
        <v>4</v>
      </c>
      <c r="I20" s="438">
        <f>AVERAGE(H20:H24)</f>
        <v>5.8</v>
      </c>
    </row>
    <row r="21" spans="2:9" ht="18.649999999999999" customHeight="1" thickBot="1" x14ac:dyDescent="0.4">
      <c r="B21" s="436"/>
      <c r="C21" s="181" t="s">
        <v>478</v>
      </c>
      <c r="D21" s="188">
        <v>6</v>
      </c>
      <c r="E21" s="439"/>
      <c r="F21" s="442"/>
      <c r="G21" s="329" t="s">
        <v>501</v>
      </c>
      <c r="H21" s="330">
        <v>5</v>
      </c>
      <c r="I21" s="439"/>
    </row>
    <row r="22" spans="2:9" ht="18.649999999999999" customHeight="1" thickBot="1" x14ac:dyDescent="0.4">
      <c r="B22" s="436"/>
      <c r="C22" s="181" t="s">
        <v>479</v>
      </c>
      <c r="D22" s="188">
        <v>7</v>
      </c>
      <c r="E22" s="439"/>
      <c r="F22" s="442"/>
      <c r="G22" s="329" t="s">
        <v>502</v>
      </c>
      <c r="H22" s="330">
        <v>6</v>
      </c>
      <c r="I22" s="439"/>
    </row>
    <row r="23" spans="2:9" ht="18.649999999999999" customHeight="1" thickBot="1" x14ac:dyDescent="0.4">
      <c r="B23" s="436"/>
      <c r="C23" s="181" t="s">
        <v>480</v>
      </c>
      <c r="D23" s="188">
        <v>8</v>
      </c>
      <c r="E23" s="439"/>
      <c r="F23" s="442"/>
      <c r="G23" s="329" t="s">
        <v>503</v>
      </c>
      <c r="H23" s="330">
        <v>7</v>
      </c>
      <c r="I23" s="439"/>
    </row>
    <row r="24" spans="2:9" ht="18.649999999999999" customHeight="1" thickBot="1" x14ac:dyDescent="0.4">
      <c r="B24" s="437"/>
      <c r="C24" s="181" t="s">
        <v>481</v>
      </c>
      <c r="D24" s="188">
        <v>9</v>
      </c>
      <c r="E24" s="440"/>
      <c r="F24" s="443"/>
      <c r="G24" s="329" t="s">
        <v>504</v>
      </c>
      <c r="H24" s="330">
        <v>7</v>
      </c>
      <c r="I24" s="440"/>
    </row>
    <row r="25" spans="2:9" ht="15" thickBot="1" x14ac:dyDescent="0.4"/>
    <row r="26" spans="2:9" ht="39" customHeight="1" thickBot="1" x14ac:dyDescent="0.4">
      <c r="B26" s="183"/>
      <c r="C26" s="184" t="s">
        <v>509</v>
      </c>
      <c r="D26" s="444">
        <f>AVERAGE(D5:D24)</f>
        <v>6.5</v>
      </c>
      <c r="E26" s="445"/>
      <c r="F26" s="183"/>
      <c r="G26" s="184" t="s">
        <v>509</v>
      </c>
      <c r="H26" s="444">
        <f>AVERAGE(H5:H24)</f>
        <v>6.7</v>
      </c>
      <c r="I26" s="445"/>
    </row>
    <row r="27" spans="2:9" ht="15" thickTop="1" x14ac:dyDescent="0.35"/>
  </sheetData>
  <mergeCells count="20">
    <mergeCell ref="C2:G2"/>
    <mergeCell ref="H2:I2"/>
    <mergeCell ref="B5:B9"/>
    <mergeCell ref="E5:E9"/>
    <mergeCell ref="F5:F9"/>
    <mergeCell ref="I5:I9"/>
    <mergeCell ref="B10:B14"/>
    <mergeCell ref="E10:E14"/>
    <mergeCell ref="F10:F14"/>
    <mergeCell ref="I10:I14"/>
    <mergeCell ref="B15:B19"/>
    <mergeCell ref="E15:E19"/>
    <mergeCell ref="F15:F19"/>
    <mergeCell ref="I15:I19"/>
    <mergeCell ref="B20:B24"/>
    <mergeCell ref="E20:E24"/>
    <mergeCell ref="F20:F24"/>
    <mergeCell ref="I20:I24"/>
    <mergeCell ref="D26:E26"/>
    <mergeCell ref="H26:I26"/>
  </mergeCells>
  <hyperlinks>
    <hyperlink ref="B2" location="PAINEL!A1" display="&lt;&lt; VOLTAR AO PAINEL DE CONTROLE" xr:uid="{F6613C8E-9A31-40EF-A79D-48DA2AEB8475}"/>
  </hyperlink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5B95-2BF5-4D8D-9604-C84287A84D8B}">
  <sheetPr>
    <tabColor theme="0" tint="-4.9989318521683403E-2"/>
  </sheetPr>
  <dimension ref="B2:F21"/>
  <sheetViews>
    <sheetView showGridLines="0" zoomScaleNormal="100" workbookViewId="0">
      <pane ySplit="4" topLeftCell="A5" activePane="bottomLeft" state="frozen"/>
      <selection activeCell="D15" sqref="D15"/>
      <selection pane="bottomLeft" activeCell="B2" sqref="B2"/>
    </sheetView>
  </sheetViews>
  <sheetFormatPr defaultColWidth="8.7265625" defaultRowHeight="12.5" x14ac:dyDescent="0.25"/>
  <cols>
    <col min="1" max="1" width="8.7265625" style="150"/>
    <col min="2" max="2" width="18.1796875" style="150" customWidth="1"/>
    <col min="3" max="3" width="1.7265625" style="151" customWidth="1"/>
    <col min="4" max="4" width="54" style="150" customWidth="1"/>
    <col min="5" max="5" width="23.26953125" style="150" customWidth="1"/>
    <col min="6" max="6" width="25.453125" style="150" customWidth="1"/>
    <col min="7" max="16384" width="8.7265625" style="150"/>
  </cols>
  <sheetData>
    <row r="2" spans="2:6" s="147" customFormat="1" ht="51" customHeight="1" x14ac:dyDescent="0.35">
      <c r="B2" s="97" t="s">
        <v>147</v>
      </c>
      <c r="C2" s="399" t="s">
        <v>289</v>
      </c>
      <c r="D2" s="375"/>
      <c r="E2" s="375"/>
      <c r="F2" s="375"/>
    </row>
    <row r="4" spans="2:6" s="148" customFormat="1" ht="38.15" customHeight="1" x14ac:dyDescent="0.35">
      <c r="B4" s="153" t="s">
        <v>288</v>
      </c>
      <c r="D4" s="152" t="s">
        <v>290</v>
      </c>
      <c r="E4" s="152" t="s">
        <v>291</v>
      </c>
      <c r="F4" s="152" t="s">
        <v>292</v>
      </c>
    </row>
    <row r="5" spans="2:6" ht="13" customHeight="1" x14ac:dyDescent="0.25">
      <c r="B5" s="463">
        <f ca="1">TODAY()</f>
        <v>45951</v>
      </c>
      <c r="D5" s="149"/>
      <c r="E5" s="331">
        <v>45646</v>
      </c>
      <c r="F5" s="149">
        <f t="shared" ref="F5:F21" ca="1" si="0">$B$5-E5</f>
        <v>305</v>
      </c>
    </row>
    <row r="6" spans="2:6" x14ac:dyDescent="0.25">
      <c r="B6" s="464"/>
      <c r="D6" s="149"/>
      <c r="E6" s="331">
        <v>45680</v>
      </c>
      <c r="F6" s="149">
        <f t="shared" ca="1" si="0"/>
        <v>271</v>
      </c>
    </row>
    <row r="7" spans="2:6" x14ac:dyDescent="0.25">
      <c r="D7" s="149" t="s">
        <v>1003</v>
      </c>
      <c r="E7" s="331">
        <v>45698</v>
      </c>
      <c r="F7" s="149">
        <f t="shared" ca="1" si="0"/>
        <v>253</v>
      </c>
    </row>
    <row r="8" spans="2:6" x14ac:dyDescent="0.25">
      <c r="D8" s="149"/>
      <c r="E8" s="331">
        <v>45699</v>
      </c>
      <c r="F8" s="149">
        <f t="shared" ca="1" si="0"/>
        <v>252</v>
      </c>
    </row>
    <row r="9" spans="2:6" x14ac:dyDescent="0.25">
      <c r="D9" s="149"/>
      <c r="E9" s="331">
        <v>45700</v>
      </c>
      <c r="F9" s="149">
        <f t="shared" ca="1" si="0"/>
        <v>251</v>
      </c>
    </row>
    <row r="10" spans="2:6" x14ac:dyDescent="0.25">
      <c r="D10" s="149" t="s">
        <v>995</v>
      </c>
      <c r="E10" s="331">
        <v>45701</v>
      </c>
      <c r="F10" s="149">
        <f t="shared" ca="1" si="0"/>
        <v>250</v>
      </c>
    </row>
    <row r="11" spans="2:6" x14ac:dyDescent="0.25">
      <c r="D11" s="149" t="s">
        <v>996</v>
      </c>
      <c r="E11" s="331">
        <v>45702</v>
      </c>
      <c r="F11" s="149">
        <f t="shared" ca="1" si="0"/>
        <v>249</v>
      </c>
    </row>
    <row r="12" spans="2:6" x14ac:dyDescent="0.25">
      <c r="D12" s="149" t="s">
        <v>997</v>
      </c>
      <c r="E12" s="331">
        <v>45703</v>
      </c>
      <c r="F12" s="149">
        <f t="shared" ca="1" si="0"/>
        <v>248</v>
      </c>
    </row>
    <row r="13" spans="2:6" x14ac:dyDescent="0.25">
      <c r="D13" s="149" t="s">
        <v>993</v>
      </c>
      <c r="E13" s="331">
        <v>45704</v>
      </c>
      <c r="F13" s="149">
        <f t="shared" ca="1" si="0"/>
        <v>247</v>
      </c>
    </row>
    <row r="14" spans="2:6" x14ac:dyDescent="0.25">
      <c r="D14" s="149" t="s">
        <v>994</v>
      </c>
      <c r="E14" s="331">
        <v>45705</v>
      </c>
      <c r="F14" s="149">
        <f t="shared" ca="1" si="0"/>
        <v>246</v>
      </c>
    </row>
    <row r="15" spans="2:6" x14ac:dyDescent="0.25">
      <c r="D15" s="149" t="s">
        <v>995</v>
      </c>
      <c r="E15" s="331">
        <v>45706</v>
      </c>
      <c r="F15" s="149">
        <f t="shared" ca="1" si="0"/>
        <v>245</v>
      </c>
    </row>
    <row r="16" spans="2:6" x14ac:dyDescent="0.25">
      <c r="D16" s="149" t="s">
        <v>996</v>
      </c>
      <c r="E16" s="331">
        <v>45707</v>
      </c>
      <c r="F16" s="149">
        <f t="shared" ca="1" si="0"/>
        <v>244</v>
      </c>
    </row>
    <row r="17" spans="4:6" x14ac:dyDescent="0.25">
      <c r="D17" s="149" t="s">
        <v>997</v>
      </c>
      <c r="E17" s="331">
        <v>45708</v>
      </c>
      <c r="F17" s="149">
        <f t="shared" ca="1" si="0"/>
        <v>243</v>
      </c>
    </row>
    <row r="18" spans="4:6" x14ac:dyDescent="0.25">
      <c r="D18" s="149"/>
      <c r="E18" s="331"/>
      <c r="F18" s="149">
        <f t="shared" ca="1" si="0"/>
        <v>45951</v>
      </c>
    </row>
    <row r="19" spans="4:6" x14ac:dyDescent="0.25">
      <c r="D19" s="149"/>
      <c r="E19" s="331"/>
      <c r="F19" s="149">
        <f t="shared" ca="1" si="0"/>
        <v>45951</v>
      </c>
    </row>
    <row r="20" spans="4:6" x14ac:dyDescent="0.25">
      <c r="D20" s="149"/>
      <c r="E20" s="331"/>
      <c r="F20" s="149">
        <f t="shared" ca="1" si="0"/>
        <v>45951</v>
      </c>
    </row>
    <row r="21" spans="4:6" x14ac:dyDescent="0.25">
      <c r="D21" s="149"/>
      <c r="E21" s="331"/>
      <c r="F21" s="149">
        <f t="shared" ca="1" si="0"/>
        <v>45951</v>
      </c>
    </row>
  </sheetData>
  <mergeCells count="2">
    <mergeCell ref="C2:F2"/>
    <mergeCell ref="B5:B6"/>
  </mergeCells>
  <conditionalFormatting sqref="F5:F21">
    <cfRule type="colorScale" priority="1">
      <colorScale>
        <cfvo type="min"/>
        <cfvo type="percentile" val="50"/>
        <cfvo type="max"/>
        <color rgb="FF63BE7B"/>
        <color rgb="FFFFEB84"/>
        <color rgb="FFF8696B"/>
      </colorScale>
    </cfRule>
  </conditionalFormatting>
  <hyperlinks>
    <hyperlink ref="B2" location="PAINEL!A1" display="&lt;&lt; VOLTAR AO PAINEL DE CONTROLE" xr:uid="{A3F2BCE6-4ABB-4348-A164-C88EFD3AEB92}"/>
  </hyperlink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1C34-2D21-4D60-A5CC-ABE3205B843F}">
  <sheetPr>
    <tabColor theme="0" tint="-4.9989318521683403E-2"/>
  </sheetPr>
  <dimension ref="B2:F51"/>
  <sheetViews>
    <sheetView showGridLines="0" zoomScale="70" zoomScaleNormal="70" workbookViewId="0">
      <pane ySplit="4" topLeftCell="A5" activePane="bottomLeft" state="frozen"/>
      <selection activeCell="D15" sqref="D15"/>
      <selection pane="bottomLeft" activeCell="B2" sqref="B2"/>
    </sheetView>
  </sheetViews>
  <sheetFormatPr defaultRowHeight="14.5" x14ac:dyDescent="0.35"/>
  <cols>
    <col min="2" max="2" width="18" customWidth="1"/>
    <col min="3" max="3" width="111.54296875" customWidth="1"/>
    <col min="4" max="4" width="6.453125" customWidth="1"/>
    <col min="5" max="5" width="10.453125" customWidth="1"/>
    <col min="6" max="6" width="74.26953125" customWidth="1"/>
  </cols>
  <sheetData>
    <row r="2" spans="2:6" ht="43.5" x14ac:dyDescent="0.35">
      <c r="B2" s="210" t="s">
        <v>147</v>
      </c>
      <c r="C2" s="110" t="s">
        <v>975</v>
      </c>
      <c r="E2" s="375" t="s">
        <v>975</v>
      </c>
      <c r="F2" s="375"/>
    </row>
    <row r="3" spans="2:6" ht="7" customHeight="1" x14ac:dyDescent="0.35"/>
    <row r="4" spans="2:6" ht="24.65" customHeight="1" x14ac:dyDescent="0.5">
      <c r="B4" s="466" t="s">
        <v>775</v>
      </c>
      <c r="C4" s="466"/>
      <c r="E4" s="466"/>
      <c r="F4" s="466"/>
    </row>
    <row r="5" spans="2:6" ht="18.5" x14ac:dyDescent="0.35">
      <c r="B5" s="465" t="s">
        <v>776</v>
      </c>
      <c r="C5" s="465"/>
      <c r="E5" s="221">
        <v>1</v>
      </c>
      <c r="F5" s="222"/>
    </row>
    <row r="6" spans="2:6" ht="15.5" x14ac:dyDescent="0.35">
      <c r="B6" s="221">
        <v>1</v>
      </c>
      <c r="C6" s="222" t="s">
        <v>777</v>
      </c>
      <c r="E6" s="221">
        <v>2</v>
      </c>
      <c r="F6" s="222"/>
    </row>
    <row r="7" spans="2:6" ht="15.5" x14ac:dyDescent="0.35">
      <c r="B7" s="221">
        <v>2</v>
      </c>
      <c r="C7" s="222" t="s">
        <v>778</v>
      </c>
      <c r="E7" s="221">
        <v>3</v>
      </c>
      <c r="F7" s="222"/>
    </row>
    <row r="8" spans="2:6" ht="18.5" x14ac:dyDescent="0.35">
      <c r="B8" s="465" t="s">
        <v>779</v>
      </c>
      <c r="C8" s="465"/>
      <c r="E8" s="221">
        <v>4</v>
      </c>
      <c r="F8" s="222"/>
    </row>
    <row r="9" spans="2:6" ht="15.5" x14ac:dyDescent="0.35">
      <c r="B9" s="221">
        <v>3</v>
      </c>
      <c r="C9" s="222" t="s">
        <v>780</v>
      </c>
      <c r="E9" s="221">
        <v>5</v>
      </c>
      <c r="F9" s="222"/>
    </row>
    <row r="10" spans="2:6" ht="18.5" x14ac:dyDescent="0.35">
      <c r="B10" s="465" t="s">
        <v>781</v>
      </c>
      <c r="C10" s="465"/>
      <c r="E10" s="221">
        <v>6</v>
      </c>
      <c r="F10" s="222"/>
    </row>
    <row r="11" spans="2:6" ht="15.5" x14ac:dyDescent="0.35">
      <c r="B11" s="221">
        <v>4</v>
      </c>
      <c r="C11" s="222" t="s">
        <v>782</v>
      </c>
      <c r="E11" s="221">
        <v>7</v>
      </c>
      <c r="F11" s="222"/>
    </row>
    <row r="12" spans="2:6" ht="15.5" x14ac:dyDescent="0.35">
      <c r="B12" s="221">
        <v>5</v>
      </c>
      <c r="C12" s="223" t="s">
        <v>783</v>
      </c>
      <c r="E12" s="221">
        <v>8</v>
      </c>
      <c r="F12" s="222"/>
    </row>
    <row r="13" spans="2:6" ht="29" x14ac:dyDescent="0.35">
      <c r="B13" s="221">
        <v>6</v>
      </c>
      <c r="C13" s="224" t="s">
        <v>822</v>
      </c>
      <c r="E13" s="221">
        <v>9</v>
      </c>
      <c r="F13" s="222"/>
    </row>
    <row r="14" spans="2:6" ht="15.5" x14ac:dyDescent="0.35">
      <c r="B14" s="221">
        <v>7</v>
      </c>
      <c r="C14" s="222" t="s">
        <v>784</v>
      </c>
      <c r="E14" s="221">
        <v>10</v>
      </c>
      <c r="F14" s="222"/>
    </row>
    <row r="15" spans="2:6" ht="15.5" x14ac:dyDescent="0.35">
      <c r="B15" s="221">
        <v>8</v>
      </c>
      <c r="C15" s="223" t="s">
        <v>785</v>
      </c>
      <c r="E15" s="221">
        <v>11</v>
      </c>
      <c r="F15" s="222"/>
    </row>
    <row r="16" spans="2:6" ht="15.5" x14ac:dyDescent="0.35">
      <c r="B16" s="221">
        <v>9</v>
      </c>
      <c r="C16" s="225" t="s">
        <v>786</v>
      </c>
      <c r="E16" s="221">
        <v>12</v>
      </c>
      <c r="F16" s="222"/>
    </row>
    <row r="17" spans="2:6" ht="15.5" x14ac:dyDescent="0.35">
      <c r="B17" s="221">
        <v>10</v>
      </c>
      <c r="C17" s="222" t="s">
        <v>787</v>
      </c>
      <c r="E17" s="221">
        <v>13</v>
      </c>
      <c r="F17" s="222"/>
    </row>
    <row r="18" spans="2:6" ht="15.5" x14ac:dyDescent="0.35">
      <c r="B18" s="221">
        <v>11</v>
      </c>
      <c r="C18" s="223" t="s">
        <v>788</v>
      </c>
      <c r="E18" s="221">
        <v>14</v>
      </c>
      <c r="F18" s="222"/>
    </row>
    <row r="19" spans="2:6" ht="15.5" x14ac:dyDescent="0.35">
      <c r="B19" s="221">
        <v>12</v>
      </c>
      <c r="C19" s="223" t="s">
        <v>789</v>
      </c>
      <c r="E19" s="221">
        <v>15</v>
      </c>
      <c r="F19" s="222"/>
    </row>
    <row r="20" spans="2:6" ht="15.5" x14ac:dyDescent="0.35">
      <c r="B20" s="221">
        <v>13</v>
      </c>
      <c r="C20" s="222" t="s">
        <v>790</v>
      </c>
      <c r="E20" s="221">
        <v>16</v>
      </c>
      <c r="F20" s="222"/>
    </row>
    <row r="21" spans="2:6" ht="15.5" x14ac:dyDescent="0.35">
      <c r="B21" s="221">
        <v>14</v>
      </c>
      <c r="C21" s="223" t="s">
        <v>791</v>
      </c>
      <c r="E21" s="221">
        <v>17</v>
      </c>
      <c r="F21" s="222"/>
    </row>
    <row r="22" spans="2:6" ht="15.5" x14ac:dyDescent="0.35">
      <c r="B22" s="221">
        <v>15</v>
      </c>
      <c r="C22" s="225" t="s">
        <v>792</v>
      </c>
      <c r="E22" s="221">
        <v>18</v>
      </c>
      <c r="F22" s="222"/>
    </row>
    <row r="23" spans="2:6" ht="18.5" x14ac:dyDescent="0.35">
      <c r="B23" s="465" t="s">
        <v>793</v>
      </c>
      <c r="C23" s="465"/>
      <c r="E23" s="221">
        <v>19</v>
      </c>
      <c r="F23" s="222"/>
    </row>
    <row r="24" spans="2:6" ht="15.5" x14ac:dyDescent="0.35">
      <c r="B24" s="221">
        <v>16</v>
      </c>
      <c r="C24" s="222" t="s">
        <v>794</v>
      </c>
      <c r="E24" s="221">
        <v>20</v>
      </c>
      <c r="F24" s="222"/>
    </row>
    <row r="25" spans="2:6" ht="43.5" x14ac:dyDescent="0.35">
      <c r="B25" s="221">
        <v>17</v>
      </c>
      <c r="C25" s="226" t="s">
        <v>795</v>
      </c>
      <c r="E25" s="221">
        <v>21</v>
      </c>
      <c r="F25" s="222"/>
    </row>
    <row r="26" spans="2:6" ht="15.5" x14ac:dyDescent="0.35">
      <c r="B26" s="221">
        <v>18</v>
      </c>
      <c r="C26" s="222" t="s">
        <v>796</v>
      </c>
      <c r="E26" s="221">
        <v>22</v>
      </c>
      <c r="F26" s="222"/>
    </row>
    <row r="27" spans="2:6" ht="58" x14ac:dyDescent="0.35">
      <c r="B27" s="221">
        <v>19</v>
      </c>
      <c r="C27" s="226" t="s">
        <v>797</v>
      </c>
      <c r="E27" s="221">
        <v>23</v>
      </c>
      <c r="F27" s="222"/>
    </row>
    <row r="28" spans="2:6" ht="15.5" x14ac:dyDescent="0.35">
      <c r="B28" s="221">
        <v>20</v>
      </c>
      <c r="C28" s="222" t="s">
        <v>798</v>
      </c>
      <c r="E28" s="221">
        <v>24</v>
      </c>
      <c r="F28" s="222"/>
    </row>
    <row r="29" spans="2:6" ht="43.5" x14ac:dyDescent="0.35">
      <c r="B29" s="221">
        <v>21</v>
      </c>
      <c r="C29" s="226" t="s">
        <v>799</v>
      </c>
      <c r="E29" s="221">
        <v>25</v>
      </c>
      <c r="F29" s="222"/>
    </row>
    <row r="30" spans="2:6" ht="15.5" x14ac:dyDescent="0.35">
      <c r="B30" s="221">
        <v>22</v>
      </c>
      <c r="C30" s="222" t="s">
        <v>800</v>
      </c>
      <c r="E30" s="221">
        <v>26</v>
      </c>
      <c r="F30" s="222"/>
    </row>
    <row r="31" spans="2:6" ht="29" x14ac:dyDescent="0.35">
      <c r="B31" s="221">
        <v>23</v>
      </c>
      <c r="C31" s="226" t="s">
        <v>801</v>
      </c>
      <c r="E31" s="221">
        <v>27</v>
      </c>
      <c r="F31" s="222"/>
    </row>
    <row r="32" spans="2:6" ht="15.5" x14ac:dyDescent="0.35">
      <c r="B32" s="221">
        <v>24</v>
      </c>
      <c r="C32" s="222" t="s">
        <v>802</v>
      </c>
      <c r="E32" s="221">
        <v>28</v>
      </c>
      <c r="F32" s="222"/>
    </row>
    <row r="33" spans="2:6" ht="58" x14ac:dyDescent="0.35">
      <c r="B33" s="221">
        <v>25</v>
      </c>
      <c r="C33" s="226" t="s">
        <v>803</v>
      </c>
      <c r="E33" s="221">
        <v>29</v>
      </c>
      <c r="F33" s="222"/>
    </row>
    <row r="34" spans="2:6" ht="15.5" x14ac:dyDescent="0.35">
      <c r="B34" s="221">
        <v>26</v>
      </c>
      <c r="C34" s="222" t="s">
        <v>804</v>
      </c>
      <c r="E34" s="221">
        <v>30</v>
      </c>
      <c r="F34" s="222"/>
    </row>
    <row r="35" spans="2:6" ht="72.5" x14ac:dyDescent="0.35">
      <c r="B35" s="221">
        <v>27</v>
      </c>
      <c r="C35" s="226" t="s">
        <v>805</v>
      </c>
      <c r="E35" s="221">
        <v>31</v>
      </c>
      <c r="F35" s="222"/>
    </row>
    <row r="36" spans="2:6" ht="15.5" x14ac:dyDescent="0.35">
      <c r="B36" s="221">
        <v>28</v>
      </c>
      <c r="C36" s="222" t="s">
        <v>806</v>
      </c>
      <c r="E36" s="221">
        <v>32</v>
      </c>
      <c r="F36" s="222"/>
    </row>
    <row r="37" spans="2:6" ht="58" x14ac:dyDescent="0.35">
      <c r="B37" s="221">
        <v>29</v>
      </c>
      <c r="C37" s="226" t="s">
        <v>807</v>
      </c>
      <c r="E37" s="221">
        <v>33</v>
      </c>
      <c r="F37" s="222"/>
    </row>
    <row r="38" spans="2:6" ht="15.5" x14ac:dyDescent="0.35">
      <c r="B38" s="221">
        <v>30</v>
      </c>
      <c r="C38" s="222" t="s">
        <v>808</v>
      </c>
      <c r="E38" s="221">
        <v>34</v>
      </c>
      <c r="F38" s="222"/>
    </row>
    <row r="39" spans="2:6" ht="43.5" x14ac:dyDescent="0.35">
      <c r="B39" s="221">
        <v>31</v>
      </c>
      <c r="C39" s="226" t="s">
        <v>809</v>
      </c>
      <c r="E39" s="221">
        <v>35</v>
      </c>
      <c r="F39" s="222"/>
    </row>
    <row r="40" spans="2:6" ht="15.5" x14ac:dyDescent="0.35">
      <c r="B40" s="221">
        <v>32</v>
      </c>
      <c r="C40" s="223" t="s">
        <v>810</v>
      </c>
      <c r="E40" s="221">
        <v>36</v>
      </c>
      <c r="F40" s="222"/>
    </row>
    <row r="41" spans="2:6" ht="18.5" x14ac:dyDescent="0.35">
      <c r="B41" s="465" t="s">
        <v>811</v>
      </c>
      <c r="C41" s="465"/>
      <c r="E41" s="221">
        <v>37</v>
      </c>
      <c r="F41" s="222"/>
    </row>
    <row r="42" spans="2:6" ht="15.5" x14ac:dyDescent="0.35">
      <c r="B42" s="221">
        <v>33</v>
      </c>
      <c r="C42" s="226" t="s">
        <v>812</v>
      </c>
      <c r="E42" s="221">
        <v>38</v>
      </c>
      <c r="F42" s="222"/>
    </row>
    <row r="43" spans="2:6" ht="15.5" x14ac:dyDescent="0.35">
      <c r="B43" s="221">
        <v>34</v>
      </c>
      <c r="C43" s="223" t="s">
        <v>813</v>
      </c>
      <c r="E43" s="221">
        <v>39</v>
      </c>
      <c r="F43" s="222"/>
    </row>
    <row r="44" spans="2:6" ht="15.5" x14ac:dyDescent="0.35">
      <c r="B44" s="221">
        <v>35</v>
      </c>
      <c r="C44" s="225" t="s">
        <v>814</v>
      </c>
      <c r="E44" s="221">
        <v>40</v>
      </c>
      <c r="F44" s="222"/>
    </row>
    <row r="45" spans="2:6" ht="18.5" x14ac:dyDescent="0.35">
      <c r="B45" s="465" t="s">
        <v>815</v>
      </c>
      <c r="C45" s="465"/>
      <c r="E45" s="221">
        <v>41</v>
      </c>
      <c r="F45" s="222"/>
    </row>
    <row r="46" spans="2:6" ht="43.5" x14ac:dyDescent="0.35">
      <c r="B46" s="221">
        <v>36</v>
      </c>
      <c r="C46" s="226" t="s">
        <v>816</v>
      </c>
      <c r="E46" s="221">
        <v>42</v>
      </c>
      <c r="F46" s="222"/>
    </row>
    <row r="47" spans="2:6" ht="15.5" x14ac:dyDescent="0.35">
      <c r="B47" s="221">
        <v>37</v>
      </c>
      <c r="C47" s="226" t="s">
        <v>817</v>
      </c>
      <c r="E47" s="221">
        <v>43</v>
      </c>
      <c r="F47" s="222"/>
    </row>
    <row r="48" spans="2:6" ht="18.5" x14ac:dyDescent="0.35">
      <c r="B48" s="465" t="s">
        <v>818</v>
      </c>
      <c r="C48" s="465"/>
      <c r="E48" s="221">
        <v>44</v>
      </c>
      <c r="F48" s="222"/>
    </row>
    <row r="49" spans="2:6" ht="15.5" x14ac:dyDescent="0.35">
      <c r="B49" s="221">
        <v>38</v>
      </c>
      <c r="C49" s="222" t="s">
        <v>819</v>
      </c>
      <c r="E49" s="221">
        <v>45</v>
      </c>
      <c r="F49" s="222"/>
    </row>
    <row r="50" spans="2:6" ht="58" x14ac:dyDescent="0.35">
      <c r="B50" s="221">
        <v>39</v>
      </c>
      <c r="C50" s="226" t="s">
        <v>820</v>
      </c>
      <c r="E50" s="221">
        <v>46</v>
      </c>
      <c r="F50" s="222"/>
    </row>
    <row r="51" spans="2:6" ht="18.5" x14ac:dyDescent="0.35">
      <c r="B51" s="465" t="s">
        <v>821</v>
      </c>
      <c r="C51" s="465"/>
      <c r="E51" s="465" t="s">
        <v>821</v>
      </c>
      <c r="F51" s="465"/>
    </row>
  </sheetData>
  <mergeCells count="12">
    <mergeCell ref="E51:F51"/>
    <mergeCell ref="E2:F2"/>
    <mergeCell ref="E4:F4"/>
    <mergeCell ref="B45:C45"/>
    <mergeCell ref="B48:C48"/>
    <mergeCell ref="B51:C51"/>
    <mergeCell ref="B4:C4"/>
    <mergeCell ref="B5:C5"/>
    <mergeCell ref="B8:C8"/>
    <mergeCell ref="B10:C10"/>
    <mergeCell ref="B23:C23"/>
    <mergeCell ref="B41:C41"/>
  </mergeCells>
  <hyperlinks>
    <hyperlink ref="B2" location="PAINEL!A1" display="&lt;&lt; VOLTAR AO PAINEL DE CONTROLE" xr:uid="{73C0E118-AF73-4665-9599-1A12FD50A4F9}"/>
  </hyperlink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44EE-BE2D-4EF2-B963-F8C503910DEE}">
  <sheetPr>
    <tabColor theme="0" tint="-4.9989318521683403E-2"/>
  </sheetPr>
  <dimension ref="A2:G17"/>
  <sheetViews>
    <sheetView showGridLines="0" zoomScale="40" zoomScaleNormal="40" workbookViewId="0">
      <pane ySplit="4" topLeftCell="A5" activePane="bottomLeft" state="frozen"/>
      <selection activeCell="D15" sqref="D15"/>
      <selection pane="bottomLeft" activeCell="B2" sqref="B2"/>
    </sheetView>
  </sheetViews>
  <sheetFormatPr defaultColWidth="14.453125" defaultRowHeight="15.75" customHeight="1" x14ac:dyDescent="0.35"/>
  <cols>
    <col min="1" max="1" width="4.453125" style="3" customWidth="1"/>
    <col min="2" max="2" width="24.54296875" style="3" customWidth="1"/>
    <col min="3" max="3" width="106.7265625" customWidth="1"/>
    <col min="4" max="4" width="1.81640625" customWidth="1"/>
    <col min="5" max="5" width="113.54296875" bestFit="1" customWidth="1"/>
    <col min="6" max="6" width="1.81640625" customWidth="1"/>
    <col min="7" max="7" width="140.1796875" customWidth="1"/>
    <col min="8" max="8" width="13.1796875" style="3" customWidth="1"/>
    <col min="9" max="16384" width="14.453125" style="3"/>
  </cols>
  <sheetData>
    <row r="2" spans="1:7" customFormat="1" ht="76" customHeight="1" x14ac:dyDescent="0.35">
      <c r="B2" s="99" t="s">
        <v>147</v>
      </c>
      <c r="C2" s="408" t="s">
        <v>133</v>
      </c>
      <c r="D2" s="409"/>
      <c r="E2" s="409"/>
      <c r="F2" s="409"/>
      <c r="G2" s="409"/>
    </row>
    <row r="3" spans="1:7" ht="5.5" customHeight="1" x14ac:dyDescent="0.35"/>
    <row r="4" spans="1:7" s="109" customFormat="1" ht="53.15" customHeight="1" x14ac:dyDescent="0.7">
      <c r="B4" s="106" t="s">
        <v>55</v>
      </c>
      <c r="C4" s="107" t="s">
        <v>521</v>
      </c>
      <c r="D4" s="108"/>
      <c r="E4" s="107" t="s">
        <v>522</v>
      </c>
      <c r="F4" s="108"/>
      <c r="G4" s="107" t="s">
        <v>523</v>
      </c>
    </row>
    <row r="5" spans="1:7" ht="6.75" customHeight="1" x14ac:dyDescent="0.35">
      <c r="A5"/>
      <c r="B5"/>
    </row>
    <row r="6" spans="1:7" ht="46.5" customHeight="1" x14ac:dyDescent="1">
      <c r="B6" s="125">
        <v>1</v>
      </c>
      <c r="C6" s="192" t="s">
        <v>544</v>
      </c>
      <c r="D6" s="122"/>
      <c r="E6" s="332" t="s">
        <v>525</v>
      </c>
      <c r="F6" s="189"/>
      <c r="G6" s="333" t="s">
        <v>524</v>
      </c>
    </row>
    <row r="7" spans="1:7" ht="46.5" customHeight="1" x14ac:dyDescent="1">
      <c r="B7" s="125">
        <v>2</v>
      </c>
      <c r="C7" s="192" t="s">
        <v>978</v>
      </c>
      <c r="D7" s="122"/>
      <c r="E7" s="332" t="s">
        <v>976</v>
      </c>
      <c r="F7" s="189"/>
      <c r="G7" s="333" t="s">
        <v>977</v>
      </c>
    </row>
    <row r="8" spans="1:7" ht="46.5" customHeight="1" x14ac:dyDescent="0.65">
      <c r="B8" s="125">
        <v>3</v>
      </c>
      <c r="C8" s="192" t="s">
        <v>545</v>
      </c>
      <c r="D8" s="155"/>
      <c r="E8" s="332" t="s">
        <v>529</v>
      </c>
      <c r="F8" s="190"/>
      <c r="G8" s="333" t="s">
        <v>528</v>
      </c>
    </row>
    <row r="9" spans="1:7" ht="46.5" customHeight="1" x14ac:dyDescent="0.65">
      <c r="B9" s="125">
        <v>4</v>
      </c>
      <c r="C9" s="192" t="s">
        <v>546</v>
      </c>
      <c r="D9" s="155"/>
      <c r="E9" s="332" t="s">
        <v>526</v>
      </c>
      <c r="F9" s="190"/>
      <c r="G9" s="333" t="s">
        <v>527</v>
      </c>
    </row>
    <row r="10" spans="1:7" ht="46.5" customHeight="1" x14ac:dyDescent="0.65">
      <c r="B10" s="125">
        <v>5</v>
      </c>
      <c r="C10" s="192" t="s">
        <v>547</v>
      </c>
      <c r="D10" s="155"/>
      <c r="E10" s="332" t="s">
        <v>531</v>
      </c>
      <c r="F10" s="190"/>
      <c r="G10" s="333" t="s">
        <v>530</v>
      </c>
    </row>
    <row r="11" spans="1:7" ht="46.5" customHeight="1" x14ac:dyDescent="0.65">
      <c r="B11" s="125">
        <v>6</v>
      </c>
      <c r="C11" s="192" t="s">
        <v>548</v>
      </c>
      <c r="D11" s="155"/>
      <c r="E11" s="332" t="s">
        <v>533</v>
      </c>
      <c r="F11" s="190"/>
      <c r="G11" s="333" t="s">
        <v>532</v>
      </c>
    </row>
    <row r="12" spans="1:7" ht="46.5" customHeight="1" x14ac:dyDescent="0.65">
      <c r="B12" s="125">
        <v>7</v>
      </c>
      <c r="C12" s="192" t="s">
        <v>548</v>
      </c>
      <c r="D12" s="155"/>
      <c r="E12" s="332" t="s">
        <v>534</v>
      </c>
      <c r="F12" s="190"/>
      <c r="G12" s="333" t="s">
        <v>535</v>
      </c>
    </row>
    <row r="13" spans="1:7" ht="46.5" customHeight="1" x14ac:dyDescent="0.65">
      <c r="B13" s="125">
        <v>8</v>
      </c>
      <c r="C13" s="192" t="s">
        <v>549</v>
      </c>
      <c r="E13" s="332" t="s">
        <v>536</v>
      </c>
      <c r="F13" s="191"/>
      <c r="G13" s="333" t="s">
        <v>537</v>
      </c>
    </row>
    <row r="14" spans="1:7" ht="46.5" customHeight="1" x14ac:dyDescent="0.65">
      <c r="B14" s="125">
        <v>9</v>
      </c>
      <c r="C14" s="192" t="s">
        <v>550</v>
      </c>
      <c r="E14" s="332" t="s">
        <v>538</v>
      </c>
      <c r="F14" s="191"/>
      <c r="G14" s="333" t="s">
        <v>539</v>
      </c>
    </row>
    <row r="15" spans="1:7" ht="46.5" customHeight="1" x14ac:dyDescent="0.65">
      <c r="B15" s="125">
        <v>10</v>
      </c>
      <c r="C15" s="192" t="s">
        <v>551</v>
      </c>
      <c r="E15" s="332" t="s">
        <v>540</v>
      </c>
      <c r="F15" s="191"/>
      <c r="G15" s="333" t="s">
        <v>541</v>
      </c>
    </row>
    <row r="16" spans="1:7" ht="46.5" customHeight="1" x14ac:dyDescent="0.65">
      <c r="B16" s="125">
        <v>11</v>
      </c>
      <c r="C16" s="192" t="s">
        <v>552</v>
      </c>
      <c r="E16" s="332" t="s">
        <v>542</v>
      </c>
      <c r="F16" s="191"/>
      <c r="G16" s="333" t="s">
        <v>543</v>
      </c>
    </row>
    <row r="17" spans="2:7" ht="57" x14ac:dyDescent="0.65">
      <c r="B17" s="125">
        <v>12</v>
      </c>
      <c r="C17" s="192" t="s">
        <v>872</v>
      </c>
      <c r="E17" s="332" t="s">
        <v>874</v>
      </c>
      <c r="F17" s="191"/>
      <c r="G17" s="333" t="s">
        <v>873</v>
      </c>
    </row>
  </sheetData>
  <mergeCells count="1">
    <mergeCell ref="C2:G2"/>
  </mergeCells>
  <hyperlinks>
    <hyperlink ref="B2" location="PAINEL!A1" display="&lt;&lt; VOLTAR AO PAINEL DE CONTROLE" xr:uid="{95473772-C057-4A4E-9659-A16CC50C9E0C}"/>
  </hyperlink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AA53-781C-43E3-B6A7-D8BB1EC73539}">
  <sheetPr>
    <tabColor theme="0" tint="-4.9989318521683403E-2"/>
  </sheetPr>
  <dimension ref="B1:V10"/>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53125" defaultRowHeight="15.75" customHeight="1" x14ac:dyDescent="0.35"/>
  <cols>
    <col min="1" max="1" width="4.26953125" style="3" customWidth="1"/>
    <col min="2" max="2" width="2.54296875" customWidth="1"/>
    <col min="3" max="3" width="30.1796875" style="15" customWidth="1"/>
    <col min="4" max="4" width="11.453125" style="15" customWidth="1"/>
    <col min="5" max="5" width="1" style="15" customWidth="1"/>
    <col min="6" max="6" width="98.26953125" customWidth="1"/>
    <col min="7" max="7" width="1.81640625" customWidth="1"/>
    <col min="8" max="8" width="16.26953125" style="15" bestFit="1" customWidth="1"/>
    <col min="9" max="9" width="1.81640625" customWidth="1"/>
    <col min="10" max="10" width="0.81640625" style="3" customWidth="1"/>
    <col min="11" max="11" width="10.81640625" style="15" customWidth="1"/>
    <col min="12" max="12" width="1" style="15" customWidth="1"/>
    <col min="13" max="13" width="95.54296875" style="3" customWidth="1"/>
    <col min="14" max="14" width="2.1796875" style="3" customWidth="1"/>
    <col min="15" max="15" width="1.453125" style="3" hidden="1" customWidth="1"/>
    <col min="16" max="16" width="18.1796875" style="15" customWidth="1"/>
    <col min="17" max="17" width="1.54296875" style="3" customWidth="1"/>
    <col min="18" max="18" width="46.81640625" style="3" customWidth="1"/>
    <col min="19" max="19" width="14.81640625" style="3" customWidth="1"/>
    <col min="20" max="20" width="1.81640625" style="3" customWidth="1"/>
    <col min="21" max="21" width="46.81640625" style="3" customWidth="1"/>
    <col min="22" max="22" width="14.81640625" style="3" customWidth="1"/>
    <col min="23" max="16384" width="14.453125" style="3"/>
  </cols>
  <sheetData>
    <row r="1" spans="2:22" ht="14.5" customHeight="1" x14ac:dyDescent="0.35"/>
    <row r="2" spans="2:22" customFormat="1" ht="59.15" customHeight="1" x14ac:dyDescent="0.35">
      <c r="C2" s="98" t="s">
        <v>147</v>
      </c>
      <c r="D2" s="408" t="s">
        <v>134</v>
      </c>
      <c r="E2" s="409"/>
      <c r="F2" s="409"/>
      <c r="G2" s="409"/>
      <c r="H2" s="409"/>
      <c r="I2" s="409"/>
      <c r="J2" s="409"/>
      <c r="K2" s="409"/>
      <c r="L2" s="427"/>
      <c r="M2" s="425" t="s">
        <v>407</v>
      </c>
      <c r="N2" s="426"/>
      <c r="O2" s="158"/>
      <c r="P2" s="165">
        <f>AVERAGE(H6,H7,H8,H9,H10,P6,P7,P8,P9,P10)</f>
        <v>7</v>
      </c>
    </row>
    <row r="4" spans="2:22" s="112" customFormat="1" ht="52" x14ac:dyDescent="0.8">
      <c r="B4" s="111"/>
      <c r="D4" s="163" t="s">
        <v>55</v>
      </c>
      <c r="E4" s="15"/>
      <c r="F4" s="100" t="s">
        <v>406</v>
      </c>
      <c r="G4" s="111"/>
      <c r="H4" s="106" t="s">
        <v>7</v>
      </c>
      <c r="I4" s="111"/>
      <c r="K4" s="163" t="s">
        <v>55</v>
      </c>
      <c r="L4" s="15"/>
      <c r="M4" s="100" t="s">
        <v>406</v>
      </c>
      <c r="P4" s="106" t="s">
        <v>7</v>
      </c>
      <c r="Q4" s="3"/>
      <c r="R4" s="3"/>
      <c r="S4" s="3"/>
      <c r="T4" s="3"/>
      <c r="U4" s="3"/>
      <c r="V4" s="3"/>
    </row>
    <row r="5" spans="2:22" ht="6.75" customHeight="1" x14ac:dyDescent="0.35">
      <c r="M5"/>
    </row>
    <row r="6" spans="2:22" ht="77.150000000000006" customHeight="1" x14ac:dyDescent="0.35">
      <c r="D6" s="167">
        <v>1</v>
      </c>
      <c r="F6" s="194" t="s">
        <v>511</v>
      </c>
      <c r="H6" s="166">
        <v>6</v>
      </c>
      <c r="K6" s="167">
        <v>6</v>
      </c>
      <c r="M6" s="194" t="s">
        <v>516</v>
      </c>
      <c r="P6" s="166">
        <v>6</v>
      </c>
    </row>
    <row r="7" spans="2:22" ht="77.150000000000006" customHeight="1" x14ac:dyDescent="0.35">
      <c r="D7" s="167">
        <v>2</v>
      </c>
      <c r="F7" s="194" t="s">
        <v>512</v>
      </c>
      <c r="H7" s="166">
        <v>7</v>
      </c>
      <c r="K7" s="167">
        <v>7</v>
      </c>
      <c r="M7" s="194" t="s">
        <v>520</v>
      </c>
      <c r="P7" s="166">
        <v>5</v>
      </c>
    </row>
    <row r="8" spans="2:22" ht="77.150000000000006" customHeight="1" x14ac:dyDescent="0.35">
      <c r="D8" s="167">
        <v>3</v>
      </c>
      <c r="F8" s="194" t="s">
        <v>513</v>
      </c>
      <c r="H8" s="166">
        <v>8</v>
      </c>
      <c r="K8" s="167">
        <v>8</v>
      </c>
      <c r="M8" s="194" t="s">
        <v>517</v>
      </c>
      <c r="P8" s="166">
        <v>7</v>
      </c>
    </row>
    <row r="9" spans="2:22" ht="77.150000000000006" customHeight="1" x14ac:dyDescent="0.35">
      <c r="D9" s="167">
        <v>4</v>
      </c>
      <c r="F9" s="194" t="s">
        <v>514</v>
      </c>
      <c r="H9" s="166">
        <v>9</v>
      </c>
      <c r="K9" s="167">
        <v>9</v>
      </c>
      <c r="M9" s="194" t="s">
        <v>518</v>
      </c>
      <c r="P9" s="166">
        <v>8</v>
      </c>
    </row>
    <row r="10" spans="2:22" ht="77.150000000000006" customHeight="1" x14ac:dyDescent="0.35">
      <c r="D10" s="167">
        <v>5</v>
      </c>
      <c r="F10" s="194" t="s">
        <v>515</v>
      </c>
      <c r="H10" s="166">
        <v>5</v>
      </c>
      <c r="K10" s="167">
        <v>10</v>
      </c>
      <c r="M10" s="194" t="s">
        <v>519</v>
      </c>
      <c r="P10" s="166">
        <v>9</v>
      </c>
    </row>
  </sheetData>
  <mergeCells count="2">
    <mergeCell ref="D2:L2"/>
    <mergeCell ref="M2:N2"/>
  </mergeCells>
  <hyperlinks>
    <hyperlink ref="C2" location="PAINEL!A1" display="&lt;&lt; VOLTAR AO PAINEL DE CONTROLE" xr:uid="{19FB4C09-95CB-43A4-A079-04F9750B9628}"/>
  </hyperlinks>
  <pageMargins left="0.511811024" right="0.511811024" top="0.78740157499999996" bottom="0.78740157499999996" header="0.31496062000000002" footer="0.31496062000000002"/>
  <pageSetup paperSize="9" orientation="portrait"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4A49F-073F-41FD-BA06-0E1B380B551B}">
  <sheetPr>
    <tabColor theme="0" tint="-4.9989318521683403E-2"/>
  </sheetPr>
  <dimension ref="B1:Q44"/>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activeCell="D2" sqref="D2"/>
    </sheetView>
  </sheetViews>
  <sheetFormatPr defaultColWidth="14.453125" defaultRowHeight="15.75" customHeight="1" outlineLevelCol="1" x14ac:dyDescent="0.35"/>
  <cols>
    <col min="1" max="1" width="4.26953125" style="3" customWidth="1"/>
    <col min="2" max="2" width="2.54296875" customWidth="1"/>
    <col min="3" max="3" width="0.54296875" style="15" customWidth="1"/>
    <col min="4" max="4" width="20.453125" style="15" customWidth="1"/>
    <col min="5" max="5" width="2.1796875" style="15" customWidth="1"/>
    <col min="6" max="6" width="93.453125" customWidth="1"/>
    <col min="7" max="7" width="1.81640625" customWidth="1"/>
    <col min="8" max="8" width="0.81640625" style="3" customWidth="1"/>
    <col min="9" max="9" width="10.81640625" style="15" customWidth="1" outlineLevel="1"/>
    <col min="10" max="10" width="1" style="15" customWidth="1" outlineLevel="1"/>
    <col min="11" max="11" width="118.26953125" style="3" customWidth="1" outlineLevel="1"/>
    <col min="12" max="12" width="24.26953125" style="3" bestFit="1" customWidth="1" outlineLevel="1"/>
    <col min="13" max="13" width="53.1796875" style="3" customWidth="1" outlineLevel="1"/>
    <col min="14" max="14" width="14.81640625" style="3" customWidth="1"/>
    <col min="15" max="15" width="1.81640625" style="3" customWidth="1"/>
    <col min="16" max="16" width="24.26953125" style="3" hidden="1" customWidth="1"/>
    <col min="17" max="17" width="14.81640625" style="3" customWidth="1"/>
    <col min="18" max="16384" width="14.453125" style="3"/>
  </cols>
  <sheetData>
    <row r="1" spans="2:17" ht="14.5" customHeight="1" x14ac:dyDescent="0.35"/>
    <row r="2" spans="2:17" customFormat="1" ht="59.15" customHeight="1" x14ac:dyDescent="0.35">
      <c r="C2" s="15"/>
      <c r="D2" s="98" t="s">
        <v>147</v>
      </c>
      <c r="E2" s="15"/>
      <c r="F2" s="408" t="s">
        <v>135</v>
      </c>
      <c r="G2" s="409"/>
      <c r="H2" s="409"/>
      <c r="I2" s="409"/>
      <c r="J2" s="409"/>
      <c r="K2" s="409"/>
      <c r="L2" s="409"/>
      <c r="M2" s="409"/>
    </row>
    <row r="4" spans="2:17" s="112" customFormat="1" ht="46" x14ac:dyDescent="0.8">
      <c r="B4" s="111"/>
      <c r="D4" s="163" t="s">
        <v>55</v>
      </c>
      <c r="E4" s="15"/>
      <c r="F4" s="168" t="s">
        <v>617</v>
      </c>
      <c r="G4" s="1"/>
      <c r="I4" s="205" t="s">
        <v>55</v>
      </c>
      <c r="J4" s="15"/>
      <c r="K4" s="206" t="s">
        <v>646</v>
      </c>
      <c r="L4" s="209" t="s">
        <v>701</v>
      </c>
      <c r="M4" s="208" t="s">
        <v>700</v>
      </c>
      <c r="N4" s="3"/>
      <c r="O4" s="3"/>
      <c r="P4" s="209" t="s">
        <v>701</v>
      </c>
      <c r="Q4" s="3"/>
    </row>
    <row r="5" spans="2:17" ht="6.75" customHeight="1" x14ac:dyDescent="0.35">
      <c r="K5"/>
      <c r="L5"/>
      <c r="M5"/>
      <c r="P5"/>
    </row>
    <row r="6" spans="2:17" ht="35.15" customHeight="1" x14ac:dyDescent="0.35">
      <c r="D6" s="204">
        <v>1</v>
      </c>
      <c r="F6" s="351" t="s">
        <v>605</v>
      </c>
      <c r="I6" s="207" t="s">
        <v>618</v>
      </c>
      <c r="K6" s="203" t="s">
        <v>665</v>
      </c>
      <c r="L6" s="203"/>
      <c r="M6" s="203"/>
      <c r="P6" s="346" t="s">
        <v>998</v>
      </c>
    </row>
    <row r="7" spans="2:17" ht="35.15" customHeight="1" x14ac:dyDescent="0.35">
      <c r="D7" s="204">
        <v>2</v>
      </c>
      <c r="F7" s="351" t="s">
        <v>613</v>
      </c>
      <c r="I7" s="207" t="s">
        <v>619</v>
      </c>
      <c r="K7" s="202" t="s">
        <v>614</v>
      </c>
      <c r="L7" s="349"/>
      <c r="M7" s="202"/>
      <c r="P7" s="347" t="s">
        <v>999</v>
      </c>
    </row>
    <row r="8" spans="2:17" ht="35.15" customHeight="1" x14ac:dyDescent="0.35">
      <c r="D8" s="204">
        <v>3</v>
      </c>
      <c r="F8" s="351" t="s">
        <v>606</v>
      </c>
      <c r="I8" s="207" t="s">
        <v>620</v>
      </c>
      <c r="K8" s="202" t="s">
        <v>668</v>
      </c>
      <c r="L8" s="349"/>
      <c r="M8" s="202"/>
      <c r="P8" s="348" t="s">
        <v>1000</v>
      </c>
    </row>
    <row r="9" spans="2:17" ht="35.15" customHeight="1" x14ac:dyDescent="0.35">
      <c r="D9" s="204">
        <v>4</v>
      </c>
      <c r="F9" s="351" t="s">
        <v>1001</v>
      </c>
      <c r="I9" s="207" t="s">
        <v>621</v>
      </c>
      <c r="K9" s="202" t="s">
        <v>615</v>
      </c>
      <c r="L9" s="349"/>
      <c r="M9" s="202"/>
      <c r="P9" s="105"/>
    </row>
    <row r="10" spans="2:17" ht="35.15" customHeight="1" x14ac:dyDescent="0.35">
      <c r="D10" s="204">
        <v>5</v>
      </c>
      <c r="F10" s="351" t="s">
        <v>607</v>
      </c>
      <c r="I10" s="207" t="s">
        <v>622</v>
      </c>
      <c r="K10" s="199" t="s">
        <v>666</v>
      </c>
      <c r="L10" s="349"/>
      <c r="M10" s="202"/>
    </row>
    <row r="11" spans="2:17" ht="35.15" customHeight="1" x14ac:dyDescent="0.35">
      <c r="D11" s="204">
        <v>6</v>
      </c>
      <c r="F11" s="351" t="s">
        <v>608</v>
      </c>
      <c r="G11" s="3"/>
      <c r="I11" s="207" t="s">
        <v>623</v>
      </c>
      <c r="K11" s="198" t="s">
        <v>667</v>
      </c>
      <c r="L11" s="349"/>
      <c r="M11" s="202"/>
    </row>
    <row r="12" spans="2:17" ht="35.15" customHeight="1" x14ac:dyDescent="0.35">
      <c r="D12" s="204">
        <v>7</v>
      </c>
      <c r="F12" s="351" t="s">
        <v>609</v>
      </c>
      <c r="G12" s="3"/>
      <c r="I12" s="207" t="s">
        <v>624</v>
      </c>
      <c r="K12" s="203" t="s">
        <v>692</v>
      </c>
      <c r="L12" s="350"/>
      <c r="M12" s="203"/>
    </row>
    <row r="13" spans="2:17" ht="35.15" customHeight="1" x14ac:dyDescent="0.35">
      <c r="D13" s="204">
        <v>8</v>
      </c>
      <c r="F13" s="352" t="s">
        <v>612</v>
      </c>
      <c r="G13" s="3"/>
      <c r="I13" s="207" t="s">
        <v>625</v>
      </c>
      <c r="K13" s="202" t="s">
        <v>690</v>
      </c>
      <c r="L13" s="349"/>
      <c r="M13" s="202"/>
    </row>
    <row r="14" spans="2:17" ht="35.15" customHeight="1" x14ac:dyDescent="0.35">
      <c r="D14" s="204">
        <v>9</v>
      </c>
      <c r="F14" s="353" t="s">
        <v>610</v>
      </c>
      <c r="G14" s="3"/>
      <c r="I14" s="207" t="s">
        <v>626</v>
      </c>
      <c r="K14" s="202" t="s">
        <v>654</v>
      </c>
      <c r="L14" s="349"/>
      <c r="M14" s="202"/>
    </row>
    <row r="15" spans="2:17" ht="35.15" customHeight="1" x14ac:dyDescent="0.35">
      <c r="D15" s="204">
        <v>10</v>
      </c>
      <c r="F15" s="354" t="s">
        <v>611</v>
      </c>
      <c r="G15" s="3"/>
      <c r="I15" s="207" t="s">
        <v>627</v>
      </c>
      <c r="K15" s="202" t="s">
        <v>686</v>
      </c>
      <c r="L15" s="349"/>
      <c r="M15" s="202"/>
    </row>
    <row r="16" spans="2:17" ht="35.15" customHeight="1" x14ac:dyDescent="0.35">
      <c r="D16" s="204">
        <v>11</v>
      </c>
      <c r="F16" s="355" t="s">
        <v>638</v>
      </c>
      <c r="G16" s="3"/>
      <c r="I16" s="207" t="s">
        <v>628</v>
      </c>
      <c r="K16" s="202" t="s">
        <v>655</v>
      </c>
      <c r="L16" s="349"/>
      <c r="M16" s="202"/>
    </row>
    <row r="17" spans="4:13" ht="39" customHeight="1" x14ac:dyDescent="0.35">
      <c r="D17" s="204">
        <v>12</v>
      </c>
      <c r="F17" s="353" t="s">
        <v>645</v>
      </c>
      <c r="G17" s="3"/>
      <c r="I17" s="207" t="s">
        <v>629</v>
      </c>
      <c r="K17" s="203" t="s">
        <v>691</v>
      </c>
      <c r="L17" s="350"/>
      <c r="M17" s="203"/>
    </row>
    <row r="18" spans="4:13" ht="39" customHeight="1" x14ac:dyDescent="0.35">
      <c r="D18" s="204">
        <v>13</v>
      </c>
      <c r="F18" s="354" t="s">
        <v>611</v>
      </c>
      <c r="G18" s="3"/>
      <c r="I18" s="207" t="s">
        <v>630</v>
      </c>
      <c r="K18" s="202" t="s">
        <v>649</v>
      </c>
      <c r="L18" s="349"/>
      <c r="M18" s="202"/>
    </row>
    <row r="19" spans="4:13" ht="39" customHeight="1" x14ac:dyDescent="0.35">
      <c r="D19" s="204">
        <v>14</v>
      </c>
      <c r="F19" s="355" t="s">
        <v>639</v>
      </c>
      <c r="I19" s="207" t="s">
        <v>631</v>
      </c>
      <c r="K19" s="202" t="s">
        <v>650</v>
      </c>
      <c r="L19" s="349"/>
      <c r="M19" s="202"/>
    </row>
    <row r="20" spans="4:13" ht="39" customHeight="1" x14ac:dyDescent="0.35">
      <c r="D20" s="204">
        <v>15</v>
      </c>
      <c r="F20" s="351" t="s">
        <v>640</v>
      </c>
      <c r="I20" s="207" t="s">
        <v>632</v>
      </c>
      <c r="K20" s="202" t="s">
        <v>651</v>
      </c>
      <c r="L20" s="349"/>
      <c r="M20" s="202"/>
    </row>
    <row r="21" spans="4:13" ht="39" customHeight="1" x14ac:dyDescent="0.35">
      <c r="D21" s="204">
        <v>16</v>
      </c>
      <c r="F21" s="351" t="s">
        <v>641</v>
      </c>
      <c r="I21" s="207" t="s">
        <v>633</v>
      </c>
      <c r="K21" s="203" t="s">
        <v>693</v>
      </c>
      <c r="L21" s="350"/>
      <c r="M21" s="203"/>
    </row>
    <row r="22" spans="4:13" ht="39" customHeight="1" x14ac:dyDescent="0.35">
      <c r="D22" s="204">
        <v>17</v>
      </c>
      <c r="F22" s="351" t="s">
        <v>642</v>
      </c>
      <c r="I22" s="207" t="s">
        <v>634</v>
      </c>
      <c r="K22" s="202" t="s">
        <v>681</v>
      </c>
      <c r="L22" s="349"/>
      <c r="M22" s="202"/>
    </row>
    <row r="23" spans="4:13" ht="39" customHeight="1" x14ac:dyDescent="0.35">
      <c r="D23" s="204">
        <v>18</v>
      </c>
      <c r="F23" s="351" t="s">
        <v>643</v>
      </c>
      <c r="I23" s="207" t="s">
        <v>635</v>
      </c>
      <c r="K23" s="202" t="s">
        <v>616</v>
      </c>
      <c r="L23" s="349"/>
      <c r="M23" s="202"/>
    </row>
    <row r="24" spans="4:13" ht="39" customHeight="1" x14ac:dyDescent="0.35">
      <c r="D24" s="204">
        <v>19</v>
      </c>
      <c r="F24" s="351" t="s">
        <v>644</v>
      </c>
      <c r="I24" s="207" t="s">
        <v>636</v>
      </c>
      <c r="K24" s="202" t="s">
        <v>662</v>
      </c>
      <c r="L24" s="349"/>
      <c r="M24" s="202"/>
    </row>
    <row r="25" spans="4:13" ht="39" customHeight="1" x14ac:dyDescent="0.35">
      <c r="D25" s="467" t="s">
        <v>287</v>
      </c>
      <c r="E25" s="468"/>
      <c r="F25" s="469"/>
      <c r="I25" s="207" t="s">
        <v>637</v>
      </c>
      <c r="K25" s="202" t="s">
        <v>687</v>
      </c>
      <c r="L25" s="349"/>
      <c r="M25" s="202"/>
    </row>
    <row r="26" spans="4:13" ht="42" customHeight="1" x14ac:dyDescent="0.35">
      <c r="I26" s="207" t="s">
        <v>657</v>
      </c>
      <c r="K26" s="203" t="s">
        <v>694</v>
      </c>
      <c r="L26" s="350"/>
      <c r="M26" s="203"/>
    </row>
    <row r="27" spans="4:13" ht="42" customHeight="1" x14ac:dyDescent="0.35">
      <c r="I27" s="207" t="s">
        <v>658</v>
      </c>
      <c r="K27" s="202" t="s">
        <v>652</v>
      </c>
      <c r="L27" s="349"/>
      <c r="M27" s="202"/>
    </row>
    <row r="28" spans="4:13" ht="42" customHeight="1" x14ac:dyDescent="0.35">
      <c r="I28" s="207" t="s">
        <v>659</v>
      </c>
      <c r="K28" s="202" t="s">
        <v>688</v>
      </c>
      <c r="L28" s="349"/>
      <c r="M28" s="202"/>
    </row>
    <row r="29" spans="4:13" ht="42" customHeight="1" x14ac:dyDescent="0.35">
      <c r="I29" s="207" t="s">
        <v>660</v>
      </c>
      <c r="K29" s="202" t="s">
        <v>653</v>
      </c>
      <c r="L29" s="349"/>
      <c r="M29" s="202"/>
    </row>
    <row r="30" spans="4:13" ht="40" customHeight="1" x14ac:dyDescent="0.35">
      <c r="I30" s="207" t="s">
        <v>663</v>
      </c>
      <c r="K30" s="202" t="s">
        <v>656</v>
      </c>
      <c r="L30" s="349"/>
      <c r="M30" s="202"/>
    </row>
    <row r="31" spans="4:13" ht="40" customHeight="1" x14ac:dyDescent="0.35">
      <c r="I31" s="207" t="s">
        <v>664</v>
      </c>
      <c r="K31" s="202" t="s">
        <v>661</v>
      </c>
      <c r="L31" s="349"/>
      <c r="M31" s="202"/>
    </row>
    <row r="32" spans="4:13" ht="40" customHeight="1" x14ac:dyDescent="0.35">
      <c r="I32" s="207" t="s">
        <v>669</v>
      </c>
      <c r="K32" s="202" t="s">
        <v>682</v>
      </c>
      <c r="L32" s="349"/>
      <c r="M32" s="202"/>
    </row>
    <row r="33" spans="9:13" ht="40" customHeight="1" x14ac:dyDescent="0.35">
      <c r="I33" s="207" t="s">
        <v>670</v>
      </c>
      <c r="K33" s="203" t="s">
        <v>695</v>
      </c>
      <c r="L33" s="350"/>
      <c r="M33" s="203"/>
    </row>
    <row r="34" spans="9:13" ht="40" customHeight="1" x14ac:dyDescent="0.35">
      <c r="I34" s="207" t="s">
        <v>671</v>
      </c>
      <c r="K34" s="202" t="s">
        <v>647</v>
      </c>
      <c r="L34" s="349"/>
      <c r="M34" s="202"/>
    </row>
    <row r="35" spans="9:13" ht="40" customHeight="1" x14ac:dyDescent="0.35">
      <c r="I35" s="207" t="s">
        <v>672</v>
      </c>
      <c r="K35" s="202" t="s">
        <v>648</v>
      </c>
      <c r="L35" s="349"/>
      <c r="M35" s="202"/>
    </row>
    <row r="36" spans="9:13" ht="40" customHeight="1" x14ac:dyDescent="0.35">
      <c r="I36" s="207" t="s">
        <v>673</v>
      </c>
      <c r="K36" s="202" t="s">
        <v>689</v>
      </c>
      <c r="L36" s="349"/>
      <c r="M36" s="202"/>
    </row>
    <row r="37" spans="9:13" ht="40" customHeight="1" x14ac:dyDescent="0.35">
      <c r="I37" s="207" t="s">
        <v>674</v>
      </c>
      <c r="K37" s="202" t="s">
        <v>697</v>
      </c>
      <c r="L37" s="349"/>
      <c r="M37" s="202"/>
    </row>
    <row r="38" spans="9:13" ht="40" customHeight="1" x14ac:dyDescent="0.35">
      <c r="I38" s="207" t="s">
        <v>675</v>
      </c>
      <c r="K38" s="203" t="s">
        <v>696</v>
      </c>
      <c r="L38" s="350"/>
      <c r="M38" s="203"/>
    </row>
    <row r="39" spans="9:13" ht="40" customHeight="1" x14ac:dyDescent="0.35">
      <c r="I39" s="207" t="s">
        <v>676</v>
      </c>
      <c r="K39" s="202" t="s">
        <v>683</v>
      </c>
      <c r="L39" s="349"/>
      <c r="M39" s="202"/>
    </row>
    <row r="40" spans="9:13" ht="40" customHeight="1" x14ac:dyDescent="0.35">
      <c r="I40" s="207" t="s">
        <v>677</v>
      </c>
      <c r="K40" s="202" t="s">
        <v>698</v>
      </c>
      <c r="L40" s="349"/>
      <c r="M40" s="202"/>
    </row>
    <row r="41" spans="9:13" ht="40" customHeight="1" x14ac:dyDescent="0.35">
      <c r="I41" s="207" t="s">
        <v>678</v>
      </c>
      <c r="K41" s="202" t="s">
        <v>684</v>
      </c>
      <c r="L41" s="349"/>
      <c r="M41" s="202"/>
    </row>
    <row r="42" spans="9:13" ht="40" customHeight="1" x14ac:dyDescent="0.35">
      <c r="I42" s="207" t="s">
        <v>679</v>
      </c>
      <c r="K42" s="202" t="s">
        <v>685</v>
      </c>
      <c r="L42" s="349"/>
      <c r="M42" s="202"/>
    </row>
    <row r="43" spans="9:13" ht="40" customHeight="1" x14ac:dyDescent="0.35">
      <c r="I43" s="207" t="s">
        <v>680</v>
      </c>
      <c r="K43" s="202" t="s">
        <v>699</v>
      </c>
      <c r="L43" s="349"/>
      <c r="M43" s="202"/>
    </row>
    <row r="44" spans="9:13" ht="34.5" customHeight="1" x14ac:dyDescent="0.35">
      <c r="I44" s="467" t="s">
        <v>287</v>
      </c>
      <c r="J44" s="468"/>
      <c r="K44" s="468"/>
      <c r="L44" s="468"/>
      <c r="M44" s="468"/>
    </row>
  </sheetData>
  <mergeCells count="3">
    <mergeCell ref="D25:F25"/>
    <mergeCell ref="F2:M2"/>
    <mergeCell ref="I44:M44"/>
  </mergeCells>
  <phoneticPr fontId="29" type="noConversion"/>
  <dataValidations count="1">
    <dataValidation type="list" allowBlank="1" showInputMessage="1" showErrorMessage="1" sqref="L34:L37 L7:L11 L39:L43 L13:L16 L18:L20 L22:L25 L27:L32" xr:uid="{960294F8-3267-4A92-A006-CBB00EB498B3}">
      <formula1>$P$6:$P$8</formula1>
    </dataValidation>
  </dataValidations>
  <hyperlinks>
    <hyperlink ref="D2" location="PAINEL!A1" display="&lt;&lt; VOLTAR AO PAINEL DE CONTROLE" xr:uid="{DBF755DA-A68A-4C85-AFD2-E28385DC1E00}"/>
  </hyperlinks>
  <pageMargins left="0.511811024" right="0.511811024" top="0.78740157499999996" bottom="0.78740157499999996" header="0.31496062000000002" footer="0.31496062000000002"/>
  <pageSetup paperSize="9" orientation="portrait" verticalDpi="300" r:id="rId1"/>
  <extLst>
    <ext xmlns:x14="http://schemas.microsoft.com/office/spreadsheetml/2009/9/main" uri="{78C0D931-6437-407d-A8EE-F0AAD7539E65}">
      <x14:conditionalFormattings>
        <x14:conditionalFormatting xmlns:xm="http://schemas.microsoft.com/office/excel/2006/main">
          <x14:cfRule type="containsText" priority="31" operator="containsText" id="{CBADEB74-E6D6-4451-9545-FE2D02B682E4}">
            <xm:f>NOT(ISERROR(SEARCH($P$8,L7)))</xm:f>
            <xm:f>$P$8</xm:f>
            <x14:dxf>
              <font>
                <color theme="0"/>
              </font>
              <fill>
                <patternFill>
                  <bgColor theme="0" tint="-0.499984740745262"/>
                </patternFill>
              </fill>
            </x14:dxf>
          </x14:cfRule>
          <x14:cfRule type="containsText" priority="32" operator="containsText" id="{519F721A-B0C5-4597-B7B6-695F63489A03}">
            <xm:f>NOT(ISERROR(SEARCH($P$7,L7)))</xm:f>
            <xm:f>$P$7</xm:f>
            <x14:dxf>
              <font>
                <color theme="0"/>
              </font>
              <fill>
                <patternFill>
                  <bgColor rgb="FFC00000"/>
                </patternFill>
              </fill>
            </x14:dxf>
          </x14:cfRule>
          <x14:cfRule type="containsText" priority="33" operator="containsText" id="{57F7AA46-F121-467A-BC23-9E63A5C834B1}">
            <xm:f>NOT(ISERROR(SEARCH($P$6,L7)))</xm:f>
            <xm:f>$P$6</xm:f>
            <x14:dxf>
              <font>
                <color theme="0"/>
              </font>
              <fill>
                <patternFill>
                  <bgColor rgb="FF00B050"/>
                </patternFill>
              </fill>
            </x14:dxf>
          </x14:cfRule>
          <xm:sqref>L7:L11</xm:sqref>
        </x14:conditionalFormatting>
        <x14:conditionalFormatting xmlns:xm="http://schemas.microsoft.com/office/excel/2006/main">
          <x14:cfRule type="containsText" priority="10" operator="containsText" id="{84518B66-3BCD-43DA-8AB3-0860B71CFA5F}">
            <xm:f>NOT(ISERROR(SEARCH($P$8,L13)))</xm:f>
            <xm:f>$P$8</xm:f>
            <x14:dxf>
              <font>
                <color theme="0"/>
              </font>
              <fill>
                <patternFill>
                  <bgColor theme="0" tint="-0.499984740745262"/>
                </patternFill>
              </fill>
            </x14:dxf>
          </x14:cfRule>
          <x14:cfRule type="containsText" priority="11" operator="containsText" id="{CBC58E79-96FA-4BC9-96BE-A950E2F7D89F}">
            <xm:f>NOT(ISERROR(SEARCH($P$7,L13)))</xm:f>
            <xm:f>$P$7</xm:f>
            <x14:dxf>
              <font>
                <color theme="0"/>
              </font>
              <fill>
                <patternFill>
                  <bgColor rgb="FFC00000"/>
                </patternFill>
              </fill>
            </x14:dxf>
          </x14:cfRule>
          <x14:cfRule type="containsText" priority="12" operator="containsText" id="{DB7D6CF4-9AFD-4704-A813-9F370A86ABB2}">
            <xm:f>NOT(ISERROR(SEARCH($P$6,L13)))</xm:f>
            <xm:f>$P$6</xm:f>
            <x14:dxf>
              <font>
                <color theme="0"/>
              </font>
              <fill>
                <patternFill>
                  <bgColor rgb="FF00B050"/>
                </patternFill>
              </fill>
            </x14:dxf>
          </x14:cfRule>
          <xm:sqref>L13:L16</xm:sqref>
        </x14:conditionalFormatting>
        <x14:conditionalFormatting xmlns:xm="http://schemas.microsoft.com/office/excel/2006/main">
          <x14:cfRule type="containsText" priority="7" operator="containsText" id="{51EBACB6-55C7-4DB2-975F-72B3BD96AF44}">
            <xm:f>NOT(ISERROR(SEARCH($P$8,L18)))</xm:f>
            <xm:f>$P$8</xm:f>
            <x14:dxf>
              <font>
                <color theme="0"/>
              </font>
              <fill>
                <patternFill>
                  <bgColor theme="0" tint="-0.499984740745262"/>
                </patternFill>
              </fill>
            </x14:dxf>
          </x14:cfRule>
          <x14:cfRule type="containsText" priority="8" operator="containsText" id="{10D319E0-37F7-4B81-877E-FC54638E7AC5}">
            <xm:f>NOT(ISERROR(SEARCH($P$7,L18)))</xm:f>
            <xm:f>$P$7</xm:f>
            <x14:dxf>
              <font>
                <color theme="0"/>
              </font>
              <fill>
                <patternFill>
                  <bgColor rgb="FFC00000"/>
                </patternFill>
              </fill>
            </x14:dxf>
          </x14:cfRule>
          <x14:cfRule type="containsText" priority="9" operator="containsText" id="{B6D166B0-5698-449E-B4CA-171C9262C1C9}">
            <xm:f>NOT(ISERROR(SEARCH($P$6,L18)))</xm:f>
            <xm:f>$P$6</xm:f>
            <x14:dxf>
              <font>
                <color theme="0"/>
              </font>
              <fill>
                <patternFill>
                  <bgColor rgb="FF00B050"/>
                </patternFill>
              </fill>
            </x14:dxf>
          </x14:cfRule>
          <xm:sqref>L18:L20</xm:sqref>
        </x14:conditionalFormatting>
        <x14:conditionalFormatting xmlns:xm="http://schemas.microsoft.com/office/excel/2006/main">
          <x14:cfRule type="containsText" priority="4" operator="containsText" id="{47D544EF-99CA-466E-94ED-1AE1A3A358E5}">
            <xm:f>NOT(ISERROR(SEARCH($P$8,L22)))</xm:f>
            <xm:f>$P$8</xm:f>
            <x14:dxf>
              <font>
                <color theme="0"/>
              </font>
              <fill>
                <patternFill>
                  <bgColor theme="0" tint="-0.499984740745262"/>
                </patternFill>
              </fill>
            </x14:dxf>
          </x14:cfRule>
          <x14:cfRule type="containsText" priority="5" operator="containsText" id="{8E952D0A-2ECB-454E-84B0-DD38849F9DDA}">
            <xm:f>NOT(ISERROR(SEARCH($P$7,L22)))</xm:f>
            <xm:f>$P$7</xm:f>
            <x14:dxf>
              <font>
                <color theme="0"/>
              </font>
              <fill>
                <patternFill>
                  <bgColor rgb="FFC00000"/>
                </patternFill>
              </fill>
            </x14:dxf>
          </x14:cfRule>
          <x14:cfRule type="containsText" priority="6" operator="containsText" id="{CFA1DDCC-9171-4BEB-B6DB-56FD6834DF7B}">
            <xm:f>NOT(ISERROR(SEARCH($P$6,L22)))</xm:f>
            <xm:f>$P$6</xm:f>
            <x14:dxf>
              <font>
                <color theme="0"/>
              </font>
              <fill>
                <patternFill>
                  <bgColor rgb="FF00B050"/>
                </patternFill>
              </fill>
            </x14:dxf>
          </x14:cfRule>
          <xm:sqref>L22:L25</xm:sqref>
        </x14:conditionalFormatting>
        <x14:conditionalFormatting xmlns:xm="http://schemas.microsoft.com/office/excel/2006/main">
          <x14:cfRule type="containsText" priority="1" operator="containsText" id="{D7F886BE-3CFF-4150-9E82-118846CDDFC6}">
            <xm:f>NOT(ISERROR(SEARCH($P$8,L27)))</xm:f>
            <xm:f>$P$8</xm:f>
            <x14:dxf>
              <font>
                <color theme="0"/>
              </font>
              <fill>
                <patternFill>
                  <bgColor theme="0" tint="-0.499984740745262"/>
                </patternFill>
              </fill>
            </x14:dxf>
          </x14:cfRule>
          <x14:cfRule type="containsText" priority="2" operator="containsText" id="{88394BE4-1C13-45DA-A874-434908005D5F}">
            <xm:f>NOT(ISERROR(SEARCH($P$7,L27)))</xm:f>
            <xm:f>$P$7</xm:f>
            <x14:dxf>
              <font>
                <color theme="0"/>
              </font>
              <fill>
                <patternFill>
                  <bgColor rgb="FFC00000"/>
                </patternFill>
              </fill>
            </x14:dxf>
          </x14:cfRule>
          <x14:cfRule type="containsText" priority="3" operator="containsText" id="{70132FA5-378C-43D3-9ABC-55A9F9010F92}">
            <xm:f>NOT(ISERROR(SEARCH($P$6,L27)))</xm:f>
            <xm:f>$P$6</xm:f>
            <x14:dxf>
              <font>
                <color theme="0"/>
              </font>
              <fill>
                <patternFill>
                  <bgColor rgb="FF00B050"/>
                </patternFill>
              </fill>
            </x14:dxf>
          </x14:cfRule>
          <xm:sqref>L27:L32</xm:sqref>
        </x14:conditionalFormatting>
        <x14:conditionalFormatting xmlns:xm="http://schemas.microsoft.com/office/excel/2006/main">
          <x14:cfRule type="containsText" priority="16" operator="containsText" id="{DE74A0A5-B8FE-4E3B-8BEE-BE51DF256919}">
            <xm:f>NOT(ISERROR(SEARCH($P$8,L34)))</xm:f>
            <xm:f>$P$8</xm:f>
            <x14:dxf>
              <font>
                <color theme="0"/>
              </font>
              <fill>
                <patternFill>
                  <bgColor theme="0" tint="-0.499984740745262"/>
                </patternFill>
              </fill>
            </x14:dxf>
          </x14:cfRule>
          <x14:cfRule type="containsText" priority="17" operator="containsText" id="{D4479D5E-11A2-4EAD-94E6-7628D1F4E982}">
            <xm:f>NOT(ISERROR(SEARCH($P$7,L34)))</xm:f>
            <xm:f>$P$7</xm:f>
            <x14:dxf>
              <font>
                <color theme="0"/>
              </font>
              <fill>
                <patternFill>
                  <bgColor rgb="FFC00000"/>
                </patternFill>
              </fill>
            </x14:dxf>
          </x14:cfRule>
          <x14:cfRule type="containsText" priority="18" operator="containsText" id="{2A82D343-63AC-460D-A71B-A82CF8FA93AF}">
            <xm:f>NOT(ISERROR(SEARCH($P$6,L34)))</xm:f>
            <xm:f>$P$6</xm:f>
            <x14:dxf>
              <font>
                <color theme="0"/>
              </font>
              <fill>
                <patternFill>
                  <bgColor rgb="FF00B050"/>
                </patternFill>
              </fill>
            </x14:dxf>
          </x14:cfRule>
          <xm:sqref>L34:L37</xm:sqref>
        </x14:conditionalFormatting>
        <x14:conditionalFormatting xmlns:xm="http://schemas.microsoft.com/office/excel/2006/main">
          <x14:cfRule type="containsText" priority="13" operator="containsText" id="{6A170A9D-78A1-4A79-91AD-AE53F602F3B6}">
            <xm:f>NOT(ISERROR(SEARCH($P$8,L39)))</xm:f>
            <xm:f>$P$8</xm:f>
            <x14:dxf>
              <font>
                <color theme="0"/>
              </font>
              <fill>
                <patternFill>
                  <bgColor theme="0" tint="-0.499984740745262"/>
                </patternFill>
              </fill>
            </x14:dxf>
          </x14:cfRule>
          <x14:cfRule type="containsText" priority="14" operator="containsText" id="{9D557C31-01E6-4CCD-AE43-30447779A0F5}">
            <xm:f>NOT(ISERROR(SEARCH($P$7,L39)))</xm:f>
            <xm:f>$P$7</xm:f>
            <x14:dxf>
              <font>
                <color theme="0"/>
              </font>
              <fill>
                <patternFill>
                  <bgColor rgb="FFC00000"/>
                </patternFill>
              </fill>
            </x14:dxf>
          </x14:cfRule>
          <x14:cfRule type="containsText" priority="15" operator="containsText" id="{ED02497B-4377-4008-9A67-A8206FE9422C}">
            <xm:f>NOT(ISERROR(SEARCH($P$6,L39)))</xm:f>
            <xm:f>$P$6</xm:f>
            <x14:dxf>
              <font>
                <color theme="0"/>
              </font>
              <fill>
                <patternFill>
                  <bgColor rgb="FF00B050"/>
                </patternFill>
              </fill>
            </x14:dxf>
          </x14:cfRule>
          <xm:sqref>L39:L43</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E368-8C42-4973-A634-3DF81D9AAA37}">
  <sheetPr>
    <tabColor theme="0" tint="-4.9989318521683403E-2"/>
  </sheetPr>
  <dimension ref="B2:F39"/>
  <sheetViews>
    <sheetView showGridLines="0" zoomScale="70" zoomScaleNormal="70" workbookViewId="0">
      <pane ySplit="4" topLeftCell="A5" activePane="bottomLeft" state="frozen"/>
      <selection activeCell="D15" sqref="D15"/>
      <selection pane="bottomLeft" activeCell="B2" sqref="B2"/>
    </sheetView>
  </sheetViews>
  <sheetFormatPr defaultRowHeight="14.5" x14ac:dyDescent="0.35"/>
  <cols>
    <col min="2" max="2" width="18" customWidth="1"/>
    <col min="3" max="3" width="111.54296875" customWidth="1"/>
    <col min="6" max="6" width="67" customWidth="1"/>
  </cols>
  <sheetData>
    <row r="2" spans="2:6" ht="43.5" x14ac:dyDescent="0.35">
      <c r="B2" s="210" t="s">
        <v>147</v>
      </c>
      <c r="C2" s="110" t="s">
        <v>553</v>
      </c>
    </row>
    <row r="3" spans="2:6" ht="7" customHeight="1" x14ac:dyDescent="0.35"/>
    <row r="4" spans="2:6" ht="24.65" customHeight="1" x14ac:dyDescent="0.35">
      <c r="B4" s="114" t="s">
        <v>55</v>
      </c>
      <c r="C4" s="115" t="s">
        <v>155</v>
      </c>
      <c r="E4" s="114" t="s">
        <v>55</v>
      </c>
      <c r="F4" s="115" t="s">
        <v>979</v>
      </c>
    </row>
    <row r="5" spans="2:6" x14ac:dyDescent="0.35">
      <c r="B5" s="116">
        <v>1</v>
      </c>
      <c r="C5" s="117" t="s">
        <v>156</v>
      </c>
      <c r="E5" s="116">
        <v>1</v>
      </c>
      <c r="F5" s="117"/>
    </row>
    <row r="6" spans="2:6" x14ac:dyDescent="0.35">
      <c r="B6" s="116">
        <v>2</v>
      </c>
      <c r="C6" s="118" t="s">
        <v>157</v>
      </c>
      <c r="E6" s="116">
        <v>2</v>
      </c>
      <c r="F6" s="117"/>
    </row>
    <row r="7" spans="2:6" x14ac:dyDescent="0.35">
      <c r="B7" s="116">
        <v>3</v>
      </c>
      <c r="C7" s="119" t="s">
        <v>158</v>
      </c>
      <c r="E7" s="116">
        <v>3</v>
      </c>
      <c r="F7" s="117"/>
    </row>
    <row r="8" spans="2:6" x14ac:dyDescent="0.35">
      <c r="B8" s="116">
        <v>4</v>
      </c>
      <c r="C8" s="119" t="s">
        <v>159</v>
      </c>
      <c r="E8" s="116">
        <v>4</v>
      </c>
      <c r="F8" s="117"/>
    </row>
    <row r="9" spans="2:6" x14ac:dyDescent="0.35">
      <c r="B9" s="116">
        <v>5</v>
      </c>
      <c r="C9" s="119" t="s">
        <v>160</v>
      </c>
      <c r="E9" s="116">
        <v>5</v>
      </c>
      <c r="F9" s="117"/>
    </row>
    <row r="10" spans="2:6" x14ac:dyDescent="0.35">
      <c r="B10" s="116">
        <v>6</v>
      </c>
      <c r="C10" s="118" t="s">
        <v>161</v>
      </c>
      <c r="E10" s="116">
        <v>6</v>
      </c>
      <c r="F10" s="117"/>
    </row>
    <row r="11" spans="2:6" x14ac:dyDescent="0.35">
      <c r="B11" s="116">
        <v>7</v>
      </c>
      <c r="C11" s="120" t="s">
        <v>162</v>
      </c>
      <c r="E11" s="116">
        <v>7</v>
      </c>
      <c r="F11" s="117"/>
    </row>
    <row r="12" spans="2:6" x14ac:dyDescent="0.35">
      <c r="B12" s="116">
        <v>8</v>
      </c>
      <c r="C12" s="118" t="s">
        <v>163</v>
      </c>
      <c r="E12" s="116">
        <v>8</v>
      </c>
      <c r="F12" s="117"/>
    </row>
    <row r="13" spans="2:6" x14ac:dyDescent="0.35">
      <c r="B13" s="116">
        <v>9</v>
      </c>
      <c r="C13" s="121" t="s">
        <v>164</v>
      </c>
      <c r="E13" s="116">
        <v>9</v>
      </c>
      <c r="F13" s="117"/>
    </row>
    <row r="14" spans="2:6" x14ac:dyDescent="0.35">
      <c r="B14" s="116">
        <v>10</v>
      </c>
      <c r="C14" s="119" t="s">
        <v>165</v>
      </c>
      <c r="E14" s="116">
        <v>10</v>
      </c>
      <c r="F14" s="117"/>
    </row>
    <row r="15" spans="2:6" x14ac:dyDescent="0.35">
      <c r="B15" s="116">
        <v>11</v>
      </c>
      <c r="C15" s="119" t="s">
        <v>166</v>
      </c>
      <c r="E15" s="116">
        <v>11</v>
      </c>
      <c r="F15" s="117"/>
    </row>
    <row r="16" spans="2:6" x14ac:dyDescent="0.35">
      <c r="B16" s="116">
        <v>12</v>
      </c>
      <c r="C16" s="119" t="s">
        <v>167</v>
      </c>
      <c r="E16" s="116">
        <v>12</v>
      </c>
      <c r="F16" s="117"/>
    </row>
    <row r="17" spans="2:6" x14ac:dyDescent="0.35">
      <c r="B17" s="116">
        <v>13</v>
      </c>
      <c r="C17" s="119" t="s">
        <v>168</v>
      </c>
      <c r="E17" s="116">
        <v>13</v>
      </c>
      <c r="F17" s="117"/>
    </row>
    <row r="18" spans="2:6" x14ac:dyDescent="0.35">
      <c r="B18" s="116">
        <v>14</v>
      </c>
      <c r="C18" s="120" t="s">
        <v>169</v>
      </c>
      <c r="E18" s="116">
        <v>14</v>
      </c>
      <c r="F18" s="117"/>
    </row>
    <row r="19" spans="2:6" x14ac:dyDescent="0.35">
      <c r="B19" s="116">
        <v>15</v>
      </c>
      <c r="C19" s="118" t="s">
        <v>170</v>
      </c>
      <c r="E19" s="116">
        <v>15</v>
      </c>
      <c r="F19" s="117"/>
    </row>
    <row r="20" spans="2:6" x14ac:dyDescent="0.35">
      <c r="B20" s="116">
        <v>16</v>
      </c>
      <c r="C20" s="121" t="s">
        <v>171</v>
      </c>
      <c r="E20" s="116">
        <v>16</v>
      </c>
      <c r="F20" s="117"/>
    </row>
    <row r="21" spans="2:6" x14ac:dyDescent="0.35">
      <c r="B21" s="116">
        <v>17</v>
      </c>
      <c r="C21" s="119" t="s">
        <v>172</v>
      </c>
      <c r="E21" s="116">
        <v>17</v>
      </c>
      <c r="F21" s="117"/>
    </row>
    <row r="22" spans="2:6" x14ac:dyDescent="0.35">
      <c r="B22" s="116">
        <v>18</v>
      </c>
      <c r="C22" s="119" t="s">
        <v>166</v>
      </c>
      <c r="E22" s="116">
        <v>18</v>
      </c>
      <c r="F22" s="117"/>
    </row>
    <row r="23" spans="2:6" x14ac:dyDescent="0.35">
      <c r="B23" s="116">
        <v>19</v>
      </c>
      <c r="C23" s="119" t="s">
        <v>173</v>
      </c>
      <c r="E23" s="116">
        <v>19</v>
      </c>
      <c r="F23" s="117"/>
    </row>
    <row r="24" spans="2:6" x14ac:dyDescent="0.35">
      <c r="B24" s="116">
        <v>20</v>
      </c>
      <c r="C24" s="119" t="s">
        <v>174</v>
      </c>
      <c r="E24" s="116">
        <v>20</v>
      </c>
      <c r="F24" s="117"/>
    </row>
    <row r="25" spans="2:6" x14ac:dyDescent="0.35">
      <c r="B25" s="116">
        <v>21</v>
      </c>
      <c r="C25" s="120" t="s">
        <v>175</v>
      </c>
      <c r="E25" s="116">
        <v>21</v>
      </c>
      <c r="F25" s="117"/>
    </row>
    <row r="26" spans="2:6" x14ac:dyDescent="0.35">
      <c r="B26" s="116">
        <v>22</v>
      </c>
      <c r="C26" s="118" t="s">
        <v>176</v>
      </c>
      <c r="E26" s="116">
        <v>22</v>
      </c>
      <c r="F26" s="117"/>
    </row>
    <row r="27" spans="2:6" x14ac:dyDescent="0.35">
      <c r="B27" s="116">
        <v>23</v>
      </c>
      <c r="C27" s="121" t="s">
        <v>177</v>
      </c>
      <c r="E27" s="116">
        <v>23</v>
      </c>
      <c r="F27" s="117"/>
    </row>
    <row r="28" spans="2:6" x14ac:dyDescent="0.35">
      <c r="B28" s="116">
        <v>24</v>
      </c>
      <c r="C28" s="119" t="s">
        <v>178</v>
      </c>
      <c r="E28" s="116">
        <v>24</v>
      </c>
      <c r="F28" s="117"/>
    </row>
    <row r="29" spans="2:6" x14ac:dyDescent="0.35">
      <c r="B29" s="116">
        <v>25</v>
      </c>
      <c r="C29" s="119" t="s">
        <v>166</v>
      </c>
      <c r="E29" s="116">
        <v>25</v>
      </c>
      <c r="F29" s="117"/>
    </row>
    <row r="30" spans="2:6" x14ac:dyDescent="0.35">
      <c r="B30" s="116">
        <v>26</v>
      </c>
      <c r="C30" s="119" t="s">
        <v>179</v>
      </c>
      <c r="E30" s="116">
        <v>26</v>
      </c>
      <c r="F30" s="117"/>
    </row>
    <row r="31" spans="2:6" x14ac:dyDescent="0.35">
      <c r="B31" s="116">
        <v>27</v>
      </c>
      <c r="C31" s="119" t="s">
        <v>180</v>
      </c>
      <c r="E31" s="116">
        <v>27</v>
      </c>
      <c r="F31" s="117"/>
    </row>
    <row r="32" spans="2:6" x14ac:dyDescent="0.35">
      <c r="B32" s="116">
        <v>28</v>
      </c>
      <c r="C32" s="118" t="s">
        <v>181</v>
      </c>
      <c r="E32" s="116">
        <v>28</v>
      </c>
      <c r="F32" s="117"/>
    </row>
    <row r="33" spans="2:6" x14ac:dyDescent="0.35">
      <c r="B33" s="116">
        <v>29</v>
      </c>
      <c r="C33" s="121" t="s">
        <v>182</v>
      </c>
      <c r="E33" s="116">
        <v>29</v>
      </c>
      <c r="F33" s="117"/>
    </row>
    <row r="34" spans="2:6" x14ac:dyDescent="0.35">
      <c r="B34" s="116">
        <v>30</v>
      </c>
      <c r="C34" s="119" t="s">
        <v>183</v>
      </c>
      <c r="E34" s="116">
        <v>30</v>
      </c>
      <c r="F34" s="117"/>
    </row>
    <row r="35" spans="2:6" x14ac:dyDescent="0.35">
      <c r="B35" s="116">
        <v>31</v>
      </c>
      <c r="C35" s="119" t="s">
        <v>184</v>
      </c>
      <c r="E35" s="116">
        <v>31</v>
      </c>
      <c r="F35" s="117"/>
    </row>
    <row r="36" spans="2:6" x14ac:dyDescent="0.35">
      <c r="B36" s="116">
        <v>32</v>
      </c>
      <c r="C36" s="119" t="s">
        <v>185</v>
      </c>
      <c r="E36" s="116">
        <v>32</v>
      </c>
      <c r="F36" s="117"/>
    </row>
    <row r="37" spans="2:6" x14ac:dyDescent="0.35">
      <c r="B37" s="116">
        <v>33</v>
      </c>
      <c r="C37" s="121" t="s">
        <v>186</v>
      </c>
      <c r="E37" s="116">
        <v>33</v>
      </c>
      <c r="F37" s="117"/>
    </row>
    <row r="38" spans="2:6" x14ac:dyDescent="0.35">
      <c r="B38" s="116">
        <v>34</v>
      </c>
      <c r="C38" s="118" t="s">
        <v>187</v>
      </c>
      <c r="E38" s="116">
        <v>34</v>
      </c>
      <c r="F38" s="117"/>
    </row>
    <row r="39" spans="2:6" ht="5.15" customHeight="1" x14ac:dyDescent="0.35"/>
  </sheetData>
  <hyperlinks>
    <hyperlink ref="B2" location="PAINEL!A1" display="&lt;&lt; VOLTAR AO PAINEL DE CONTROLE" xr:uid="{760DC44A-35C1-4F63-9211-1871D80892A0}"/>
  </hyperlink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CCED-F92D-4409-A95B-AD74C7CFA8DE}">
  <sheetPr codeName="Planilha11">
    <tabColor theme="0" tint="-4.9989318521683403E-2"/>
  </sheetPr>
  <dimension ref="A2:R23"/>
  <sheetViews>
    <sheetView showGridLines="0" zoomScale="40" zoomScaleNormal="40"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53125" defaultRowHeight="15.75" customHeight="1" x14ac:dyDescent="0.35"/>
  <cols>
    <col min="1" max="1" width="22.453125" style="3" customWidth="1"/>
    <col min="2" max="2" width="10.453125" style="3" customWidth="1"/>
    <col min="3" max="3" width="32.453125" customWidth="1"/>
    <col min="4" max="4" width="91.81640625" customWidth="1"/>
    <col min="5" max="5" width="24.1796875" customWidth="1"/>
    <col min="6" max="6" width="25.1796875" customWidth="1"/>
    <col min="7" max="9" width="21.81640625" customWidth="1"/>
    <col min="10" max="12" width="25.1796875" customWidth="1"/>
    <col min="13" max="13" width="1.54296875" style="3" customWidth="1"/>
    <col min="14" max="14" width="46.81640625" style="3" customWidth="1"/>
    <col min="15" max="15" width="14.81640625" style="3" customWidth="1"/>
    <col min="16" max="16" width="1.81640625" style="3" customWidth="1"/>
    <col min="17" max="17" width="46.81640625" style="3" customWidth="1"/>
    <col min="18" max="18" width="14.81640625" style="3" customWidth="1"/>
    <col min="19" max="16384" width="14.453125" style="3"/>
  </cols>
  <sheetData>
    <row r="2" spans="3:18" ht="78" x14ac:dyDescent="0.35">
      <c r="C2" s="227" t="s">
        <v>147</v>
      </c>
      <c r="D2" s="412" t="s">
        <v>823</v>
      </c>
      <c r="E2" s="413"/>
      <c r="F2" s="413"/>
      <c r="G2" s="413"/>
      <c r="H2" s="413"/>
      <c r="I2" s="413"/>
      <c r="J2" s="413"/>
      <c r="K2" s="413"/>
      <c r="L2" s="413"/>
    </row>
    <row r="4" spans="3:18" s="112" customFormat="1" ht="63" customHeight="1" x14ac:dyDescent="0.35">
      <c r="C4" s="100" t="s">
        <v>55</v>
      </c>
      <c r="D4" s="229" t="s">
        <v>980</v>
      </c>
      <c r="E4" s="219" t="s">
        <v>769</v>
      </c>
      <c r="F4" s="219" t="s">
        <v>824</v>
      </c>
      <c r="G4" s="219" t="s">
        <v>832</v>
      </c>
      <c r="H4" s="219" t="s">
        <v>831</v>
      </c>
      <c r="I4" s="219" t="s">
        <v>830</v>
      </c>
      <c r="J4" s="219" t="s">
        <v>770</v>
      </c>
      <c r="K4" s="219" t="s">
        <v>771</v>
      </c>
      <c r="L4" s="219" t="s">
        <v>441</v>
      </c>
      <c r="M4" s="3"/>
      <c r="N4" s="3"/>
      <c r="O4" s="3"/>
      <c r="P4" s="3"/>
      <c r="Q4" s="3"/>
      <c r="R4" s="3"/>
    </row>
    <row r="5" spans="3:18" ht="6.75" customHeight="1" x14ac:dyDescent="0.35">
      <c r="C5" s="3"/>
    </row>
    <row r="6" spans="3:18" ht="38.15" customHeight="1" x14ac:dyDescent="0.35">
      <c r="C6" s="100">
        <v>1</v>
      </c>
      <c r="D6" s="228" t="s">
        <v>828</v>
      </c>
      <c r="E6" s="233" t="s">
        <v>772</v>
      </c>
      <c r="F6" s="232" t="s">
        <v>825</v>
      </c>
      <c r="G6" s="335">
        <v>3.4722222222222224E-4</v>
      </c>
      <c r="H6" s="334"/>
      <c r="I6" s="334"/>
      <c r="J6" s="231">
        <v>8</v>
      </c>
      <c r="K6" s="231">
        <v>4</v>
      </c>
      <c r="L6" s="231">
        <f>K6-J6</f>
        <v>-4</v>
      </c>
    </row>
    <row r="7" spans="3:18" ht="38.15" customHeight="1" x14ac:dyDescent="0.35">
      <c r="C7" s="100">
        <v>2</v>
      </c>
      <c r="D7" s="228" t="s">
        <v>828</v>
      </c>
      <c r="E7" s="234" t="s">
        <v>773</v>
      </c>
      <c r="F7" s="232" t="s">
        <v>825</v>
      </c>
      <c r="G7" s="335">
        <v>3.4722222222222224E-4</v>
      </c>
      <c r="H7" s="334"/>
      <c r="I7" s="334"/>
      <c r="J7" s="231">
        <v>10</v>
      </c>
      <c r="K7" s="231">
        <v>5</v>
      </c>
      <c r="L7" s="231">
        <f t="shared" ref="L7:L20" si="0">K7-J7</f>
        <v>-5</v>
      </c>
    </row>
    <row r="8" spans="3:18" ht="38.15" customHeight="1" x14ac:dyDescent="0.35">
      <c r="C8" s="100">
        <v>3</v>
      </c>
      <c r="D8" s="228" t="s">
        <v>828</v>
      </c>
      <c r="E8" s="233" t="s">
        <v>772</v>
      </c>
      <c r="F8" s="232" t="s">
        <v>825</v>
      </c>
      <c r="G8" s="335">
        <v>3.4722222222222224E-4</v>
      </c>
      <c r="H8" s="334"/>
      <c r="I8" s="334"/>
      <c r="J8" s="231">
        <v>9</v>
      </c>
      <c r="K8" s="231">
        <v>6</v>
      </c>
      <c r="L8" s="231">
        <f t="shared" si="0"/>
        <v>-3</v>
      </c>
    </row>
    <row r="9" spans="3:18" ht="38.15" customHeight="1" x14ac:dyDescent="0.35">
      <c r="C9" s="100">
        <v>4</v>
      </c>
      <c r="D9" s="228" t="s">
        <v>828</v>
      </c>
      <c r="E9" s="234" t="s">
        <v>773</v>
      </c>
      <c r="F9" s="232" t="s">
        <v>825</v>
      </c>
      <c r="G9" s="335">
        <v>3.4722222222222224E-4</v>
      </c>
      <c r="H9" s="334"/>
      <c r="I9" s="334"/>
      <c r="J9" s="231">
        <v>9</v>
      </c>
      <c r="K9" s="231">
        <v>7</v>
      </c>
      <c r="L9" s="231">
        <f t="shared" si="0"/>
        <v>-2</v>
      </c>
    </row>
    <row r="10" spans="3:18" ht="38.15" customHeight="1" x14ac:dyDescent="0.35">
      <c r="C10" s="100">
        <v>5</v>
      </c>
      <c r="D10" s="228" t="s">
        <v>828</v>
      </c>
      <c r="E10" s="233" t="s">
        <v>772</v>
      </c>
      <c r="F10" s="232" t="s">
        <v>825</v>
      </c>
      <c r="G10" s="335">
        <v>3.4722222222222224E-4</v>
      </c>
      <c r="H10" s="334"/>
      <c r="I10" s="334"/>
      <c r="J10" s="231">
        <v>8</v>
      </c>
      <c r="K10" s="231">
        <v>6</v>
      </c>
      <c r="L10" s="231">
        <f t="shared" si="0"/>
        <v>-2</v>
      </c>
    </row>
    <row r="11" spans="3:18" ht="38.15" customHeight="1" x14ac:dyDescent="0.35">
      <c r="C11" s="100">
        <v>6</v>
      </c>
      <c r="D11" s="228" t="s">
        <v>828</v>
      </c>
      <c r="E11" s="235" t="s">
        <v>774</v>
      </c>
      <c r="F11" s="232" t="s">
        <v>825</v>
      </c>
      <c r="G11" s="335">
        <v>3.4722222222222224E-4</v>
      </c>
      <c r="H11" s="334"/>
      <c r="I11" s="334"/>
      <c r="J11" s="231">
        <v>9</v>
      </c>
      <c r="K11" s="231">
        <v>5</v>
      </c>
      <c r="L11" s="231">
        <f t="shared" si="0"/>
        <v>-4</v>
      </c>
    </row>
    <row r="12" spans="3:18" ht="38.15" customHeight="1" x14ac:dyDescent="0.35">
      <c r="C12" s="100">
        <v>7</v>
      </c>
      <c r="D12" s="228" t="s">
        <v>828</v>
      </c>
      <c r="E12" s="233" t="s">
        <v>772</v>
      </c>
      <c r="F12" s="232" t="s">
        <v>825</v>
      </c>
      <c r="G12" s="335">
        <v>3.4722222222222224E-4</v>
      </c>
      <c r="H12" s="334"/>
      <c r="I12" s="334"/>
      <c r="J12" s="231">
        <v>7</v>
      </c>
      <c r="K12" s="231">
        <v>6</v>
      </c>
      <c r="L12" s="231">
        <f t="shared" si="0"/>
        <v>-1</v>
      </c>
    </row>
    <row r="13" spans="3:18" ht="38.15" customHeight="1" x14ac:dyDescent="0.35">
      <c r="C13" s="100">
        <v>8</v>
      </c>
      <c r="D13" s="228" t="s">
        <v>828</v>
      </c>
      <c r="E13" s="235" t="s">
        <v>774</v>
      </c>
      <c r="F13" s="232" t="s">
        <v>825</v>
      </c>
      <c r="G13" s="335">
        <v>3.4722222222222224E-4</v>
      </c>
      <c r="H13" s="334"/>
      <c r="I13" s="334"/>
      <c r="J13" s="231">
        <v>8</v>
      </c>
      <c r="K13" s="231">
        <v>8</v>
      </c>
      <c r="L13" s="231">
        <f t="shared" si="0"/>
        <v>0</v>
      </c>
    </row>
    <row r="14" spans="3:18" ht="38.15" customHeight="1" x14ac:dyDescent="0.35">
      <c r="C14" s="100">
        <v>9</v>
      </c>
      <c r="D14" s="228" t="s">
        <v>828</v>
      </c>
      <c r="E14" s="235" t="s">
        <v>774</v>
      </c>
      <c r="F14" s="232" t="s">
        <v>825</v>
      </c>
      <c r="G14" s="335">
        <v>3.4722222222222224E-4</v>
      </c>
      <c r="H14" s="334"/>
      <c r="I14" s="334"/>
      <c r="J14" s="231">
        <v>8</v>
      </c>
      <c r="K14" s="231">
        <v>8</v>
      </c>
      <c r="L14" s="231">
        <f t="shared" si="0"/>
        <v>0</v>
      </c>
    </row>
    <row r="15" spans="3:18" ht="38.15" customHeight="1" x14ac:dyDescent="0.35">
      <c r="C15" s="100">
        <v>10</v>
      </c>
      <c r="D15" s="228" t="s">
        <v>828</v>
      </c>
      <c r="E15" s="234" t="s">
        <v>773</v>
      </c>
      <c r="F15" s="232" t="s">
        <v>825</v>
      </c>
      <c r="G15" s="335">
        <v>3.4722222222222224E-4</v>
      </c>
      <c r="H15" s="334"/>
      <c r="I15" s="334"/>
      <c r="J15" s="231">
        <v>8</v>
      </c>
      <c r="K15" s="231">
        <v>8</v>
      </c>
      <c r="L15" s="231">
        <f t="shared" si="0"/>
        <v>0</v>
      </c>
    </row>
    <row r="16" spans="3:18" ht="38.15" customHeight="1" x14ac:dyDescent="0.35">
      <c r="C16" s="100">
        <v>11</v>
      </c>
      <c r="D16" s="228" t="s">
        <v>828</v>
      </c>
      <c r="E16" s="235" t="s">
        <v>774</v>
      </c>
      <c r="F16" s="232" t="s">
        <v>826</v>
      </c>
      <c r="G16" s="334"/>
      <c r="H16" s="335">
        <v>1.3888888888888889E-3</v>
      </c>
      <c r="I16" s="334"/>
      <c r="J16" s="231">
        <v>8</v>
      </c>
      <c r="K16" s="231">
        <v>8</v>
      </c>
      <c r="L16" s="231">
        <f t="shared" si="0"/>
        <v>0</v>
      </c>
    </row>
    <row r="17" spans="1:18" ht="38.15" customHeight="1" x14ac:dyDescent="0.35">
      <c r="C17" s="100">
        <v>12</v>
      </c>
      <c r="D17" s="228" t="s">
        <v>828</v>
      </c>
      <c r="E17" s="234" t="s">
        <v>773</v>
      </c>
      <c r="F17" s="232" t="s">
        <v>826</v>
      </c>
      <c r="G17" s="334"/>
      <c r="H17" s="335">
        <v>2.0833333333333333E-3</v>
      </c>
      <c r="I17" s="334"/>
      <c r="J17" s="231">
        <v>8</v>
      </c>
      <c r="K17" s="231">
        <v>8</v>
      </c>
      <c r="L17" s="231">
        <f t="shared" si="0"/>
        <v>0</v>
      </c>
    </row>
    <row r="18" spans="1:18" ht="38.15" customHeight="1" x14ac:dyDescent="0.35">
      <c r="C18" s="100">
        <v>13</v>
      </c>
      <c r="D18" s="228" t="s">
        <v>828</v>
      </c>
      <c r="E18" s="235" t="s">
        <v>774</v>
      </c>
      <c r="F18" s="232" t="s">
        <v>826</v>
      </c>
      <c r="G18" s="334"/>
      <c r="H18" s="335">
        <v>1.0416666666666667E-3</v>
      </c>
      <c r="I18" s="334"/>
      <c r="J18" s="231">
        <v>8</v>
      </c>
      <c r="K18" s="231">
        <v>8</v>
      </c>
      <c r="L18" s="231">
        <f t="shared" si="0"/>
        <v>0</v>
      </c>
    </row>
    <row r="19" spans="1:18" ht="38.15" customHeight="1" x14ac:dyDescent="0.35">
      <c r="C19" s="100">
        <v>14</v>
      </c>
      <c r="D19" s="228" t="s">
        <v>828</v>
      </c>
      <c r="E19" s="233" t="s">
        <v>772</v>
      </c>
      <c r="F19" s="232" t="s">
        <v>827</v>
      </c>
      <c r="G19" s="334"/>
      <c r="H19" s="334"/>
      <c r="I19" s="335">
        <v>2.7777777777777779E-3</v>
      </c>
      <c r="J19" s="231">
        <v>8</v>
      </c>
      <c r="K19" s="231">
        <v>8</v>
      </c>
      <c r="L19" s="231">
        <f t="shared" si="0"/>
        <v>0</v>
      </c>
    </row>
    <row r="20" spans="1:18" ht="38.15" customHeight="1" x14ac:dyDescent="0.35">
      <c r="C20" s="100">
        <v>15</v>
      </c>
      <c r="D20" s="228" t="s">
        <v>828</v>
      </c>
      <c r="E20" s="233" t="s">
        <v>772</v>
      </c>
      <c r="F20" s="232" t="s">
        <v>827</v>
      </c>
      <c r="G20" s="334"/>
      <c r="H20" s="334"/>
      <c r="I20" s="335">
        <v>4.1666666666666666E-3</v>
      </c>
      <c r="J20" s="231">
        <v>8</v>
      </c>
      <c r="K20" s="231">
        <v>8</v>
      </c>
      <c r="L20" s="231">
        <f t="shared" si="0"/>
        <v>0</v>
      </c>
    </row>
    <row r="21" spans="1:18" ht="21" x14ac:dyDescent="0.5">
      <c r="C21" s="3"/>
      <c r="D21" s="220"/>
      <c r="E21" s="220"/>
      <c r="F21" s="220"/>
      <c r="G21" s="220"/>
      <c r="H21" s="220"/>
      <c r="I21" s="220"/>
      <c r="J21" s="36"/>
      <c r="K21" s="36"/>
      <c r="L21" s="36"/>
    </row>
    <row r="22" spans="1:18" ht="60.65" customHeight="1" x14ac:dyDescent="0.35">
      <c r="C22" s="470" t="s">
        <v>829</v>
      </c>
      <c r="D22" s="471"/>
      <c r="E22" s="471"/>
      <c r="F22" s="471"/>
      <c r="G22" s="236">
        <f>SUM(G6:G20)</f>
        <v>3.4722222222222225E-3</v>
      </c>
      <c r="H22" s="236">
        <f>SUM(H6:H20)</f>
        <v>4.5138888888888885E-3</v>
      </c>
      <c r="I22" s="236">
        <f>SUM(I6:I20)</f>
        <v>6.9444444444444441E-3</v>
      </c>
      <c r="J22" s="230">
        <f>AVERAGE(J6:J15)</f>
        <v>8.4</v>
      </c>
      <c r="K22" s="230">
        <f>AVERAGE(K6:K15)</f>
        <v>6.3</v>
      </c>
      <c r="L22" s="230">
        <f>AVERAGE(L6:L15)</f>
        <v>-2.1</v>
      </c>
    </row>
    <row r="23" spans="1:18" s="105" customFormat="1" ht="14.5" x14ac:dyDescent="0.35">
      <c r="A23" s="3"/>
      <c r="B23" s="3"/>
      <c r="C23"/>
      <c r="D23"/>
      <c r="E23"/>
      <c r="F23"/>
      <c r="G23"/>
      <c r="H23"/>
      <c r="I23"/>
      <c r="J23"/>
      <c r="K23"/>
      <c r="L23"/>
      <c r="M23" s="3"/>
      <c r="N23" s="3"/>
      <c r="O23" s="3"/>
      <c r="Q23" s="3"/>
      <c r="R23" s="3"/>
    </row>
  </sheetData>
  <mergeCells count="2">
    <mergeCell ref="C22:F22"/>
    <mergeCell ref="D2:L2"/>
  </mergeCells>
  <conditionalFormatting sqref="L6:L20">
    <cfRule type="colorScale" priority="1">
      <colorScale>
        <cfvo type="min"/>
        <cfvo type="percentile" val="50"/>
        <cfvo type="max"/>
        <color rgb="FFF8696B"/>
        <color rgb="FFFFEB84"/>
        <color rgb="FF63BE7B"/>
      </colorScale>
    </cfRule>
  </conditionalFormatting>
  <hyperlinks>
    <hyperlink ref="C2" location="PAINEL!A1" display="&lt;&lt; VOLTAR AO PAINEL DE CONTROLE" xr:uid="{14B6EF21-597A-4AC3-8CC5-8A2977706411}"/>
  </hyperlinks>
  <pageMargins left="0.511811024" right="0.511811024" top="0.78740157499999996" bottom="0.78740157499999996" header="0.31496062000000002" footer="0.31496062000000002"/>
  <pageSetup paperSize="9" orientation="portrait" verticalDpi="3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E8FD6-E0B5-484C-BECF-AD904855417A}">
  <sheetPr>
    <tabColor theme="0" tint="-4.9989318521683403E-2"/>
  </sheetPr>
  <dimension ref="B1:R18"/>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53125" defaultRowHeight="15.75" customHeight="1" outlineLevelCol="1" x14ac:dyDescent="0.35"/>
  <cols>
    <col min="1" max="1" width="4.26953125" style="3" customWidth="1"/>
    <col min="2" max="2" width="2.54296875" customWidth="1"/>
    <col min="3" max="3" width="30.1796875" style="15" customWidth="1"/>
    <col min="4" max="4" width="1.1796875" style="15" customWidth="1"/>
    <col min="5" max="5" width="11.453125" style="15" customWidth="1"/>
    <col min="6" max="6" width="1" style="15" customWidth="1"/>
    <col min="7" max="7" width="114.81640625" customWidth="1"/>
    <col min="8" max="8" width="1.81640625" customWidth="1"/>
    <col min="9" max="9" width="0.81640625" style="3" customWidth="1"/>
    <col min="10" max="10" width="10.81640625" style="15" customWidth="1" outlineLevel="1"/>
    <col min="11" max="11" width="1" style="15" customWidth="1" outlineLevel="1"/>
    <col min="12" max="12" width="110.26953125" style="3" customWidth="1" outlineLevel="1"/>
    <col min="13" max="13" width="4.54296875" style="3" customWidth="1"/>
    <col min="14" max="14" width="46.81640625" style="3" customWidth="1"/>
    <col min="15" max="15" width="14.81640625" style="3" customWidth="1"/>
    <col min="16" max="16" width="1.81640625" style="3" customWidth="1"/>
    <col min="17" max="17" width="46.81640625" style="3" customWidth="1"/>
    <col min="18" max="18" width="14.81640625" style="3" customWidth="1"/>
    <col min="19" max="16384" width="14.453125" style="3"/>
  </cols>
  <sheetData>
    <row r="1" spans="2:18" ht="14.5" customHeight="1" x14ac:dyDescent="0.35"/>
    <row r="2" spans="2:18" customFormat="1" ht="59.15" customHeight="1" x14ac:dyDescent="0.35">
      <c r="C2" s="164" t="s">
        <v>147</v>
      </c>
      <c r="D2" s="15"/>
      <c r="E2" s="408" t="s">
        <v>581</v>
      </c>
      <c r="F2" s="409"/>
      <c r="G2" s="409"/>
      <c r="H2" s="409"/>
      <c r="I2" s="409"/>
      <c r="J2" s="409"/>
      <c r="K2" s="409"/>
      <c r="L2" s="409"/>
    </row>
    <row r="4" spans="2:18" s="112" customFormat="1" ht="46" x14ac:dyDescent="0.8">
      <c r="B4" s="111"/>
      <c r="C4" s="217"/>
      <c r="D4" s="15"/>
      <c r="E4" s="163" t="s">
        <v>55</v>
      </c>
      <c r="F4" s="15"/>
      <c r="G4" s="106" t="s">
        <v>406</v>
      </c>
      <c r="H4" s="1"/>
      <c r="J4" s="163" t="s">
        <v>55</v>
      </c>
      <c r="K4" s="15"/>
      <c r="L4" s="197" t="s">
        <v>406</v>
      </c>
      <c r="M4" s="3"/>
      <c r="N4" s="3"/>
      <c r="O4" s="3"/>
      <c r="P4" s="3"/>
      <c r="Q4" s="3"/>
      <c r="R4" s="3"/>
    </row>
    <row r="5" spans="2:18" ht="6.75" customHeight="1" x14ac:dyDescent="0.35">
      <c r="C5" s="177"/>
      <c r="L5"/>
    </row>
    <row r="6" spans="2:18" ht="37" customHeight="1" x14ac:dyDescent="0.35">
      <c r="C6" s="177"/>
      <c r="E6" s="167">
        <v>1</v>
      </c>
      <c r="G6" s="202" t="s">
        <v>582</v>
      </c>
      <c r="J6" s="167">
        <v>14</v>
      </c>
      <c r="L6" s="202" t="s">
        <v>595</v>
      </c>
    </row>
    <row r="7" spans="2:18" ht="37" customHeight="1" x14ac:dyDescent="0.35">
      <c r="C7" s="177"/>
      <c r="E7" s="167">
        <v>2</v>
      </c>
      <c r="G7" s="202" t="s">
        <v>583</v>
      </c>
      <c r="J7" s="167">
        <v>15</v>
      </c>
      <c r="L7" s="202" t="s">
        <v>596</v>
      </c>
    </row>
    <row r="8" spans="2:18" ht="37" customHeight="1" x14ac:dyDescent="0.35">
      <c r="C8" s="177"/>
      <c r="E8" s="167">
        <v>3</v>
      </c>
      <c r="G8" s="202" t="s">
        <v>584</v>
      </c>
      <c r="J8" s="167">
        <v>16</v>
      </c>
      <c r="L8" s="202" t="s">
        <v>597</v>
      </c>
    </row>
    <row r="9" spans="2:18" ht="37" customHeight="1" x14ac:dyDescent="0.35">
      <c r="C9" s="177"/>
      <c r="E9" s="167">
        <v>4</v>
      </c>
      <c r="G9" s="193" t="s">
        <v>585</v>
      </c>
      <c r="J9" s="167">
        <v>17</v>
      </c>
      <c r="L9" s="198" t="s">
        <v>598</v>
      </c>
    </row>
    <row r="10" spans="2:18" ht="37" customHeight="1" x14ac:dyDescent="0.35">
      <c r="C10" s="177"/>
      <c r="E10" s="167">
        <v>5</v>
      </c>
      <c r="G10" s="202" t="s">
        <v>586</v>
      </c>
      <c r="J10" s="167">
        <v>18</v>
      </c>
      <c r="L10" s="202" t="s">
        <v>599</v>
      </c>
    </row>
    <row r="11" spans="2:18" ht="37" customHeight="1" x14ac:dyDescent="0.35">
      <c r="C11" s="177"/>
      <c r="E11" s="167">
        <v>6</v>
      </c>
      <c r="G11" s="202" t="s">
        <v>587</v>
      </c>
      <c r="H11" s="3"/>
      <c r="J11" s="167">
        <v>19</v>
      </c>
      <c r="L11" s="199" t="s">
        <v>991</v>
      </c>
    </row>
    <row r="12" spans="2:18" ht="37" customHeight="1" x14ac:dyDescent="0.35">
      <c r="C12" s="177"/>
      <c r="E12" s="167">
        <v>7</v>
      </c>
      <c r="G12" s="202" t="s">
        <v>590</v>
      </c>
      <c r="H12" s="3"/>
      <c r="J12" s="167">
        <v>20</v>
      </c>
      <c r="L12" s="202" t="s">
        <v>600</v>
      </c>
    </row>
    <row r="13" spans="2:18" ht="37" customHeight="1" x14ac:dyDescent="0.35">
      <c r="C13" s="177"/>
      <c r="E13" s="167">
        <v>8</v>
      </c>
      <c r="G13" s="202" t="s">
        <v>589</v>
      </c>
      <c r="H13" s="3"/>
      <c r="J13" s="167">
        <v>21</v>
      </c>
      <c r="L13" s="193" t="s">
        <v>601</v>
      </c>
    </row>
    <row r="14" spans="2:18" ht="37" customHeight="1" x14ac:dyDescent="0.35">
      <c r="C14" s="177"/>
      <c r="E14" s="167">
        <v>9</v>
      </c>
      <c r="G14" s="202" t="s">
        <v>588</v>
      </c>
      <c r="H14" s="3"/>
      <c r="J14" s="167">
        <v>22</v>
      </c>
      <c r="L14" s="200" t="s">
        <v>604</v>
      </c>
    </row>
    <row r="15" spans="2:18" ht="37" customHeight="1" x14ac:dyDescent="0.35">
      <c r="C15" s="177"/>
      <c r="E15" s="167">
        <v>10</v>
      </c>
      <c r="G15" s="193" t="s">
        <v>591</v>
      </c>
      <c r="H15" s="3"/>
      <c r="J15" s="167">
        <v>23</v>
      </c>
      <c r="L15" s="201" t="s">
        <v>981</v>
      </c>
    </row>
    <row r="16" spans="2:18" ht="37" customHeight="1" x14ac:dyDescent="0.35">
      <c r="C16" s="177"/>
      <c r="E16" s="167">
        <v>11</v>
      </c>
      <c r="G16" s="202" t="s">
        <v>592</v>
      </c>
      <c r="H16" s="3"/>
      <c r="J16" s="167">
        <v>24</v>
      </c>
      <c r="L16" s="201" t="s">
        <v>602</v>
      </c>
    </row>
    <row r="17" spans="3:12" ht="37" customHeight="1" x14ac:dyDescent="0.35">
      <c r="C17" s="177"/>
      <c r="E17" s="167">
        <v>12</v>
      </c>
      <c r="G17" s="202" t="s">
        <v>593</v>
      </c>
      <c r="H17" s="3"/>
      <c r="J17" s="167">
        <v>25</v>
      </c>
      <c r="L17" s="202" t="s">
        <v>603</v>
      </c>
    </row>
    <row r="18" spans="3:12" ht="37" customHeight="1" x14ac:dyDescent="0.35">
      <c r="C18" s="177"/>
      <c r="E18" s="167">
        <v>13</v>
      </c>
      <c r="G18" s="202" t="s">
        <v>594</v>
      </c>
      <c r="H18" s="3"/>
      <c r="J18" s="167">
        <v>26</v>
      </c>
      <c r="L18" s="193" t="s">
        <v>287</v>
      </c>
    </row>
  </sheetData>
  <mergeCells count="1">
    <mergeCell ref="E2:L2"/>
  </mergeCells>
  <hyperlinks>
    <hyperlink ref="C2" location="PAINEL!A1" display="&lt;&lt; VOLTAR AO PAINEL DE CONTROLE" xr:uid="{312609BF-561C-43A2-9670-56FEAF9A5B3D}"/>
  </hyperlinks>
  <pageMargins left="0.511811024" right="0.511811024" top="0.78740157499999996" bottom="0.78740157499999996" header="0.31496062000000002" footer="0.31496062000000002"/>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A5B8-2675-4CDE-B5BD-6B3DF24D9BDC}">
  <sheetPr>
    <tabColor theme="0" tint="-4.9989318521683403E-2"/>
  </sheetPr>
  <dimension ref="B1:O201"/>
  <sheetViews>
    <sheetView showGridLines="0" zoomScale="55" zoomScaleNormal="55"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53125" defaultRowHeight="15.75" customHeight="1" x14ac:dyDescent="0.35"/>
  <cols>
    <col min="1" max="1" width="4.26953125" style="3" customWidth="1"/>
    <col min="2" max="2" width="2.54296875" customWidth="1"/>
    <col min="3" max="3" width="26.54296875" style="15" customWidth="1"/>
    <col min="4" max="4" width="2.453125" style="15" customWidth="1"/>
    <col min="5" max="5" width="95.54296875" customWidth="1"/>
    <col min="6" max="6" width="1.81640625" customWidth="1"/>
    <col min="7" max="7" width="26.54296875" style="336" customWidth="1"/>
    <col min="8" max="8" width="1.81640625" customWidth="1"/>
    <col min="9" max="9" width="100.54296875" style="3" customWidth="1"/>
    <col min="10" max="10" width="1.54296875" style="3" customWidth="1"/>
    <col min="11" max="11" width="46.81640625" style="3" customWidth="1"/>
    <col min="12" max="12" width="14.81640625" style="3" customWidth="1"/>
    <col min="13" max="13" width="1.81640625" style="3" customWidth="1"/>
    <col min="14" max="14" width="46.81640625" style="3" customWidth="1"/>
    <col min="15" max="15" width="14.81640625" style="3" customWidth="1"/>
    <col min="16" max="16384" width="14.453125" style="3"/>
  </cols>
  <sheetData>
    <row r="1" spans="2:15" ht="14.5" customHeight="1" x14ac:dyDescent="0.35"/>
    <row r="2" spans="2:15" customFormat="1" ht="59.15" customHeight="1" x14ac:dyDescent="0.35">
      <c r="C2" s="164" t="s">
        <v>147</v>
      </c>
      <c r="D2" s="15"/>
      <c r="E2" s="472" t="s">
        <v>988</v>
      </c>
      <c r="F2" s="473"/>
      <c r="G2" s="473"/>
      <c r="H2" s="473"/>
      <c r="I2" s="473"/>
    </row>
    <row r="4" spans="2:15" s="112" customFormat="1" ht="36" x14ac:dyDescent="0.8">
      <c r="B4" s="111"/>
      <c r="C4" s="474" t="s">
        <v>768</v>
      </c>
      <c r="D4" s="429"/>
      <c r="E4" s="475"/>
      <c r="F4" s="4"/>
      <c r="G4" s="474" t="s">
        <v>768</v>
      </c>
      <c r="H4" s="429"/>
      <c r="I4" s="475"/>
      <c r="J4" s="3"/>
      <c r="K4" s="3"/>
      <c r="L4" s="3"/>
      <c r="M4" s="3"/>
      <c r="N4" s="3"/>
      <c r="O4" s="3"/>
    </row>
    <row r="5" spans="2:15" ht="6.75" customHeight="1" x14ac:dyDescent="0.35">
      <c r="I5"/>
    </row>
    <row r="6" spans="2:15" ht="52" x14ac:dyDescent="0.55000000000000004">
      <c r="C6" s="83" t="s">
        <v>710</v>
      </c>
      <c r="E6" s="211" t="s">
        <v>758</v>
      </c>
      <c r="F6" s="4"/>
      <c r="G6" s="83" t="s">
        <v>710</v>
      </c>
      <c r="I6" s="211" t="s">
        <v>763</v>
      </c>
    </row>
    <row r="7" spans="2:15" ht="38.5" customHeight="1" x14ac:dyDescent="0.35">
      <c r="C7" s="213"/>
      <c r="E7" s="212" t="s">
        <v>704</v>
      </c>
      <c r="G7" s="214"/>
      <c r="I7" s="212" t="s">
        <v>731</v>
      </c>
    </row>
    <row r="8" spans="2:15" ht="38.5" customHeight="1" x14ac:dyDescent="0.35">
      <c r="C8" s="213" t="s">
        <v>117</v>
      </c>
      <c r="E8" s="212" t="s">
        <v>705</v>
      </c>
      <c r="G8" s="214"/>
      <c r="I8" s="212" t="s">
        <v>732</v>
      </c>
    </row>
    <row r="9" spans="2:15" ht="38.5" customHeight="1" x14ac:dyDescent="0.35">
      <c r="C9" s="213"/>
      <c r="E9" s="212" t="s">
        <v>706</v>
      </c>
      <c r="G9" s="214"/>
      <c r="I9" s="212" t="s">
        <v>733</v>
      </c>
    </row>
    <row r="10" spans="2:15" ht="38.5" customHeight="1" x14ac:dyDescent="0.35">
      <c r="C10" s="213"/>
      <c r="E10" s="212" t="s">
        <v>707</v>
      </c>
      <c r="G10" s="214"/>
      <c r="I10" s="212" t="s">
        <v>734</v>
      </c>
    </row>
    <row r="11" spans="2:15" ht="52" x14ac:dyDescent="0.35">
      <c r="C11" s="213"/>
      <c r="E11" s="212" t="s">
        <v>708</v>
      </c>
      <c r="F11" s="3"/>
      <c r="G11" s="83" t="s">
        <v>710</v>
      </c>
      <c r="I11" s="211" t="s">
        <v>764</v>
      </c>
    </row>
    <row r="12" spans="2:15" ht="38.5" customHeight="1" x14ac:dyDescent="0.55000000000000004">
      <c r="C12" s="213" t="s">
        <v>117</v>
      </c>
      <c r="E12" s="212" t="s">
        <v>709</v>
      </c>
      <c r="F12" s="4"/>
      <c r="G12" s="214"/>
      <c r="I12" s="212" t="s">
        <v>735</v>
      </c>
    </row>
    <row r="13" spans="2:15" ht="52" x14ac:dyDescent="0.55000000000000004">
      <c r="C13" s="83" t="s">
        <v>710</v>
      </c>
      <c r="E13" s="211" t="s">
        <v>759</v>
      </c>
      <c r="F13" s="4"/>
      <c r="G13" s="214"/>
      <c r="I13" s="212" t="s">
        <v>736</v>
      </c>
    </row>
    <row r="14" spans="2:15" ht="38.5" customHeight="1" x14ac:dyDescent="0.35">
      <c r="C14" s="213"/>
      <c r="E14" s="212" t="s">
        <v>711</v>
      </c>
      <c r="F14" s="3"/>
      <c r="G14" s="214"/>
      <c r="I14" s="212" t="s">
        <v>737</v>
      </c>
    </row>
    <row r="15" spans="2:15" ht="38.5" customHeight="1" x14ac:dyDescent="0.35">
      <c r="C15" s="213" t="s">
        <v>117</v>
      </c>
      <c r="E15" s="212" t="s">
        <v>712</v>
      </c>
      <c r="F15" s="3"/>
      <c r="G15" s="337"/>
      <c r="I15" s="212" t="s">
        <v>738</v>
      </c>
    </row>
    <row r="16" spans="2:15" ht="38.5" customHeight="1" x14ac:dyDescent="0.35">
      <c r="C16" s="213"/>
      <c r="E16" s="212" t="s">
        <v>713</v>
      </c>
      <c r="F16" s="3"/>
      <c r="G16" s="337"/>
      <c r="I16" s="212" t="s">
        <v>990</v>
      </c>
    </row>
    <row r="17" spans="3:9" ht="52" x14ac:dyDescent="0.55000000000000004">
      <c r="C17" s="83" t="s">
        <v>710</v>
      </c>
      <c r="E17" s="211" t="s">
        <v>760</v>
      </c>
      <c r="F17" s="4"/>
      <c r="G17" s="83" t="s">
        <v>710</v>
      </c>
      <c r="I17" s="211" t="s">
        <v>765</v>
      </c>
    </row>
    <row r="18" spans="3:9" ht="38.5" customHeight="1" x14ac:dyDescent="0.35">
      <c r="C18" s="214"/>
      <c r="E18" s="212" t="s">
        <v>714</v>
      </c>
      <c r="F18" s="3"/>
      <c r="G18" s="338"/>
      <c r="I18" s="215" t="s">
        <v>739</v>
      </c>
    </row>
    <row r="19" spans="3:9" ht="38.5" customHeight="1" x14ac:dyDescent="0.35">
      <c r="C19" s="214"/>
      <c r="E19" s="212" t="s">
        <v>989</v>
      </c>
      <c r="F19" s="3"/>
      <c r="G19" s="338"/>
      <c r="I19" s="215" t="s">
        <v>740</v>
      </c>
    </row>
    <row r="20" spans="3:9" ht="38.5" customHeight="1" x14ac:dyDescent="0.35">
      <c r="C20" s="214" t="s">
        <v>117</v>
      </c>
      <c r="E20" s="212" t="s">
        <v>715</v>
      </c>
      <c r="F20" s="3"/>
      <c r="G20" s="338"/>
      <c r="I20" s="215" t="s">
        <v>741</v>
      </c>
    </row>
    <row r="21" spans="3:9" ht="38.5" customHeight="1" x14ac:dyDescent="0.35">
      <c r="C21" s="214" t="s">
        <v>117</v>
      </c>
      <c r="E21" s="212" t="s">
        <v>716</v>
      </c>
      <c r="F21" s="3"/>
      <c r="G21" s="338"/>
      <c r="I21" s="215" t="s">
        <v>742</v>
      </c>
    </row>
    <row r="22" spans="3:9" ht="52" x14ac:dyDescent="0.35">
      <c r="C22" s="214"/>
      <c r="E22" s="212" t="s">
        <v>717</v>
      </c>
      <c r="F22" s="3"/>
      <c r="G22" s="83" t="s">
        <v>710</v>
      </c>
      <c r="I22" s="211" t="s">
        <v>766</v>
      </c>
    </row>
    <row r="23" spans="3:9" ht="52" x14ac:dyDescent="0.55000000000000004">
      <c r="C23" s="83" t="s">
        <v>710</v>
      </c>
      <c r="E23" s="211" t="s">
        <v>761</v>
      </c>
      <c r="F23" s="4"/>
      <c r="G23" s="338"/>
      <c r="I23" s="215" t="s">
        <v>743</v>
      </c>
    </row>
    <row r="24" spans="3:9" ht="38.5" customHeight="1" x14ac:dyDescent="0.35">
      <c r="C24" s="214"/>
      <c r="E24" s="212" t="s">
        <v>718</v>
      </c>
      <c r="F24" s="3"/>
      <c r="G24" s="338"/>
      <c r="I24" s="215" t="s">
        <v>744</v>
      </c>
    </row>
    <row r="25" spans="3:9" ht="38.5" customHeight="1" x14ac:dyDescent="0.35">
      <c r="C25" s="214"/>
      <c r="E25" s="212" t="s">
        <v>719</v>
      </c>
      <c r="F25" s="3"/>
      <c r="G25" s="338"/>
      <c r="I25" s="215" t="s">
        <v>745</v>
      </c>
    </row>
    <row r="26" spans="3:9" ht="38.5" customHeight="1" x14ac:dyDescent="0.35">
      <c r="C26" s="214"/>
      <c r="E26" s="212" t="s">
        <v>720</v>
      </c>
      <c r="F26" s="3"/>
      <c r="G26" s="338"/>
      <c r="I26" s="215" t="s">
        <v>746</v>
      </c>
    </row>
    <row r="27" spans="3:9" ht="52" x14ac:dyDescent="0.35">
      <c r="C27" s="214"/>
      <c r="E27" s="212" t="s">
        <v>721</v>
      </c>
      <c r="F27" s="3"/>
      <c r="G27" s="83" t="s">
        <v>710</v>
      </c>
      <c r="I27" s="211" t="s">
        <v>767</v>
      </c>
    </row>
    <row r="28" spans="3:9" ht="38.5" customHeight="1" x14ac:dyDescent="0.35">
      <c r="C28" s="214"/>
      <c r="E28" s="212" t="s">
        <v>722</v>
      </c>
      <c r="F28" s="3"/>
      <c r="G28" s="338"/>
      <c r="I28" s="215" t="s">
        <v>747</v>
      </c>
    </row>
    <row r="29" spans="3:9" ht="38.5" customHeight="1" x14ac:dyDescent="0.35">
      <c r="C29" s="214"/>
      <c r="E29" s="212" t="s">
        <v>723</v>
      </c>
      <c r="F29" s="3"/>
      <c r="G29" s="338"/>
      <c r="I29" s="215" t="s">
        <v>748</v>
      </c>
    </row>
    <row r="30" spans="3:9" ht="38.5" customHeight="1" x14ac:dyDescent="0.35">
      <c r="C30" s="214"/>
      <c r="E30" s="212" t="s">
        <v>724</v>
      </c>
      <c r="F30" s="3"/>
      <c r="G30" s="338" t="s">
        <v>117</v>
      </c>
      <c r="I30" s="215" t="s">
        <v>749</v>
      </c>
    </row>
    <row r="31" spans="3:9" ht="52" x14ac:dyDescent="0.35">
      <c r="C31" s="83" t="s">
        <v>710</v>
      </c>
      <c r="E31" s="211" t="s">
        <v>762</v>
      </c>
      <c r="F31" s="3"/>
      <c r="G31" s="338"/>
      <c r="I31" s="215" t="s">
        <v>750</v>
      </c>
    </row>
    <row r="32" spans="3:9" ht="52" x14ac:dyDescent="0.35">
      <c r="C32" s="214"/>
      <c r="E32" s="212" t="s">
        <v>730</v>
      </c>
      <c r="F32" s="3"/>
      <c r="G32" s="83" t="s">
        <v>710</v>
      </c>
      <c r="I32" s="211" t="s">
        <v>982</v>
      </c>
    </row>
    <row r="33" spans="3:9" ht="38.5" customHeight="1" x14ac:dyDescent="0.35">
      <c r="C33" s="214" t="s">
        <v>117</v>
      </c>
      <c r="E33" s="212" t="s">
        <v>725</v>
      </c>
      <c r="F33" s="3"/>
      <c r="G33" s="339"/>
      <c r="I33" s="216" t="s">
        <v>751</v>
      </c>
    </row>
    <row r="34" spans="3:9" ht="38.5" customHeight="1" x14ac:dyDescent="0.35">
      <c r="C34" s="214" t="s">
        <v>117</v>
      </c>
      <c r="E34" s="212" t="s">
        <v>726</v>
      </c>
      <c r="F34" s="3"/>
      <c r="G34" s="339" t="s">
        <v>117</v>
      </c>
      <c r="I34" s="216" t="s">
        <v>752</v>
      </c>
    </row>
    <row r="35" spans="3:9" ht="38.5" customHeight="1" x14ac:dyDescent="0.35">
      <c r="C35" s="214"/>
      <c r="E35" s="212" t="s">
        <v>727</v>
      </c>
      <c r="F35" s="3"/>
      <c r="G35" s="339"/>
      <c r="I35" s="216" t="s">
        <v>753</v>
      </c>
    </row>
    <row r="36" spans="3:9" ht="38.5" customHeight="1" x14ac:dyDescent="0.35">
      <c r="C36" s="214"/>
      <c r="E36" s="212" t="s">
        <v>728</v>
      </c>
      <c r="F36" s="3"/>
      <c r="G36" s="339"/>
      <c r="I36" s="216" t="s">
        <v>754</v>
      </c>
    </row>
    <row r="37" spans="3:9" ht="38.5" customHeight="1" x14ac:dyDescent="0.35">
      <c r="C37" s="214"/>
      <c r="E37" s="212" t="s">
        <v>729</v>
      </c>
      <c r="G37" s="339"/>
      <c r="I37" s="216" t="s">
        <v>755</v>
      </c>
    </row>
    <row r="38" spans="3:9" ht="38.5" customHeight="1" x14ac:dyDescent="0.35">
      <c r="G38" s="339"/>
      <c r="I38" s="216" t="s">
        <v>756</v>
      </c>
    </row>
    <row r="39" spans="3:9" ht="38.5" customHeight="1" x14ac:dyDescent="0.35">
      <c r="G39" s="339"/>
      <c r="I39" s="216" t="s">
        <v>757</v>
      </c>
    </row>
    <row r="40" spans="3:9" ht="38.5" customHeight="1" x14ac:dyDescent="0.35"/>
    <row r="41" spans="3:9" ht="38.5" customHeight="1" x14ac:dyDescent="0.35"/>
    <row r="42" spans="3:9" ht="38.5" customHeight="1" x14ac:dyDescent="0.35"/>
    <row r="43" spans="3:9" ht="38.5" customHeight="1" x14ac:dyDescent="0.35"/>
    <row r="44" spans="3:9" ht="38.5" customHeight="1" x14ac:dyDescent="0.35"/>
    <row r="45" spans="3:9" ht="38.5" customHeight="1" x14ac:dyDescent="0.35"/>
    <row r="46" spans="3:9" ht="38.5" customHeight="1" x14ac:dyDescent="0.35"/>
    <row r="47" spans="3:9" ht="38.5" customHeight="1" x14ac:dyDescent="0.35"/>
    <row r="48" spans="3:9" ht="38.5" customHeight="1" x14ac:dyDescent="0.35"/>
    <row r="49" ht="38.5" customHeight="1" x14ac:dyDescent="0.35"/>
    <row r="50" ht="38.5" customHeight="1" x14ac:dyDescent="0.35"/>
    <row r="51" ht="38.5" customHeight="1" x14ac:dyDescent="0.35"/>
    <row r="52" ht="38.5" customHeight="1" x14ac:dyDescent="0.35"/>
    <row r="53" ht="38.5" customHeight="1" x14ac:dyDescent="0.35"/>
    <row r="54" ht="38.5" customHeight="1" x14ac:dyDescent="0.35"/>
    <row r="55" ht="38.5" customHeight="1" x14ac:dyDescent="0.35"/>
    <row r="56" ht="38.5" customHeight="1" x14ac:dyDescent="0.35"/>
    <row r="57" ht="38.5" customHeight="1" x14ac:dyDescent="0.35"/>
    <row r="58" ht="38.5" customHeight="1" x14ac:dyDescent="0.35"/>
    <row r="59" ht="38.5" customHeight="1" x14ac:dyDescent="0.35"/>
    <row r="60" ht="38.5" customHeight="1" x14ac:dyDescent="0.35"/>
    <row r="61" ht="38.5" customHeight="1" x14ac:dyDescent="0.35"/>
    <row r="62" ht="38.5" customHeight="1" x14ac:dyDescent="0.35"/>
    <row r="63" ht="38.5" customHeight="1" x14ac:dyDescent="0.35"/>
    <row r="64" ht="38.5" customHeight="1" x14ac:dyDescent="0.35"/>
    <row r="65" ht="38.5" customHeight="1" x14ac:dyDescent="0.35"/>
    <row r="66" ht="38.5" customHeight="1" x14ac:dyDescent="0.35"/>
    <row r="67" ht="38.5" customHeight="1" x14ac:dyDescent="0.35"/>
    <row r="68" ht="38.5" customHeight="1" x14ac:dyDescent="0.35"/>
    <row r="69" ht="38.5" customHeight="1" x14ac:dyDescent="0.35"/>
    <row r="70" ht="38.5" customHeight="1" x14ac:dyDescent="0.35"/>
    <row r="71" ht="38.5" customHeight="1" x14ac:dyDescent="0.35"/>
    <row r="72" ht="38.5" customHeight="1" x14ac:dyDescent="0.35"/>
    <row r="73" ht="38.5" customHeight="1" x14ac:dyDescent="0.35"/>
    <row r="74" ht="38.5" customHeight="1" x14ac:dyDescent="0.35"/>
    <row r="75" ht="38.5" customHeight="1" x14ac:dyDescent="0.35"/>
    <row r="76" ht="38.5" customHeight="1" x14ac:dyDescent="0.35"/>
    <row r="77" ht="38.5" customHeight="1" x14ac:dyDescent="0.35"/>
    <row r="78" ht="38.5" customHeight="1" x14ac:dyDescent="0.35"/>
    <row r="79" ht="38.5" customHeight="1" x14ac:dyDescent="0.35"/>
    <row r="80" ht="38.5" customHeight="1" x14ac:dyDescent="0.35"/>
    <row r="81" ht="38.5" customHeight="1" x14ac:dyDescent="0.35"/>
    <row r="82" ht="38.5" customHeight="1" x14ac:dyDescent="0.35"/>
    <row r="83" ht="38.5" customHeight="1" x14ac:dyDescent="0.35"/>
    <row r="84" ht="38.5" customHeight="1" x14ac:dyDescent="0.35"/>
    <row r="85" ht="38.5" customHeight="1" x14ac:dyDescent="0.35"/>
    <row r="86" ht="38.5" customHeight="1" x14ac:dyDescent="0.35"/>
    <row r="87" ht="38.5" customHeight="1" x14ac:dyDescent="0.35"/>
    <row r="88" ht="38.5" customHeight="1" x14ac:dyDescent="0.35"/>
    <row r="89" ht="38.5" customHeight="1" x14ac:dyDescent="0.35"/>
    <row r="90" ht="38.5" customHeight="1" x14ac:dyDescent="0.35"/>
    <row r="91" ht="38.5" customHeight="1" x14ac:dyDescent="0.35"/>
    <row r="92" ht="38.5" customHeight="1" x14ac:dyDescent="0.35"/>
    <row r="93" ht="38.5" customHeight="1" x14ac:dyDescent="0.35"/>
    <row r="94" ht="38.5" customHeight="1" x14ac:dyDescent="0.35"/>
    <row r="95" ht="38.5" customHeight="1" x14ac:dyDescent="0.35"/>
    <row r="96" ht="38.5" customHeight="1" x14ac:dyDescent="0.35"/>
    <row r="97" ht="38.5" customHeight="1" x14ac:dyDescent="0.35"/>
    <row r="98" ht="38.5" customHeight="1" x14ac:dyDescent="0.35"/>
    <row r="99" ht="38.5" customHeight="1" x14ac:dyDescent="0.35"/>
    <row r="100" ht="38.5" customHeight="1" x14ac:dyDescent="0.35"/>
    <row r="101" ht="38.5" customHeight="1" x14ac:dyDescent="0.35"/>
    <row r="102" ht="38.5" customHeight="1" x14ac:dyDescent="0.35"/>
    <row r="103" ht="38.5" customHeight="1" x14ac:dyDescent="0.35"/>
    <row r="104" ht="38.5" customHeight="1" x14ac:dyDescent="0.35"/>
    <row r="105" ht="38.5" customHeight="1" x14ac:dyDescent="0.35"/>
    <row r="106" ht="38.5" customHeight="1" x14ac:dyDescent="0.35"/>
    <row r="107" ht="38.5" customHeight="1" x14ac:dyDescent="0.35"/>
    <row r="108" ht="38.5" customHeight="1" x14ac:dyDescent="0.35"/>
    <row r="109" ht="38.5" customHeight="1" x14ac:dyDescent="0.35"/>
    <row r="110" ht="38.5" customHeight="1" x14ac:dyDescent="0.35"/>
    <row r="111" ht="38.5" customHeight="1" x14ac:dyDescent="0.35"/>
    <row r="112" ht="38.5" customHeight="1" x14ac:dyDescent="0.35"/>
    <row r="113" ht="38.5" customHeight="1" x14ac:dyDescent="0.35"/>
    <row r="114" ht="38.5" customHeight="1" x14ac:dyDescent="0.35"/>
    <row r="115" ht="38.5" customHeight="1" x14ac:dyDescent="0.35"/>
    <row r="116" ht="38.5" customHeight="1" x14ac:dyDescent="0.35"/>
    <row r="117" ht="38.5" customHeight="1" x14ac:dyDescent="0.35"/>
    <row r="118" ht="38.5" customHeight="1" x14ac:dyDescent="0.35"/>
    <row r="119" ht="38.5" customHeight="1" x14ac:dyDescent="0.35"/>
    <row r="120" ht="38.5" customHeight="1" x14ac:dyDescent="0.35"/>
    <row r="121" ht="38.5" customHeight="1" x14ac:dyDescent="0.35"/>
    <row r="122" ht="38.5" customHeight="1" x14ac:dyDescent="0.35"/>
    <row r="123" ht="38.5" customHeight="1" x14ac:dyDescent="0.35"/>
    <row r="124" ht="38.5" customHeight="1" x14ac:dyDescent="0.35"/>
    <row r="125" ht="38.5" customHeight="1" x14ac:dyDescent="0.35"/>
    <row r="126" ht="38.5" customHeight="1" x14ac:dyDescent="0.35"/>
    <row r="127" ht="38.5" customHeight="1" x14ac:dyDescent="0.35"/>
    <row r="128" ht="38.5" customHeight="1" x14ac:dyDescent="0.35"/>
    <row r="129" ht="38.5" customHeight="1" x14ac:dyDescent="0.35"/>
    <row r="130" ht="38.5" customHeight="1" x14ac:dyDescent="0.35"/>
    <row r="131" ht="38.5" customHeight="1" x14ac:dyDescent="0.35"/>
    <row r="132" ht="38.5" customHeight="1" x14ac:dyDescent="0.35"/>
    <row r="133" ht="38.5" customHeight="1" x14ac:dyDescent="0.35"/>
    <row r="134" ht="38.5" customHeight="1" x14ac:dyDescent="0.35"/>
    <row r="135" ht="38.5" customHeight="1" x14ac:dyDescent="0.35"/>
    <row r="136" ht="38.5" customHeight="1" x14ac:dyDescent="0.35"/>
    <row r="137" ht="38.5" customHeight="1" x14ac:dyDescent="0.35"/>
    <row r="138" ht="38.5" customHeight="1" x14ac:dyDescent="0.35"/>
    <row r="139" ht="38.5" customHeight="1" x14ac:dyDescent="0.35"/>
    <row r="140" ht="38.5" customHeight="1" x14ac:dyDescent="0.35"/>
    <row r="141" ht="38.5" customHeight="1" x14ac:dyDescent="0.35"/>
    <row r="142" ht="38.5" customHeight="1" x14ac:dyDescent="0.35"/>
    <row r="143" ht="38.5" customHeight="1" x14ac:dyDescent="0.35"/>
    <row r="144" ht="38.5" customHeight="1" x14ac:dyDescent="0.35"/>
    <row r="145" ht="38.5" customHeight="1" x14ac:dyDescent="0.35"/>
    <row r="146" ht="38.5" customHeight="1" x14ac:dyDescent="0.35"/>
    <row r="147" ht="38.5" customHeight="1" x14ac:dyDescent="0.35"/>
    <row r="148" ht="38.5" customHeight="1" x14ac:dyDescent="0.35"/>
    <row r="149" ht="38.5" customHeight="1" x14ac:dyDescent="0.35"/>
    <row r="150" ht="38.5" customHeight="1" x14ac:dyDescent="0.35"/>
    <row r="151" ht="38.5" customHeight="1" x14ac:dyDescent="0.35"/>
    <row r="152" ht="38.5" customHeight="1" x14ac:dyDescent="0.35"/>
    <row r="153" ht="38.5" customHeight="1" x14ac:dyDescent="0.35"/>
    <row r="154" ht="38.5" customHeight="1" x14ac:dyDescent="0.35"/>
    <row r="155" ht="38.5" customHeight="1" x14ac:dyDescent="0.35"/>
    <row r="156" ht="38.5" customHeight="1" x14ac:dyDescent="0.35"/>
    <row r="157" ht="38.5" customHeight="1" x14ac:dyDescent="0.35"/>
    <row r="158" ht="38.5" customHeight="1" x14ac:dyDescent="0.35"/>
    <row r="159" ht="38.5" customHeight="1" x14ac:dyDescent="0.35"/>
    <row r="160" ht="38.5" customHeight="1" x14ac:dyDescent="0.35"/>
    <row r="161" ht="38.5" customHeight="1" x14ac:dyDescent="0.35"/>
    <row r="162" ht="38.5" customHeight="1" x14ac:dyDescent="0.35"/>
    <row r="163" ht="38.5" customHeight="1" x14ac:dyDescent="0.35"/>
    <row r="164" ht="38.5" customHeight="1" x14ac:dyDescent="0.35"/>
    <row r="165" ht="38.5" customHeight="1" x14ac:dyDescent="0.35"/>
    <row r="166" ht="38.5" customHeight="1" x14ac:dyDescent="0.35"/>
    <row r="167" ht="38.5" customHeight="1" x14ac:dyDescent="0.35"/>
    <row r="168" ht="38.5" customHeight="1" x14ac:dyDescent="0.35"/>
    <row r="169" ht="38.5" customHeight="1" x14ac:dyDescent="0.35"/>
    <row r="170" ht="38.5" customHeight="1" x14ac:dyDescent="0.35"/>
    <row r="171" ht="38.5" customHeight="1" x14ac:dyDescent="0.35"/>
    <row r="172" ht="38.5" customHeight="1" x14ac:dyDescent="0.35"/>
    <row r="173" ht="38.5" customHeight="1" x14ac:dyDescent="0.35"/>
    <row r="174" ht="38.5" customHeight="1" x14ac:dyDescent="0.35"/>
    <row r="175" ht="38.5" customHeight="1" x14ac:dyDescent="0.35"/>
    <row r="176" ht="38.5" customHeight="1" x14ac:dyDescent="0.35"/>
    <row r="177" ht="38.5" customHeight="1" x14ac:dyDescent="0.35"/>
    <row r="178" ht="38.5" customHeight="1" x14ac:dyDescent="0.35"/>
    <row r="179" ht="38.5" customHeight="1" x14ac:dyDescent="0.35"/>
    <row r="180" ht="38.5" customHeight="1" x14ac:dyDescent="0.35"/>
    <row r="181" ht="38.5" customHeight="1" x14ac:dyDescent="0.35"/>
    <row r="182" ht="38.5" customHeight="1" x14ac:dyDescent="0.35"/>
    <row r="183" ht="38.5" customHeight="1" x14ac:dyDescent="0.35"/>
    <row r="184" ht="38.5" customHeight="1" x14ac:dyDescent="0.35"/>
    <row r="185" ht="38.5" customHeight="1" x14ac:dyDescent="0.35"/>
    <row r="186" ht="38.5" customHeight="1" x14ac:dyDescent="0.35"/>
    <row r="187" ht="38.5" customHeight="1" x14ac:dyDescent="0.35"/>
    <row r="188" ht="38.5" customHeight="1" x14ac:dyDescent="0.35"/>
    <row r="189" ht="38.5" customHeight="1" x14ac:dyDescent="0.35"/>
    <row r="190" ht="38.5" customHeight="1" x14ac:dyDescent="0.35"/>
    <row r="191" ht="38.5" customHeight="1" x14ac:dyDescent="0.35"/>
    <row r="192" ht="38.5" customHeight="1" x14ac:dyDescent="0.35"/>
    <row r="193" ht="38.5" customHeight="1" x14ac:dyDescent="0.35"/>
    <row r="194" ht="38.5" customHeight="1" x14ac:dyDescent="0.35"/>
    <row r="195" ht="38.5" customHeight="1" x14ac:dyDescent="0.35"/>
    <row r="196" ht="38.5" customHeight="1" x14ac:dyDescent="0.35"/>
    <row r="197" ht="38.5" customHeight="1" x14ac:dyDescent="0.35"/>
    <row r="198" ht="38.5" customHeight="1" x14ac:dyDescent="0.35"/>
    <row r="199" ht="38.5" customHeight="1" x14ac:dyDescent="0.35"/>
    <row r="200" ht="38.5" customHeight="1" x14ac:dyDescent="0.35"/>
    <row r="201" ht="38.5" customHeight="1" x14ac:dyDescent="0.35"/>
  </sheetData>
  <mergeCells count="3">
    <mergeCell ref="E2:I2"/>
    <mergeCell ref="C4:E4"/>
    <mergeCell ref="G4:I4"/>
  </mergeCells>
  <hyperlinks>
    <hyperlink ref="C2" location="PAINEL!A1" display="&lt;&lt; VOLTAR AO PAINEL DE CONTROLE" xr:uid="{48D00CD1-8B35-42DA-AD16-15B648924BCB}"/>
  </hyperlinks>
  <pageMargins left="0.511811024" right="0.511811024" top="0.78740157499999996" bottom="0.78740157499999996" header="0.31496062000000002" footer="0.31496062000000002"/>
  <pageSetup paperSize="9" orientation="portrait"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F9F2F-E5DB-4047-8E96-0DAB08312426}">
  <sheetPr>
    <tabColor theme="0" tint="-4.9989318521683403E-2"/>
  </sheetPr>
  <dimension ref="B1:V15"/>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sheetView>
  </sheetViews>
  <sheetFormatPr defaultColWidth="14.453125" defaultRowHeight="15.75" customHeight="1" x14ac:dyDescent="0.35"/>
  <cols>
    <col min="1" max="1" width="4.26953125" style="3" customWidth="1"/>
    <col min="2" max="2" width="2.54296875" customWidth="1"/>
    <col min="3" max="3" width="30.1796875" style="15" customWidth="1"/>
    <col min="4" max="4" width="11.453125" style="15" customWidth="1"/>
    <col min="5" max="5" width="1" style="15" customWidth="1"/>
    <col min="6" max="6" width="95.54296875" customWidth="1"/>
    <col min="7" max="7" width="1.81640625" customWidth="1"/>
    <col min="8" max="8" width="16.26953125" style="15" bestFit="1" customWidth="1"/>
    <col min="9" max="9" width="1.81640625" customWidth="1"/>
    <col min="10" max="10" width="0.81640625" style="3" customWidth="1"/>
    <col min="11" max="11" width="10.81640625" style="15" customWidth="1"/>
    <col min="12" max="12" width="1" style="15" customWidth="1"/>
    <col min="13" max="13" width="95.54296875" style="3" customWidth="1"/>
    <col min="14" max="14" width="2.1796875" style="3" customWidth="1"/>
    <col min="15" max="15" width="1.453125" style="3" hidden="1" customWidth="1"/>
    <col min="16" max="16" width="18.1796875" style="15" customWidth="1"/>
    <col min="17" max="17" width="1.54296875" style="3" customWidth="1"/>
    <col min="18" max="18" width="46.81640625" style="3" customWidth="1"/>
    <col min="19" max="19" width="14.81640625" style="3" customWidth="1"/>
    <col min="20" max="20" width="1.81640625" style="3" customWidth="1"/>
    <col min="21" max="21" width="46.81640625" style="3" customWidth="1"/>
    <col min="22" max="22" width="14.81640625" style="3" customWidth="1"/>
    <col min="23" max="16384" width="14.453125" style="3"/>
  </cols>
  <sheetData>
    <row r="1" spans="2:22" ht="14.5" customHeight="1" x14ac:dyDescent="0.35"/>
    <row r="2" spans="2:22" customFormat="1" ht="59.15" customHeight="1" x14ac:dyDescent="0.35">
      <c r="C2" s="164" t="s">
        <v>147</v>
      </c>
      <c r="D2" s="408" t="s">
        <v>438</v>
      </c>
      <c r="E2" s="409"/>
      <c r="F2" s="409"/>
      <c r="G2" s="409"/>
      <c r="H2" s="409"/>
      <c r="I2" s="409"/>
      <c r="J2" s="409"/>
      <c r="K2" s="409"/>
      <c r="L2" s="427"/>
      <c r="M2" s="425" t="s">
        <v>407</v>
      </c>
      <c r="N2" s="426"/>
      <c r="O2" s="158"/>
      <c r="P2" s="165">
        <f>AVERAGE(H6:H15,P6:P15)</f>
        <v>5.2</v>
      </c>
    </row>
    <row r="4" spans="2:22" s="112" customFormat="1" ht="52" x14ac:dyDescent="0.8">
      <c r="B4" s="111"/>
      <c r="C4" s="217"/>
      <c r="D4" s="163" t="s">
        <v>55</v>
      </c>
      <c r="E4" s="15"/>
      <c r="F4" s="100" t="s">
        <v>406</v>
      </c>
      <c r="G4" s="111"/>
      <c r="H4" s="106" t="s">
        <v>7</v>
      </c>
      <c r="I4" s="111"/>
      <c r="K4" s="163" t="s">
        <v>55</v>
      </c>
      <c r="L4" s="15"/>
      <c r="M4" s="100" t="s">
        <v>406</v>
      </c>
      <c r="P4" s="106" t="s">
        <v>7</v>
      </c>
      <c r="Q4" s="3"/>
      <c r="R4" s="3"/>
      <c r="S4" s="3"/>
      <c r="T4" s="3"/>
      <c r="U4" s="3"/>
      <c r="V4" s="3"/>
    </row>
    <row r="5" spans="2:22" ht="6.75" customHeight="1" x14ac:dyDescent="0.35">
      <c r="C5" s="177"/>
      <c r="M5"/>
    </row>
    <row r="6" spans="2:22" ht="40" customHeight="1" x14ac:dyDescent="0.35">
      <c r="C6" s="177"/>
      <c r="D6" s="167">
        <v>1</v>
      </c>
      <c r="F6" s="202" t="s">
        <v>418</v>
      </c>
      <c r="H6" s="218">
        <v>6</v>
      </c>
      <c r="K6" s="167">
        <v>11</v>
      </c>
      <c r="M6" s="202" t="s">
        <v>428</v>
      </c>
      <c r="P6" s="218">
        <v>3</v>
      </c>
    </row>
    <row r="7" spans="2:22" ht="40" customHeight="1" x14ac:dyDescent="0.35">
      <c r="C7" s="177"/>
      <c r="D7" s="167">
        <v>2</v>
      </c>
      <c r="F7" s="202" t="s">
        <v>423</v>
      </c>
      <c r="H7" s="218">
        <v>4</v>
      </c>
      <c r="K7" s="167">
        <v>12</v>
      </c>
      <c r="M7" s="202" t="s">
        <v>429</v>
      </c>
      <c r="P7" s="218">
        <v>8</v>
      </c>
    </row>
    <row r="8" spans="2:22" ht="40" customHeight="1" x14ac:dyDescent="0.35">
      <c r="C8" s="177"/>
      <c r="D8" s="167">
        <v>3</v>
      </c>
      <c r="F8" s="202" t="s">
        <v>419</v>
      </c>
      <c r="H8" s="218">
        <v>9</v>
      </c>
      <c r="K8" s="167">
        <v>13</v>
      </c>
      <c r="M8" s="202" t="s">
        <v>430</v>
      </c>
      <c r="P8" s="218">
        <v>2</v>
      </c>
    </row>
    <row r="9" spans="2:22" ht="40" customHeight="1" x14ac:dyDescent="0.35">
      <c r="C9" s="177"/>
      <c r="D9" s="167">
        <v>4</v>
      </c>
      <c r="F9" s="202" t="s">
        <v>420</v>
      </c>
      <c r="H9" s="218">
        <v>10</v>
      </c>
      <c r="K9" s="167">
        <v>14</v>
      </c>
      <c r="M9" s="202" t="s">
        <v>431</v>
      </c>
      <c r="P9" s="218">
        <v>5</v>
      </c>
    </row>
    <row r="10" spans="2:22" ht="40" customHeight="1" x14ac:dyDescent="0.35">
      <c r="C10" s="177"/>
      <c r="D10" s="167">
        <v>5</v>
      </c>
      <c r="F10" s="202" t="s">
        <v>421</v>
      </c>
      <c r="H10" s="218">
        <v>5</v>
      </c>
      <c r="K10" s="167">
        <v>15</v>
      </c>
      <c r="M10" s="202" t="s">
        <v>432</v>
      </c>
      <c r="P10" s="218">
        <v>7</v>
      </c>
    </row>
    <row r="11" spans="2:22" ht="40" customHeight="1" x14ac:dyDescent="0.35">
      <c r="C11" s="177"/>
      <c r="D11" s="167">
        <v>6</v>
      </c>
      <c r="F11" s="202" t="s">
        <v>422</v>
      </c>
      <c r="G11" s="3"/>
      <c r="H11" s="218">
        <v>6</v>
      </c>
      <c r="K11" s="167">
        <v>16</v>
      </c>
      <c r="M11" s="202" t="s">
        <v>433</v>
      </c>
      <c r="P11" s="218">
        <v>8</v>
      </c>
    </row>
    <row r="12" spans="2:22" ht="40" customHeight="1" x14ac:dyDescent="0.35">
      <c r="C12" s="177"/>
      <c r="D12" s="167">
        <v>7</v>
      </c>
      <c r="F12" s="202" t="s">
        <v>424</v>
      </c>
      <c r="G12" s="3"/>
      <c r="H12" s="218">
        <v>7</v>
      </c>
      <c r="K12" s="167">
        <v>17</v>
      </c>
      <c r="M12" s="202" t="s">
        <v>434</v>
      </c>
      <c r="P12" s="218">
        <v>0</v>
      </c>
    </row>
    <row r="13" spans="2:22" ht="40" customHeight="1" x14ac:dyDescent="0.35">
      <c r="C13" s="177"/>
      <c r="D13" s="167">
        <v>8</v>
      </c>
      <c r="F13" s="202" t="s">
        <v>425</v>
      </c>
      <c r="G13" s="3"/>
      <c r="H13" s="218">
        <v>3</v>
      </c>
      <c r="K13" s="167">
        <v>18</v>
      </c>
      <c r="M13" s="202" t="s">
        <v>435</v>
      </c>
      <c r="P13" s="218">
        <v>7</v>
      </c>
    </row>
    <row r="14" spans="2:22" ht="40" customHeight="1" x14ac:dyDescent="0.35">
      <c r="C14" s="177"/>
      <c r="D14" s="167">
        <v>9</v>
      </c>
      <c r="F14" s="202" t="s">
        <v>426</v>
      </c>
      <c r="G14" s="3"/>
      <c r="H14" s="218">
        <v>2</v>
      </c>
      <c r="K14" s="167">
        <v>19</v>
      </c>
      <c r="M14" s="202" t="s">
        <v>436</v>
      </c>
      <c r="P14" s="218">
        <v>6</v>
      </c>
    </row>
    <row r="15" spans="2:22" ht="40" customHeight="1" x14ac:dyDescent="0.35">
      <c r="C15" s="177"/>
      <c r="D15" s="167">
        <v>10</v>
      </c>
      <c r="F15" s="202" t="s">
        <v>427</v>
      </c>
      <c r="G15" s="3"/>
      <c r="H15" s="218">
        <v>1</v>
      </c>
      <c r="K15" s="167">
        <v>20</v>
      </c>
      <c r="M15" s="202" t="s">
        <v>437</v>
      </c>
      <c r="P15" s="218">
        <v>5</v>
      </c>
    </row>
  </sheetData>
  <mergeCells count="2">
    <mergeCell ref="D2:L2"/>
    <mergeCell ref="M2:N2"/>
  </mergeCells>
  <hyperlinks>
    <hyperlink ref="C2" location="PAINEL!A1" display="&lt;&lt; VOLTAR AO PAINEL DE CONTROLE" xr:uid="{F4B5D382-83A8-4576-8188-AB6A6147F25A}"/>
  </hyperlinks>
  <pageMargins left="0.511811024" right="0.511811024" top="0.78740157499999996" bottom="0.78740157499999996" header="0.31496062000000002" footer="0.31496062000000002"/>
  <pageSetup paperSize="9" orientation="portrait"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AB64-7ACC-4AFD-9FEA-98B74FB12DAB}">
  <sheetPr>
    <tabColor theme="0" tint="-4.9989318521683403E-2"/>
  </sheetPr>
  <dimension ref="B2:C30"/>
  <sheetViews>
    <sheetView showGridLines="0" zoomScale="70" zoomScaleNormal="70" workbookViewId="0">
      <pane ySplit="4" topLeftCell="A5" activePane="bottomLeft" state="frozen"/>
      <selection activeCell="B5" sqref="B5:B9"/>
      <selection pane="bottomLeft" activeCell="B2" sqref="B2"/>
    </sheetView>
  </sheetViews>
  <sheetFormatPr defaultRowHeight="14.5" x14ac:dyDescent="0.35"/>
  <cols>
    <col min="2" max="2" width="21.7265625" customWidth="1"/>
    <col min="3" max="3" width="125.54296875" customWidth="1"/>
  </cols>
  <sheetData>
    <row r="2" spans="2:3" ht="46.5" x14ac:dyDescent="0.35">
      <c r="B2" s="97" t="s">
        <v>147</v>
      </c>
      <c r="C2" s="110" t="s">
        <v>139</v>
      </c>
    </row>
    <row r="3" spans="2:3" ht="7" customHeight="1" x14ac:dyDescent="0.35"/>
    <row r="4" spans="2:3" ht="24.65" customHeight="1" x14ac:dyDescent="0.35">
      <c r="B4" s="115" t="s">
        <v>55</v>
      </c>
      <c r="C4" s="115" t="s">
        <v>554</v>
      </c>
    </row>
    <row r="5" spans="2:3" ht="46.5" x14ac:dyDescent="0.35">
      <c r="B5" s="476" t="s">
        <v>555</v>
      </c>
      <c r="C5" s="340" t="s">
        <v>556</v>
      </c>
    </row>
    <row r="6" spans="2:3" ht="46.5" x14ac:dyDescent="0.35">
      <c r="B6" s="477"/>
      <c r="C6" s="340" t="s">
        <v>557</v>
      </c>
    </row>
    <row r="7" spans="2:3" ht="46.5" x14ac:dyDescent="0.35">
      <c r="B7" s="478"/>
      <c r="C7" s="340" t="s">
        <v>558</v>
      </c>
    </row>
    <row r="8" spans="2:3" ht="21" x14ac:dyDescent="0.35">
      <c r="B8" s="196">
        <v>1</v>
      </c>
      <c r="C8" s="195" t="s">
        <v>559</v>
      </c>
    </row>
    <row r="9" spans="2:3" ht="21" x14ac:dyDescent="0.35">
      <c r="B9" s="196">
        <v>2</v>
      </c>
      <c r="C9" s="195" t="s">
        <v>560</v>
      </c>
    </row>
    <row r="10" spans="2:3" ht="21" x14ac:dyDescent="0.35">
      <c r="B10" s="196">
        <v>3</v>
      </c>
      <c r="C10" s="195" t="s">
        <v>561</v>
      </c>
    </row>
    <row r="11" spans="2:3" ht="21" x14ac:dyDescent="0.35">
      <c r="B11" s="196">
        <v>4</v>
      </c>
      <c r="C11" s="195" t="s">
        <v>562</v>
      </c>
    </row>
    <row r="12" spans="2:3" ht="21" x14ac:dyDescent="0.35">
      <c r="B12" s="196">
        <v>5</v>
      </c>
      <c r="C12" s="195" t="s">
        <v>563</v>
      </c>
    </row>
    <row r="13" spans="2:3" ht="21" x14ac:dyDescent="0.35">
      <c r="B13" s="196">
        <v>6</v>
      </c>
      <c r="C13" s="195" t="s">
        <v>564</v>
      </c>
    </row>
    <row r="14" spans="2:3" ht="21" x14ac:dyDescent="0.35">
      <c r="B14" s="196">
        <v>7</v>
      </c>
      <c r="C14" s="195" t="s">
        <v>565</v>
      </c>
    </row>
    <row r="15" spans="2:3" ht="21" x14ac:dyDescent="0.35">
      <c r="B15" s="196">
        <v>8</v>
      </c>
      <c r="C15" s="195" t="s">
        <v>566</v>
      </c>
    </row>
    <row r="16" spans="2:3" ht="21" x14ac:dyDescent="0.35">
      <c r="B16" s="196">
        <v>9</v>
      </c>
      <c r="C16" s="195" t="s">
        <v>567</v>
      </c>
    </row>
    <row r="17" spans="2:3" ht="21" x14ac:dyDescent="0.35">
      <c r="B17" s="196">
        <v>10</v>
      </c>
      <c r="C17" s="195" t="s">
        <v>568</v>
      </c>
    </row>
    <row r="18" spans="2:3" ht="21" x14ac:dyDescent="0.35">
      <c r="B18" s="196">
        <v>11</v>
      </c>
      <c r="C18" s="195" t="s">
        <v>569</v>
      </c>
    </row>
    <row r="19" spans="2:3" ht="21" x14ac:dyDescent="0.35">
      <c r="B19" s="196">
        <v>12</v>
      </c>
      <c r="C19" s="195" t="s">
        <v>570</v>
      </c>
    </row>
    <row r="20" spans="2:3" ht="21" x14ac:dyDescent="0.35">
      <c r="B20" s="196">
        <v>13</v>
      </c>
      <c r="C20" s="195" t="s">
        <v>571</v>
      </c>
    </row>
    <row r="21" spans="2:3" ht="21" x14ac:dyDescent="0.35">
      <c r="B21" s="196">
        <v>14</v>
      </c>
      <c r="C21" s="195" t="s">
        <v>572</v>
      </c>
    </row>
    <row r="22" spans="2:3" ht="21" x14ac:dyDescent="0.35">
      <c r="B22" s="196">
        <v>15</v>
      </c>
      <c r="C22" s="195" t="s">
        <v>573</v>
      </c>
    </row>
    <row r="23" spans="2:3" ht="21" x14ac:dyDescent="0.35">
      <c r="B23" s="196">
        <v>16</v>
      </c>
      <c r="C23" s="195" t="s">
        <v>574</v>
      </c>
    </row>
    <row r="24" spans="2:3" ht="21" x14ac:dyDescent="0.35">
      <c r="B24" s="196">
        <v>17</v>
      </c>
      <c r="C24" s="195" t="s">
        <v>575</v>
      </c>
    </row>
    <row r="25" spans="2:3" ht="21" x14ac:dyDescent="0.35">
      <c r="B25" s="196">
        <v>18</v>
      </c>
      <c r="C25" s="195" t="s">
        <v>576</v>
      </c>
    </row>
    <row r="26" spans="2:3" ht="21" x14ac:dyDescent="0.35">
      <c r="B26" s="196">
        <v>19</v>
      </c>
      <c r="C26" s="195" t="s">
        <v>577</v>
      </c>
    </row>
    <row r="27" spans="2:3" ht="21" x14ac:dyDescent="0.35">
      <c r="B27" s="196">
        <v>20</v>
      </c>
      <c r="C27" s="195" t="s">
        <v>578</v>
      </c>
    </row>
    <row r="28" spans="2:3" ht="21" x14ac:dyDescent="0.35">
      <c r="B28" s="196">
        <v>21</v>
      </c>
      <c r="C28" s="195" t="s">
        <v>579</v>
      </c>
    </row>
    <row r="29" spans="2:3" ht="21" x14ac:dyDescent="0.35">
      <c r="B29" s="196">
        <v>22</v>
      </c>
      <c r="C29" s="195" t="s">
        <v>580</v>
      </c>
    </row>
    <row r="30" spans="2:3" ht="21" x14ac:dyDescent="0.35">
      <c r="B30" s="479" t="s">
        <v>287</v>
      </c>
      <c r="C30" s="480"/>
    </row>
  </sheetData>
  <mergeCells count="2">
    <mergeCell ref="B5:B7"/>
    <mergeCell ref="B30:C30"/>
  </mergeCells>
  <hyperlinks>
    <hyperlink ref="B2" location="PAINEL!A1" display="&lt;&lt; VOLTAR AO PAINEL DE CONTROLE" xr:uid="{25166648-5ED8-4499-8E5C-A7A5F6D7AEB6}"/>
  </hyperlink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B414-E224-4CFC-9249-6E734A752A47}">
  <sheetPr>
    <tabColor theme="0" tint="-4.9989318521683403E-2"/>
  </sheetPr>
  <dimension ref="A1:BJ26"/>
  <sheetViews>
    <sheetView showGridLines="0" zoomScale="55" zoomScaleNormal="55" workbookViewId="0">
      <pane ySplit="3" topLeftCell="A4" activePane="bottomLeft" state="frozen"/>
      <selection activeCell="B5" sqref="B5:B9"/>
      <selection pane="bottomLeft" activeCell="B2" sqref="B2"/>
    </sheetView>
  </sheetViews>
  <sheetFormatPr defaultRowHeight="14.5" outlineLevelCol="1" x14ac:dyDescent="0.35"/>
  <cols>
    <col min="2" max="2" width="18" customWidth="1"/>
    <col min="3" max="3" width="45.81640625" customWidth="1"/>
    <col min="4" max="4" width="21.81640625" customWidth="1"/>
    <col min="5" max="6" width="27.81640625" customWidth="1"/>
    <col min="8" max="8" width="8.7265625" customWidth="1" outlineLevel="1"/>
    <col min="9" max="9" width="28.81640625" customWidth="1" outlineLevel="1"/>
    <col min="10" max="10" width="18.54296875" customWidth="1" outlineLevel="1"/>
    <col min="11" max="58" width="12.54296875" customWidth="1" outlineLevel="1"/>
    <col min="59" max="61" width="16.453125" customWidth="1" outlineLevel="1"/>
    <col min="62" max="62" width="15.81640625" customWidth="1" outlineLevel="1"/>
  </cols>
  <sheetData>
    <row r="1" spans="1:62" x14ac:dyDescent="0.35">
      <c r="A1" s="92"/>
    </row>
    <row r="2" spans="1:62" ht="46.5" customHeight="1" x14ac:dyDescent="0.35">
      <c r="B2" s="247" t="s">
        <v>147</v>
      </c>
      <c r="C2" s="486" t="s">
        <v>141</v>
      </c>
      <c r="D2" s="487"/>
      <c r="E2" s="487"/>
      <c r="F2" s="487"/>
      <c r="H2" s="483" t="s">
        <v>893</v>
      </c>
      <c r="I2" s="484"/>
      <c r="J2" s="485"/>
      <c r="K2" s="481">
        <v>45658</v>
      </c>
      <c r="L2" s="482"/>
      <c r="M2" s="482"/>
      <c r="N2" s="482"/>
      <c r="O2" s="481">
        <f>DATE(YEAR(K2),MONTH(K2)+1,DAY(K2))</f>
        <v>45689</v>
      </c>
      <c r="P2" s="482"/>
      <c r="Q2" s="482"/>
      <c r="R2" s="482"/>
      <c r="S2" s="481">
        <f>DATE(YEAR(O2),MONTH(O2)+1,DAY(O2))</f>
        <v>45717</v>
      </c>
      <c r="T2" s="482"/>
      <c r="U2" s="482"/>
      <c r="V2" s="482"/>
      <c r="W2" s="491">
        <f>DATE(YEAR(S2),MONTH(S2)+1,DAY(S2))</f>
        <v>45748</v>
      </c>
      <c r="X2" s="492"/>
      <c r="Y2" s="492"/>
      <c r="Z2" s="492"/>
      <c r="AA2" s="481">
        <f>DATE(YEAR(W2),MONTH(W2)+1,DAY(W2))</f>
        <v>45778</v>
      </c>
      <c r="AB2" s="482"/>
      <c r="AC2" s="482"/>
      <c r="AD2" s="482"/>
      <c r="AE2" s="481">
        <f>DATE(YEAR(AA2),MONTH(AA2)+1,DAY(AA2))</f>
        <v>45809</v>
      </c>
      <c r="AF2" s="482"/>
      <c r="AG2" s="482"/>
      <c r="AH2" s="482"/>
      <c r="AI2" s="481">
        <f>DATE(YEAR(AE2),MONTH(AE2)+1,DAY(AE2))</f>
        <v>45839</v>
      </c>
      <c r="AJ2" s="482"/>
      <c r="AK2" s="482"/>
      <c r="AL2" s="482"/>
      <c r="AM2" s="481">
        <f>DATE(YEAR(AI2),MONTH(AI2)+1,DAY(AI2))</f>
        <v>45870</v>
      </c>
      <c r="AN2" s="482"/>
      <c r="AO2" s="482"/>
      <c r="AP2" s="482"/>
      <c r="AQ2" s="481">
        <f>DATE(YEAR(AM2),MONTH(AM2)+1,DAY(AM2))</f>
        <v>45901</v>
      </c>
      <c r="AR2" s="482"/>
      <c r="AS2" s="482"/>
      <c r="AT2" s="482"/>
      <c r="AU2" s="481">
        <f>DATE(YEAR(AQ2),MONTH(AQ2)+1,DAY(AQ2))</f>
        <v>45931</v>
      </c>
      <c r="AV2" s="482"/>
      <c r="AW2" s="482"/>
      <c r="AX2" s="482"/>
      <c r="AY2" s="481">
        <f>DATE(YEAR(AU2),MONTH(AU2)+1,DAY(AU2))</f>
        <v>45962</v>
      </c>
      <c r="AZ2" s="482"/>
      <c r="BA2" s="482"/>
      <c r="BB2" s="482"/>
      <c r="BC2" s="481">
        <f>DATE(YEAR(AY2),MONTH(AY2)+1,DAY(AY2))</f>
        <v>45992</v>
      </c>
      <c r="BD2" s="482"/>
      <c r="BE2" s="482"/>
      <c r="BF2" s="482"/>
      <c r="BG2" s="481" t="s">
        <v>891</v>
      </c>
      <c r="BH2" s="482"/>
      <c r="BI2" s="482"/>
      <c r="BJ2" s="482"/>
    </row>
    <row r="3" spans="1:62" ht="54" customHeight="1" x14ac:dyDescent="0.35">
      <c r="B3" s="490" t="s">
        <v>886</v>
      </c>
      <c r="C3" s="490"/>
      <c r="D3" s="248">
        <f>SUM(D6:D25)</f>
        <v>1150000</v>
      </c>
      <c r="E3" s="488"/>
      <c r="F3" s="489"/>
      <c r="H3" s="243" t="s">
        <v>55</v>
      </c>
      <c r="I3" s="249" t="s">
        <v>890</v>
      </c>
      <c r="J3" s="252" t="s">
        <v>884</v>
      </c>
      <c r="K3" s="249" t="s">
        <v>440</v>
      </c>
      <c r="L3" s="249" t="s">
        <v>889</v>
      </c>
      <c r="M3" s="249" t="s">
        <v>888</v>
      </c>
      <c r="N3" s="249" t="s">
        <v>887</v>
      </c>
      <c r="O3" s="238" t="s">
        <v>440</v>
      </c>
      <c r="P3" s="238" t="s">
        <v>889</v>
      </c>
      <c r="Q3" s="238" t="s">
        <v>888</v>
      </c>
      <c r="R3" s="238" t="s">
        <v>887</v>
      </c>
      <c r="S3" s="238" t="s">
        <v>440</v>
      </c>
      <c r="T3" s="238" t="s">
        <v>889</v>
      </c>
      <c r="U3" s="238" t="s">
        <v>888</v>
      </c>
      <c r="V3" s="238" t="s">
        <v>887</v>
      </c>
      <c r="W3" s="238" t="s">
        <v>440</v>
      </c>
      <c r="X3" s="238" t="s">
        <v>889</v>
      </c>
      <c r="Y3" s="238" t="s">
        <v>888</v>
      </c>
      <c r="Z3" s="238" t="s">
        <v>887</v>
      </c>
      <c r="AA3" s="238" t="s">
        <v>440</v>
      </c>
      <c r="AB3" s="238" t="s">
        <v>889</v>
      </c>
      <c r="AC3" s="238" t="s">
        <v>888</v>
      </c>
      <c r="AD3" s="238" t="s">
        <v>887</v>
      </c>
      <c r="AE3" s="238" t="s">
        <v>440</v>
      </c>
      <c r="AF3" s="238" t="s">
        <v>889</v>
      </c>
      <c r="AG3" s="238" t="s">
        <v>888</v>
      </c>
      <c r="AH3" s="238" t="s">
        <v>887</v>
      </c>
      <c r="AI3" s="238" t="s">
        <v>440</v>
      </c>
      <c r="AJ3" s="238" t="s">
        <v>889</v>
      </c>
      <c r="AK3" s="238" t="s">
        <v>888</v>
      </c>
      <c r="AL3" s="238" t="s">
        <v>887</v>
      </c>
      <c r="AM3" s="238" t="s">
        <v>440</v>
      </c>
      <c r="AN3" s="238" t="s">
        <v>889</v>
      </c>
      <c r="AO3" s="238" t="s">
        <v>888</v>
      </c>
      <c r="AP3" s="238" t="s">
        <v>887</v>
      </c>
      <c r="AQ3" s="238" t="s">
        <v>440</v>
      </c>
      <c r="AR3" s="238" t="s">
        <v>889</v>
      </c>
      <c r="AS3" s="238" t="s">
        <v>888</v>
      </c>
      <c r="AT3" s="238" t="s">
        <v>887</v>
      </c>
      <c r="AU3" s="238" t="s">
        <v>440</v>
      </c>
      <c r="AV3" s="238" t="s">
        <v>889</v>
      </c>
      <c r="AW3" s="238" t="s">
        <v>888</v>
      </c>
      <c r="AX3" s="238" t="s">
        <v>887</v>
      </c>
      <c r="AY3" s="238" t="s">
        <v>440</v>
      </c>
      <c r="AZ3" s="238" t="s">
        <v>889</v>
      </c>
      <c r="BA3" s="238" t="s">
        <v>888</v>
      </c>
      <c r="BB3" s="238" t="s">
        <v>887</v>
      </c>
      <c r="BC3" s="238" t="s">
        <v>440</v>
      </c>
      <c r="BD3" s="238" t="s">
        <v>889</v>
      </c>
      <c r="BE3" s="238" t="s">
        <v>888</v>
      </c>
      <c r="BF3" s="238" t="s">
        <v>887</v>
      </c>
      <c r="BG3" s="238" t="s">
        <v>440</v>
      </c>
      <c r="BH3" s="238" t="s">
        <v>889</v>
      </c>
      <c r="BI3" s="238" t="s">
        <v>888</v>
      </c>
      <c r="BJ3" s="238" t="s">
        <v>887</v>
      </c>
    </row>
    <row r="4" spans="1:62" ht="5.5" customHeight="1" x14ac:dyDescent="0.35">
      <c r="B4" s="23"/>
      <c r="C4" s="24"/>
      <c r="D4" s="24"/>
      <c r="E4" s="24"/>
      <c r="F4" s="24"/>
    </row>
    <row r="5" spans="1:62" ht="29" x14ac:dyDescent="0.35">
      <c r="B5" s="257" t="s">
        <v>55</v>
      </c>
      <c r="C5" s="258" t="s">
        <v>883</v>
      </c>
      <c r="D5" s="258" t="s">
        <v>884</v>
      </c>
      <c r="E5" s="258" t="s">
        <v>885</v>
      </c>
      <c r="F5" s="258" t="s">
        <v>894</v>
      </c>
      <c r="H5" s="259">
        <v>1</v>
      </c>
      <c r="I5" s="251" t="s">
        <v>883</v>
      </c>
      <c r="J5" s="240">
        <v>100000</v>
      </c>
      <c r="K5" s="244">
        <v>100000</v>
      </c>
      <c r="L5" s="244">
        <v>95000</v>
      </c>
      <c r="M5" s="244">
        <f t="shared" ref="M5:M11" si="0">IF(AND(K5="",L5=""),"-",L5-K5)</f>
        <v>-5000</v>
      </c>
      <c r="N5" s="245">
        <f t="shared" ref="N5:N11" si="1">IFERROR((L5/K5)-1,"-")</f>
        <v>-5.0000000000000044E-2</v>
      </c>
      <c r="O5" s="242"/>
      <c r="P5" s="242"/>
      <c r="Q5" s="242" t="str">
        <f>IF(AND(O5="",P5=""),"-",P5-O5)</f>
        <v>-</v>
      </c>
      <c r="R5" s="241" t="str">
        <f>IFERROR((P5/O5)-1,"-")</f>
        <v>-</v>
      </c>
      <c r="S5" s="242"/>
      <c r="T5" s="242"/>
      <c r="U5" s="242" t="str">
        <f>IF(AND(S5="",T5=""),"-",T5-S5)</f>
        <v>-</v>
      </c>
      <c r="V5" s="241" t="str">
        <f>IFERROR((T5/S5)-1,"-")</f>
        <v>-</v>
      </c>
      <c r="W5" s="242"/>
      <c r="X5" s="242"/>
      <c r="Y5" s="242" t="str">
        <f>IF(AND(W5="",X5=""),"-",X5-W5)</f>
        <v>-</v>
      </c>
      <c r="Z5" s="241" t="str">
        <f>IFERROR((X5/W5)-1,"-")</f>
        <v>-</v>
      </c>
      <c r="AA5" s="242"/>
      <c r="AB5" s="242"/>
      <c r="AC5" s="242" t="str">
        <f>IF(AND(AA5="",AB5=""),"-",AB5-AA5)</f>
        <v>-</v>
      </c>
      <c r="AD5" s="241" t="str">
        <f>IFERROR((AB5/AA5)-1,"-")</f>
        <v>-</v>
      </c>
      <c r="AE5" s="242"/>
      <c r="AF5" s="242"/>
      <c r="AG5" s="242" t="str">
        <f>IF(AND(AE5="",AF5=""),"-",AF5-AE5)</f>
        <v>-</v>
      </c>
      <c r="AH5" s="241" t="str">
        <f>IFERROR((AF5/AE5)-1,"-")</f>
        <v>-</v>
      </c>
      <c r="AI5" s="242"/>
      <c r="AJ5" s="242"/>
      <c r="AK5" s="242" t="str">
        <f>IF(AND(AI5="",AJ5=""),"-",AJ5-AI5)</f>
        <v>-</v>
      </c>
      <c r="AL5" s="241" t="str">
        <f>IFERROR((AJ5/AI5)-1,"-")</f>
        <v>-</v>
      </c>
      <c r="AM5" s="242"/>
      <c r="AN5" s="242"/>
      <c r="AO5" s="242" t="str">
        <f>IF(AND(AM5="",AN5=""),"-",AN5-AM5)</f>
        <v>-</v>
      </c>
      <c r="AP5" s="241" t="str">
        <f>IFERROR((AN5/AM5)-1,"-")</f>
        <v>-</v>
      </c>
      <c r="AQ5" s="242"/>
      <c r="AR5" s="242"/>
      <c r="AS5" s="242" t="str">
        <f>IF(AND(AQ5="",AR5=""),"-",AR5-AQ5)</f>
        <v>-</v>
      </c>
      <c r="AT5" s="241" t="str">
        <f>IFERROR((AR5/AQ5)-1,"-")</f>
        <v>-</v>
      </c>
      <c r="AU5" s="242"/>
      <c r="AV5" s="242"/>
      <c r="AW5" s="242" t="str">
        <f>IF(AND(AU5="",AV5=""),"-",AV5-AU5)</f>
        <v>-</v>
      </c>
      <c r="AX5" s="241" t="str">
        <f>IFERROR((AV5/AU5)-1,"-")</f>
        <v>-</v>
      </c>
      <c r="AY5" s="242"/>
      <c r="AZ5" s="242"/>
      <c r="BA5" s="242" t="str">
        <f>IF(AND(AY5="",AZ5=""),"-",AZ5-AY5)</f>
        <v>-</v>
      </c>
      <c r="BB5" s="241" t="str">
        <f>IFERROR((AZ5/AY5)-1,"-")</f>
        <v>-</v>
      </c>
      <c r="BC5" s="242"/>
      <c r="BD5" s="242"/>
      <c r="BE5" s="242" t="str">
        <f>IF(AND(BC5="",BD5=""),"-",BD5-BC5)</f>
        <v>-</v>
      </c>
      <c r="BF5" s="241" t="str">
        <f>IFERROR((BD5/BC5)-1,"-")</f>
        <v>-</v>
      </c>
      <c r="BG5" s="250">
        <f t="shared" ref="BG5:BG25" si="2">BC5+AY5+AU5+AQ5+AM5+AI5+AE5+AA5+W5+S5+O5+K5</f>
        <v>100000</v>
      </c>
      <c r="BH5" s="250">
        <f t="shared" ref="BH5:BH25" si="3">BD5+AZ5+AV5+AR5+AN5+AJ5+AF5+AB5+X5+T5+P5+L5</f>
        <v>95000</v>
      </c>
      <c r="BI5" s="250">
        <f>IF(AND(BG5="",BH5=""),"-",BH5-BG5)</f>
        <v>-5000</v>
      </c>
      <c r="BJ5" s="241">
        <f t="shared" ref="BJ5:BJ11" si="4">IFERROR((BH5/BG5)-1,"-")</f>
        <v>-5.0000000000000044E-2</v>
      </c>
    </row>
    <row r="6" spans="1:62" ht="20" x14ac:dyDescent="0.35">
      <c r="B6" s="259">
        <v>1</v>
      </c>
      <c r="C6" s="260" t="s">
        <v>883</v>
      </c>
      <c r="D6" s="261">
        <v>200000</v>
      </c>
      <c r="E6" s="262">
        <f t="shared" ref="E6:E25" si="5">D6/$D$3</f>
        <v>0.17391304347826086</v>
      </c>
      <c r="F6" s="263">
        <f>E6</f>
        <v>0.17391304347826086</v>
      </c>
      <c r="H6" s="259">
        <v>2</v>
      </c>
      <c r="I6" s="251" t="s">
        <v>883</v>
      </c>
      <c r="J6" s="240">
        <v>10000</v>
      </c>
      <c r="K6" s="244">
        <v>10000</v>
      </c>
      <c r="L6" s="244">
        <v>12000</v>
      </c>
      <c r="M6" s="246">
        <f t="shared" si="0"/>
        <v>2000</v>
      </c>
      <c r="N6" s="245">
        <f t="shared" si="1"/>
        <v>0.19999999999999996</v>
      </c>
      <c r="O6" s="242"/>
      <c r="P6" s="242"/>
      <c r="Q6" s="242" t="str">
        <f t="shared" ref="Q6:Q25" si="6">IF(AND(O6="",P6=""),"-",P6-O6)</f>
        <v>-</v>
      </c>
      <c r="R6" s="241" t="str">
        <f t="shared" ref="R6:R25" si="7">IFERROR((P6/O6)-1,"-")</f>
        <v>-</v>
      </c>
      <c r="S6" s="242"/>
      <c r="T6" s="242"/>
      <c r="U6" s="242" t="str">
        <f t="shared" ref="U6:U25" si="8">IF(AND(S6="",T6=""),"-",T6-S6)</f>
        <v>-</v>
      </c>
      <c r="V6" s="241" t="str">
        <f t="shared" ref="V6:V25" si="9">IFERROR((T6/S6)-1,"-")</f>
        <v>-</v>
      </c>
      <c r="W6" s="242"/>
      <c r="X6" s="242"/>
      <c r="Y6" s="242" t="str">
        <f t="shared" ref="Y6:Y25" si="10">IF(AND(W6="",X6=""),"-",X6-W6)</f>
        <v>-</v>
      </c>
      <c r="Z6" s="241" t="str">
        <f t="shared" ref="Z6:Z25" si="11">IFERROR((X6/W6)-1,"-")</f>
        <v>-</v>
      </c>
      <c r="AA6" s="242"/>
      <c r="AB6" s="242"/>
      <c r="AC6" s="242" t="str">
        <f t="shared" ref="AC6:AC25" si="12">IF(AND(AA6="",AB6=""),"-",AB6-AA6)</f>
        <v>-</v>
      </c>
      <c r="AD6" s="241" t="str">
        <f t="shared" ref="AD6:AD25" si="13">IFERROR((AB6/AA6)-1,"-")</f>
        <v>-</v>
      </c>
      <c r="AE6" s="242"/>
      <c r="AF6" s="242"/>
      <c r="AG6" s="242" t="str">
        <f t="shared" ref="AG6:AG25" si="14">IF(AND(AE6="",AF6=""),"-",AF6-AE6)</f>
        <v>-</v>
      </c>
      <c r="AH6" s="241" t="str">
        <f t="shared" ref="AH6:AH25" si="15">IFERROR((AF6/AE6)-1,"-")</f>
        <v>-</v>
      </c>
      <c r="AI6" s="242"/>
      <c r="AJ6" s="242"/>
      <c r="AK6" s="242" t="str">
        <f t="shared" ref="AK6:AK25" si="16">IF(AND(AI6="",AJ6=""),"-",AJ6-AI6)</f>
        <v>-</v>
      </c>
      <c r="AL6" s="241" t="str">
        <f t="shared" ref="AL6:AL25" si="17">IFERROR((AJ6/AI6)-1,"-")</f>
        <v>-</v>
      </c>
      <c r="AM6" s="242"/>
      <c r="AN6" s="242"/>
      <c r="AO6" s="242" t="str">
        <f t="shared" ref="AO6:AO25" si="18">IF(AND(AM6="",AN6=""),"-",AN6-AM6)</f>
        <v>-</v>
      </c>
      <c r="AP6" s="241" t="str">
        <f t="shared" ref="AP6:AP25" si="19">IFERROR((AN6/AM6)-1,"-")</f>
        <v>-</v>
      </c>
      <c r="AQ6" s="242"/>
      <c r="AR6" s="242"/>
      <c r="AS6" s="242" t="str">
        <f t="shared" ref="AS6:AS25" si="20">IF(AND(AQ6="",AR6=""),"-",AR6-AQ6)</f>
        <v>-</v>
      </c>
      <c r="AT6" s="241" t="str">
        <f t="shared" ref="AT6:AT25" si="21">IFERROR((AR6/AQ6)-1,"-")</f>
        <v>-</v>
      </c>
      <c r="AU6" s="242"/>
      <c r="AV6" s="242"/>
      <c r="AW6" s="242" t="str">
        <f t="shared" ref="AW6:AW25" si="22">IF(AND(AU6="",AV6=""),"-",AV6-AU6)</f>
        <v>-</v>
      </c>
      <c r="AX6" s="241" t="str">
        <f t="shared" ref="AX6:AX25" si="23">IFERROR((AV6/AU6)-1,"-")</f>
        <v>-</v>
      </c>
      <c r="AY6" s="242"/>
      <c r="AZ6" s="242"/>
      <c r="BA6" s="242" t="str">
        <f t="shared" ref="BA6:BA25" si="24">IF(AND(AY6="",AZ6=""),"-",AZ6-AY6)</f>
        <v>-</v>
      </c>
      <c r="BB6" s="241" t="str">
        <f t="shared" ref="BB6:BB25" si="25">IFERROR((AZ6/AY6)-1,"-")</f>
        <v>-</v>
      </c>
      <c r="BC6" s="242"/>
      <c r="BD6" s="242"/>
      <c r="BE6" s="242" t="str">
        <f t="shared" ref="BE6:BE25" si="26">IF(AND(BC6="",BD6=""),"-",BD6-BC6)</f>
        <v>-</v>
      </c>
      <c r="BF6" s="241" t="str">
        <f t="shared" ref="BF6:BF25" si="27">IFERROR((BD6/BC6)-1,"-")</f>
        <v>-</v>
      </c>
      <c r="BG6" s="250">
        <f t="shared" si="2"/>
        <v>10000</v>
      </c>
      <c r="BH6" s="250">
        <f t="shared" si="3"/>
        <v>12000</v>
      </c>
      <c r="BI6" s="250">
        <f t="shared" ref="BI6:BI25" si="28">IF(AND(BG6="",BH6=""),"-",BH6-BG6)</f>
        <v>2000</v>
      </c>
      <c r="BJ6" s="241">
        <f t="shared" si="4"/>
        <v>0.19999999999999996</v>
      </c>
    </row>
    <row r="7" spans="1:62" ht="20" x14ac:dyDescent="0.35">
      <c r="B7" s="259">
        <v>14</v>
      </c>
      <c r="C7" s="260" t="s">
        <v>883</v>
      </c>
      <c r="D7" s="261">
        <v>100000</v>
      </c>
      <c r="E7" s="262">
        <f t="shared" si="5"/>
        <v>8.6956521739130432E-2</v>
      </c>
      <c r="F7" s="263">
        <f t="shared" ref="F7:F25" si="29">E7+F6</f>
        <v>0.2608695652173913</v>
      </c>
      <c r="H7" s="259">
        <v>3</v>
      </c>
      <c r="I7" s="251" t="s">
        <v>883</v>
      </c>
      <c r="J7" s="240">
        <v>700</v>
      </c>
      <c r="K7" s="244">
        <v>700</v>
      </c>
      <c r="L7" s="244">
        <v>600</v>
      </c>
      <c r="M7" s="244">
        <f t="shared" si="0"/>
        <v>-100</v>
      </c>
      <c r="N7" s="245">
        <f t="shared" si="1"/>
        <v>-0.1428571428571429</v>
      </c>
      <c r="O7" s="242"/>
      <c r="P7" s="242"/>
      <c r="Q7" s="242" t="str">
        <f t="shared" si="6"/>
        <v>-</v>
      </c>
      <c r="R7" s="241" t="str">
        <f t="shared" si="7"/>
        <v>-</v>
      </c>
      <c r="S7" s="242"/>
      <c r="T7" s="242"/>
      <c r="U7" s="242" t="str">
        <f t="shared" si="8"/>
        <v>-</v>
      </c>
      <c r="V7" s="241" t="str">
        <f t="shared" si="9"/>
        <v>-</v>
      </c>
      <c r="W7" s="242"/>
      <c r="X7" s="242"/>
      <c r="Y7" s="242" t="str">
        <f t="shared" si="10"/>
        <v>-</v>
      </c>
      <c r="Z7" s="241" t="str">
        <f t="shared" si="11"/>
        <v>-</v>
      </c>
      <c r="AA7" s="242"/>
      <c r="AB7" s="242"/>
      <c r="AC7" s="242" t="str">
        <f t="shared" si="12"/>
        <v>-</v>
      </c>
      <c r="AD7" s="241" t="str">
        <f t="shared" si="13"/>
        <v>-</v>
      </c>
      <c r="AE7" s="242"/>
      <c r="AF7" s="242"/>
      <c r="AG7" s="242" t="str">
        <f t="shared" si="14"/>
        <v>-</v>
      </c>
      <c r="AH7" s="241" t="str">
        <f t="shared" si="15"/>
        <v>-</v>
      </c>
      <c r="AI7" s="242"/>
      <c r="AJ7" s="242"/>
      <c r="AK7" s="242" t="str">
        <f t="shared" si="16"/>
        <v>-</v>
      </c>
      <c r="AL7" s="241" t="str">
        <f t="shared" si="17"/>
        <v>-</v>
      </c>
      <c r="AM7" s="242"/>
      <c r="AN7" s="242"/>
      <c r="AO7" s="242" t="str">
        <f t="shared" si="18"/>
        <v>-</v>
      </c>
      <c r="AP7" s="241" t="str">
        <f t="shared" si="19"/>
        <v>-</v>
      </c>
      <c r="AQ7" s="242"/>
      <c r="AR7" s="242"/>
      <c r="AS7" s="242" t="str">
        <f t="shared" si="20"/>
        <v>-</v>
      </c>
      <c r="AT7" s="241" t="str">
        <f t="shared" si="21"/>
        <v>-</v>
      </c>
      <c r="AU7" s="242"/>
      <c r="AV7" s="242"/>
      <c r="AW7" s="242" t="str">
        <f t="shared" si="22"/>
        <v>-</v>
      </c>
      <c r="AX7" s="241" t="str">
        <f t="shared" si="23"/>
        <v>-</v>
      </c>
      <c r="AY7" s="242"/>
      <c r="AZ7" s="242"/>
      <c r="BA7" s="242" t="str">
        <f t="shared" si="24"/>
        <v>-</v>
      </c>
      <c r="BB7" s="241" t="str">
        <f t="shared" si="25"/>
        <v>-</v>
      </c>
      <c r="BC7" s="242"/>
      <c r="BD7" s="242"/>
      <c r="BE7" s="242" t="str">
        <f t="shared" si="26"/>
        <v>-</v>
      </c>
      <c r="BF7" s="241" t="str">
        <f t="shared" si="27"/>
        <v>-</v>
      </c>
      <c r="BG7" s="250">
        <f t="shared" si="2"/>
        <v>700</v>
      </c>
      <c r="BH7" s="250">
        <f t="shared" si="3"/>
        <v>600</v>
      </c>
      <c r="BI7" s="250">
        <f t="shared" si="28"/>
        <v>-100</v>
      </c>
      <c r="BJ7" s="241">
        <f t="shared" si="4"/>
        <v>-0.1428571428571429</v>
      </c>
    </row>
    <row r="8" spans="1:62" ht="20" x14ac:dyDescent="0.35">
      <c r="B8" s="259">
        <v>15</v>
      </c>
      <c r="C8" s="260" t="s">
        <v>883</v>
      </c>
      <c r="D8" s="261">
        <v>100000</v>
      </c>
      <c r="E8" s="262">
        <f t="shared" si="5"/>
        <v>8.6956521739130432E-2</v>
      </c>
      <c r="F8" s="263">
        <f t="shared" si="29"/>
        <v>0.34782608695652173</v>
      </c>
      <c r="H8" s="259">
        <v>4</v>
      </c>
      <c r="I8" s="251" t="s">
        <v>883</v>
      </c>
      <c r="J8" s="240">
        <v>600</v>
      </c>
      <c r="K8" s="244">
        <v>600</v>
      </c>
      <c r="L8" s="244">
        <v>800</v>
      </c>
      <c r="M8" s="244">
        <f t="shared" si="0"/>
        <v>200</v>
      </c>
      <c r="N8" s="245">
        <f t="shared" si="1"/>
        <v>0.33333333333333326</v>
      </c>
      <c r="O8" s="242"/>
      <c r="P8" s="242"/>
      <c r="Q8" s="242" t="str">
        <f t="shared" si="6"/>
        <v>-</v>
      </c>
      <c r="R8" s="241" t="str">
        <f t="shared" si="7"/>
        <v>-</v>
      </c>
      <c r="S8" s="242"/>
      <c r="T8" s="242"/>
      <c r="U8" s="242" t="str">
        <f t="shared" si="8"/>
        <v>-</v>
      </c>
      <c r="V8" s="241" t="str">
        <f t="shared" si="9"/>
        <v>-</v>
      </c>
      <c r="W8" s="242"/>
      <c r="X8" s="242"/>
      <c r="Y8" s="242" t="str">
        <f t="shared" si="10"/>
        <v>-</v>
      </c>
      <c r="Z8" s="241" t="str">
        <f t="shared" si="11"/>
        <v>-</v>
      </c>
      <c r="AA8" s="242"/>
      <c r="AB8" s="242"/>
      <c r="AC8" s="242" t="str">
        <f t="shared" si="12"/>
        <v>-</v>
      </c>
      <c r="AD8" s="241" t="str">
        <f t="shared" si="13"/>
        <v>-</v>
      </c>
      <c r="AE8" s="242"/>
      <c r="AF8" s="242"/>
      <c r="AG8" s="242" t="str">
        <f t="shared" si="14"/>
        <v>-</v>
      </c>
      <c r="AH8" s="241" t="str">
        <f t="shared" si="15"/>
        <v>-</v>
      </c>
      <c r="AI8" s="242"/>
      <c r="AJ8" s="242"/>
      <c r="AK8" s="242" t="str">
        <f t="shared" si="16"/>
        <v>-</v>
      </c>
      <c r="AL8" s="241" t="str">
        <f t="shared" si="17"/>
        <v>-</v>
      </c>
      <c r="AM8" s="242"/>
      <c r="AN8" s="242"/>
      <c r="AO8" s="242" t="str">
        <f t="shared" si="18"/>
        <v>-</v>
      </c>
      <c r="AP8" s="241" t="str">
        <f t="shared" si="19"/>
        <v>-</v>
      </c>
      <c r="AQ8" s="242"/>
      <c r="AR8" s="242"/>
      <c r="AS8" s="242" t="str">
        <f t="shared" si="20"/>
        <v>-</v>
      </c>
      <c r="AT8" s="241" t="str">
        <f t="shared" si="21"/>
        <v>-</v>
      </c>
      <c r="AU8" s="242"/>
      <c r="AV8" s="242"/>
      <c r="AW8" s="242" t="str">
        <f t="shared" si="22"/>
        <v>-</v>
      </c>
      <c r="AX8" s="241" t="str">
        <f t="shared" si="23"/>
        <v>-</v>
      </c>
      <c r="AY8" s="242"/>
      <c r="AZ8" s="242"/>
      <c r="BA8" s="242" t="str">
        <f t="shared" si="24"/>
        <v>-</v>
      </c>
      <c r="BB8" s="241" t="str">
        <f t="shared" si="25"/>
        <v>-</v>
      </c>
      <c r="BC8" s="242"/>
      <c r="BD8" s="242"/>
      <c r="BE8" s="242" t="str">
        <f t="shared" si="26"/>
        <v>-</v>
      </c>
      <c r="BF8" s="241" t="str">
        <f t="shared" si="27"/>
        <v>-</v>
      </c>
      <c r="BG8" s="250">
        <f t="shared" si="2"/>
        <v>600</v>
      </c>
      <c r="BH8" s="250">
        <f t="shared" si="3"/>
        <v>800</v>
      </c>
      <c r="BI8" s="250">
        <f t="shared" si="28"/>
        <v>200</v>
      </c>
      <c r="BJ8" s="241">
        <f t="shared" si="4"/>
        <v>0.33333333333333326</v>
      </c>
    </row>
    <row r="9" spans="1:62" ht="20" x14ac:dyDescent="0.35">
      <c r="B9" s="259">
        <v>16</v>
      </c>
      <c r="C9" s="260" t="s">
        <v>883</v>
      </c>
      <c r="D9" s="261">
        <v>100000</v>
      </c>
      <c r="E9" s="262">
        <f t="shared" si="5"/>
        <v>8.6956521739130432E-2</v>
      </c>
      <c r="F9" s="263">
        <f t="shared" si="29"/>
        <v>0.43478260869565216</v>
      </c>
      <c r="H9" s="259">
        <v>5</v>
      </c>
      <c r="I9" s="251" t="s">
        <v>883</v>
      </c>
      <c r="J9" s="240">
        <v>500</v>
      </c>
      <c r="K9" s="244">
        <v>500</v>
      </c>
      <c r="L9" s="244">
        <v>500</v>
      </c>
      <c r="M9" s="244">
        <f t="shared" si="0"/>
        <v>0</v>
      </c>
      <c r="N9" s="245">
        <f t="shared" si="1"/>
        <v>0</v>
      </c>
      <c r="O9" s="242"/>
      <c r="P9" s="242"/>
      <c r="Q9" s="242" t="str">
        <f t="shared" si="6"/>
        <v>-</v>
      </c>
      <c r="R9" s="241" t="str">
        <f t="shared" si="7"/>
        <v>-</v>
      </c>
      <c r="S9" s="242"/>
      <c r="T9" s="242"/>
      <c r="U9" s="242" t="str">
        <f t="shared" si="8"/>
        <v>-</v>
      </c>
      <c r="V9" s="241" t="str">
        <f t="shared" si="9"/>
        <v>-</v>
      </c>
      <c r="W9" s="242"/>
      <c r="X9" s="242"/>
      <c r="Y9" s="242" t="str">
        <f t="shared" si="10"/>
        <v>-</v>
      </c>
      <c r="Z9" s="241" t="str">
        <f t="shared" si="11"/>
        <v>-</v>
      </c>
      <c r="AA9" s="242"/>
      <c r="AB9" s="242"/>
      <c r="AC9" s="242" t="str">
        <f t="shared" si="12"/>
        <v>-</v>
      </c>
      <c r="AD9" s="241" t="str">
        <f t="shared" si="13"/>
        <v>-</v>
      </c>
      <c r="AE9" s="242"/>
      <c r="AF9" s="242"/>
      <c r="AG9" s="242" t="str">
        <f t="shared" si="14"/>
        <v>-</v>
      </c>
      <c r="AH9" s="241" t="str">
        <f t="shared" si="15"/>
        <v>-</v>
      </c>
      <c r="AI9" s="242"/>
      <c r="AJ9" s="242"/>
      <c r="AK9" s="242" t="str">
        <f t="shared" si="16"/>
        <v>-</v>
      </c>
      <c r="AL9" s="241" t="str">
        <f t="shared" si="17"/>
        <v>-</v>
      </c>
      <c r="AM9" s="242"/>
      <c r="AN9" s="242"/>
      <c r="AO9" s="242" t="str">
        <f t="shared" si="18"/>
        <v>-</v>
      </c>
      <c r="AP9" s="241" t="str">
        <f t="shared" si="19"/>
        <v>-</v>
      </c>
      <c r="AQ9" s="242"/>
      <c r="AR9" s="242"/>
      <c r="AS9" s="242" t="str">
        <f t="shared" si="20"/>
        <v>-</v>
      </c>
      <c r="AT9" s="241" t="str">
        <f t="shared" si="21"/>
        <v>-</v>
      </c>
      <c r="AU9" s="242"/>
      <c r="AV9" s="242"/>
      <c r="AW9" s="242" t="str">
        <f t="shared" si="22"/>
        <v>-</v>
      </c>
      <c r="AX9" s="241" t="str">
        <f t="shared" si="23"/>
        <v>-</v>
      </c>
      <c r="AY9" s="242"/>
      <c r="AZ9" s="242"/>
      <c r="BA9" s="242" t="str">
        <f t="shared" si="24"/>
        <v>-</v>
      </c>
      <c r="BB9" s="241" t="str">
        <f t="shared" si="25"/>
        <v>-</v>
      </c>
      <c r="BC9" s="242"/>
      <c r="BD9" s="242"/>
      <c r="BE9" s="242" t="str">
        <f t="shared" si="26"/>
        <v>-</v>
      </c>
      <c r="BF9" s="241" t="str">
        <f t="shared" si="27"/>
        <v>-</v>
      </c>
      <c r="BG9" s="250">
        <f t="shared" si="2"/>
        <v>500</v>
      </c>
      <c r="BH9" s="250">
        <f t="shared" si="3"/>
        <v>500</v>
      </c>
      <c r="BI9" s="250">
        <f t="shared" si="28"/>
        <v>0</v>
      </c>
      <c r="BJ9" s="241">
        <f t="shared" si="4"/>
        <v>0</v>
      </c>
    </row>
    <row r="10" spans="1:62" ht="20" x14ac:dyDescent="0.35">
      <c r="B10" s="259">
        <v>17</v>
      </c>
      <c r="C10" s="260" t="s">
        <v>883</v>
      </c>
      <c r="D10" s="261">
        <v>100000</v>
      </c>
      <c r="E10" s="262">
        <f t="shared" si="5"/>
        <v>8.6956521739130432E-2</v>
      </c>
      <c r="F10" s="263">
        <f t="shared" si="29"/>
        <v>0.52173913043478259</v>
      </c>
      <c r="H10" s="259">
        <v>6</v>
      </c>
      <c r="I10" s="251" t="s">
        <v>883</v>
      </c>
      <c r="J10" s="240">
        <v>300</v>
      </c>
      <c r="K10" s="244">
        <v>300</v>
      </c>
      <c r="L10" s="244">
        <v>350</v>
      </c>
      <c r="M10" s="244">
        <f t="shared" si="0"/>
        <v>50</v>
      </c>
      <c r="N10" s="245">
        <f t="shared" si="1"/>
        <v>0.16666666666666674</v>
      </c>
      <c r="O10" s="242"/>
      <c r="P10" s="242"/>
      <c r="Q10" s="242" t="str">
        <f t="shared" si="6"/>
        <v>-</v>
      </c>
      <c r="R10" s="241" t="str">
        <f t="shared" si="7"/>
        <v>-</v>
      </c>
      <c r="S10" s="242"/>
      <c r="T10" s="242"/>
      <c r="U10" s="242" t="str">
        <f t="shared" si="8"/>
        <v>-</v>
      </c>
      <c r="V10" s="241" t="str">
        <f t="shared" si="9"/>
        <v>-</v>
      </c>
      <c r="W10" s="242"/>
      <c r="X10" s="242"/>
      <c r="Y10" s="242" t="str">
        <f t="shared" si="10"/>
        <v>-</v>
      </c>
      <c r="Z10" s="241" t="str">
        <f t="shared" si="11"/>
        <v>-</v>
      </c>
      <c r="AA10" s="242"/>
      <c r="AB10" s="242"/>
      <c r="AC10" s="242" t="str">
        <f t="shared" si="12"/>
        <v>-</v>
      </c>
      <c r="AD10" s="241" t="str">
        <f t="shared" si="13"/>
        <v>-</v>
      </c>
      <c r="AE10" s="242"/>
      <c r="AF10" s="242"/>
      <c r="AG10" s="242" t="str">
        <f t="shared" si="14"/>
        <v>-</v>
      </c>
      <c r="AH10" s="241" t="str">
        <f t="shared" si="15"/>
        <v>-</v>
      </c>
      <c r="AI10" s="242"/>
      <c r="AJ10" s="242"/>
      <c r="AK10" s="242" t="str">
        <f t="shared" si="16"/>
        <v>-</v>
      </c>
      <c r="AL10" s="241" t="str">
        <f t="shared" si="17"/>
        <v>-</v>
      </c>
      <c r="AM10" s="242"/>
      <c r="AN10" s="242"/>
      <c r="AO10" s="242" t="str">
        <f t="shared" si="18"/>
        <v>-</v>
      </c>
      <c r="AP10" s="241" t="str">
        <f t="shared" si="19"/>
        <v>-</v>
      </c>
      <c r="AQ10" s="242"/>
      <c r="AR10" s="242"/>
      <c r="AS10" s="242" t="str">
        <f t="shared" si="20"/>
        <v>-</v>
      </c>
      <c r="AT10" s="241" t="str">
        <f t="shared" si="21"/>
        <v>-</v>
      </c>
      <c r="AU10" s="242"/>
      <c r="AV10" s="242"/>
      <c r="AW10" s="242" t="str">
        <f t="shared" si="22"/>
        <v>-</v>
      </c>
      <c r="AX10" s="241" t="str">
        <f t="shared" si="23"/>
        <v>-</v>
      </c>
      <c r="AY10" s="242"/>
      <c r="AZ10" s="242"/>
      <c r="BA10" s="242" t="str">
        <f t="shared" si="24"/>
        <v>-</v>
      </c>
      <c r="BB10" s="241" t="str">
        <f t="shared" si="25"/>
        <v>-</v>
      </c>
      <c r="BC10" s="242"/>
      <c r="BD10" s="242"/>
      <c r="BE10" s="242" t="str">
        <f t="shared" si="26"/>
        <v>-</v>
      </c>
      <c r="BF10" s="241" t="str">
        <f t="shared" si="27"/>
        <v>-</v>
      </c>
      <c r="BG10" s="250">
        <f t="shared" si="2"/>
        <v>300</v>
      </c>
      <c r="BH10" s="250">
        <f t="shared" si="3"/>
        <v>350</v>
      </c>
      <c r="BI10" s="250">
        <f t="shared" si="28"/>
        <v>50</v>
      </c>
      <c r="BJ10" s="241">
        <f t="shared" si="4"/>
        <v>0.16666666666666674</v>
      </c>
    </row>
    <row r="11" spans="1:62" ht="20" x14ac:dyDescent="0.35">
      <c r="B11" s="259">
        <v>18</v>
      </c>
      <c r="C11" s="260" t="s">
        <v>883</v>
      </c>
      <c r="D11" s="261">
        <v>100000</v>
      </c>
      <c r="E11" s="262">
        <f t="shared" si="5"/>
        <v>8.6956521739130432E-2</v>
      </c>
      <c r="F11" s="263">
        <f t="shared" si="29"/>
        <v>0.60869565217391308</v>
      </c>
      <c r="H11" s="259">
        <v>7</v>
      </c>
      <c r="I11" s="251" t="s">
        <v>883</v>
      </c>
      <c r="J11" s="240">
        <v>450</v>
      </c>
      <c r="K11" s="244">
        <v>500</v>
      </c>
      <c r="L11" s="244">
        <v>450</v>
      </c>
      <c r="M11" s="244">
        <f t="shared" si="0"/>
        <v>-50</v>
      </c>
      <c r="N11" s="245">
        <f t="shared" si="1"/>
        <v>-9.9999999999999978E-2</v>
      </c>
      <c r="O11" s="242"/>
      <c r="P11" s="242"/>
      <c r="Q11" s="242" t="str">
        <f t="shared" si="6"/>
        <v>-</v>
      </c>
      <c r="R11" s="241" t="str">
        <f t="shared" si="7"/>
        <v>-</v>
      </c>
      <c r="S11" s="242"/>
      <c r="T11" s="242"/>
      <c r="U11" s="242" t="str">
        <f t="shared" si="8"/>
        <v>-</v>
      </c>
      <c r="V11" s="241" t="str">
        <f t="shared" si="9"/>
        <v>-</v>
      </c>
      <c r="W11" s="242"/>
      <c r="X11" s="242"/>
      <c r="Y11" s="242" t="str">
        <f t="shared" si="10"/>
        <v>-</v>
      </c>
      <c r="Z11" s="241" t="str">
        <f t="shared" si="11"/>
        <v>-</v>
      </c>
      <c r="AA11" s="242"/>
      <c r="AB11" s="242"/>
      <c r="AC11" s="242" t="str">
        <f t="shared" si="12"/>
        <v>-</v>
      </c>
      <c r="AD11" s="241" t="str">
        <f t="shared" si="13"/>
        <v>-</v>
      </c>
      <c r="AE11" s="242"/>
      <c r="AF11" s="242"/>
      <c r="AG11" s="242" t="str">
        <f t="shared" si="14"/>
        <v>-</v>
      </c>
      <c r="AH11" s="241" t="str">
        <f t="shared" si="15"/>
        <v>-</v>
      </c>
      <c r="AI11" s="242"/>
      <c r="AJ11" s="242"/>
      <c r="AK11" s="242" t="str">
        <f t="shared" si="16"/>
        <v>-</v>
      </c>
      <c r="AL11" s="241" t="str">
        <f t="shared" si="17"/>
        <v>-</v>
      </c>
      <c r="AM11" s="242"/>
      <c r="AN11" s="242"/>
      <c r="AO11" s="242" t="str">
        <f t="shared" si="18"/>
        <v>-</v>
      </c>
      <c r="AP11" s="241" t="str">
        <f t="shared" si="19"/>
        <v>-</v>
      </c>
      <c r="AQ11" s="242"/>
      <c r="AR11" s="242"/>
      <c r="AS11" s="242" t="str">
        <f t="shared" si="20"/>
        <v>-</v>
      </c>
      <c r="AT11" s="241" t="str">
        <f t="shared" si="21"/>
        <v>-</v>
      </c>
      <c r="AU11" s="242"/>
      <c r="AV11" s="242"/>
      <c r="AW11" s="242" t="str">
        <f t="shared" si="22"/>
        <v>-</v>
      </c>
      <c r="AX11" s="241" t="str">
        <f t="shared" si="23"/>
        <v>-</v>
      </c>
      <c r="AY11" s="242"/>
      <c r="AZ11" s="242"/>
      <c r="BA11" s="242" t="str">
        <f t="shared" si="24"/>
        <v>-</v>
      </c>
      <c r="BB11" s="241" t="str">
        <f t="shared" si="25"/>
        <v>-</v>
      </c>
      <c r="BC11" s="242"/>
      <c r="BD11" s="242"/>
      <c r="BE11" s="242" t="str">
        <f t="shared" si="26"/>
        <v>-</v>
      </c>
      <c r="BF11" s="241" t="str">
        <f t="shared" si="27"/>
        <v>-</v>
      </c>
      <c r="BG11" s="250">
        <f t="shared" si="2"/>
        <v>500</v>
      </c>
      <c r="BH11" s="250">
        <f t="shared" si="3"/>
        <v>450</v>
      </c>
      <c r="BI11" s="250">
        <f t="shared" si="28"/>
        <v>-50</v>
      </c>
      <c r="BJ11" s="241">
        <f t="shared" si="4"/>
        <v>-9.9999999999999978E-2</v>
      </c>
    </row>
    <row r="12" spans="1:62" ht="20" x14ac:dyDescent="0.35">
      <c r="B12" s="259">
        <v>19</v>
      </c>
      <c r="C12" s="260" t="s">
        <v>883</v>
      </c>
      <c r="D12" s="261">
        <v>100000</v>
      </c>
      <c r="E12" s="262">
        <f t="shared" si="5"/>
        <v>8.6956521739130432E-2</v>
      </c>
      <c r="F12" s="263">
        <f t="shared" si="29"/>
        <v>0.69565217391304346</v>
      </c>
      <c r="H12" s="259">
        <v>8</v>
      </c>
      <c r="I12" s="251" t="s">
        <v>883</v>
      </c>
      <c r="J12" s="240">
        <v>10000</v>
      </c>
      <c r="K12" s="244"/>
      <c r="L12" s="244"/>
      <c r="M12" s="244" t="str">
        <f t="shared" ref="M12:M25" si="30">IF(AND(K12="",L12=""),"-",L12-K12)</f>
        <v>-</v>
      </c>
      <c r="N12" s="245" t="str">
        <f t="shared" ref="N12:N25" si="31">IFERROR((L12/K12)-1,"-")</f>
        <v>-</v>
      </c>
      <c r="O12" s="242"/>
      <c r="P12" s="242"/>
      <c r="Q12" s="242" t="str">
        <f t="shared" si="6"/>
        <v>-</v>
      </c>
      <c r="R12" s="241" t="str">
        <f t="shared" si="7"/>
        <v>-</v>
      </c>
      <c r="S12" s="242"/>
      <c r="T12" s="242"/>
      <c r="U12" s="242" t="str">
        <f t="shared" si="8"/>
        <v>-</v>
      </c>
      <c r="V12" s="241" t="str">
        <f t="shared" si="9"/>
        <v>-</v>
      </c>
      <c r="W12" s="242"/>
      <c r="X12" s="242"/>
      <c r="Y12" s="242" t="str">
        <f t="shared" si="10"/>
        <v>-</v>
      </c>
      <c r="Z12" s="241" t="str">
        <f t="shared" si="11"/>
        <v>-</v>
      </c>
      <c r="AA12" s="242"/>
      <c r="AB12" s="242"/>
      <c r="AC12" s="242" t="str">
        <f t="shared" si="12"/>
        <v>-</v>
      </c>
      <c r="AD12" s="241" t="str">
        <f t="shared" si="13"/>
        <v>-</v>
      </c>
      <c r="AE12" s="242"/>
      <c r="AF12" s="242"/>
      <c r="AG12" s="242" t="str">
        <f t="shared" si="14"/>
        <v>-</v>
      </c>
      <c r="AH12" s="241" t="str">
        <f t="shared" si="15"/>
        <v>-</v>
      </c>
      <c r="AI12" s="242"/>
      <c r="AJ12" s="242"/>
      <c r="AK12" s="242" t="str">
        <f t="shared" si="16"/>
        <v>-</v>
      </c>
      <c r="AL12" s="241" t="str">
        <f t="shared" si="17"/>
        <v>-</v>
      </c>
      <c r="AM12" s="242"/>
      <c r="AN12" s="242"/>
      <c r="AO12" s="242" t="str">
        <f t="shared" si="18"/>
        <v>-</v>
      </c>
      <c r="AP12" s="241" t="str">
        <f t="shared" si="19"/>
        <v>-</v>
      </c>
      <c r="AQ12" s="242"/>
      <c r="AR12" s="242"/>
      <c r="AS12" s="242" t="str">
        <f t="shared" si="20"/>
        <v>-</v>
      </c>
      <c r="AT12" s="241" t="str">
        <f t="shared" si="21"/>
        <v>-</v>
      </c>
      <c r="AU12" s="242"/>
      <c r="AV12" s="242"/>
      <c r="AW12" s="242" t="str">
        <f t="shared" si="22"/>
        <v>-</v>
      </c>
      <c r="AX12" s="241" t="str">
        <f t="shared" si="23"/>
        <v>-</v>
      </c>
      <c r="AY12" s="242"/>
      <c r="AZ12" s="242"/>
      <c r="BA12" s="242" t="str">
        <f t="shared" si="24"/>
        <v>-</v>
      </c>
      <c r="BB12" s="241" t="str">
        <f t="shared" si="25"/>
        <v>-</v>
      </c>
      <c r="BC12" s="242"/>
      <c r="BD12" s="242"/>
      <c r="BE12" s="242" t="str">
        <f t="shared" si="26"/>
        <v>-</v>
      </c>
      <c r="BF12" s="241" t="str">
        <f t="shared" si="27"/>
        <v>-</v>
      </c>
      <c r="BG12" s="250">
        <f t="shared" si="2"/>
        <v>0</v>
      </c>
      <c r="BH12" s="250">
        <f t="shared" si="3"/>
        <v>0</v>
      </c>
      <c r="BI12" s="250">
        <f t="shared" si="28"/>
        <v>0</v>
      </c>
      <c r="BJ12" s="241" t="str">
        <f t="shared" ref="BJ12:BJ25" si="32">IFERROR((BH12/BG12)-1,"-")</f>
        <v>-</v>
      </c>
    </row>
    <row r="13" spans="1:62" ht="20" x14ac:dyDescent="0.35">
      <c r="B13" s="259">
        <v>20</v>
      </c>
      <c r="C13" s="260" t="s">
        <v>883</v>
      </c>
      <c r="D13" s="261">
        <v>100000</v>
      </c>
      <c r="E13" s="262">
        <f t="shared" si="5"/>
        <v>8.6956521739130432E-2</v>
      </c>
      <c r="F13" s="263">
        <f t="shared" si="29"/>
        <v>0.78260869565217384</v>
      </c>
      <c r="H13" s="259">
        <v>9</v>
      </c>
      <c r="I13" s="251" t="s">
        <v>883</v>
      </c>
      <c r="J13" s="240">
        <v>10000</v>
      </c>
      <c r="K13" s="244"/>
      <c r="L13" s="244"/>
      <c r="M13" s="244" t="str">
        <f t="shared" si="30"/>
        <v>-</v>
      </c>
      <c r="N13" s="245" t="str">
        <f t="shared" si="31"/>
        <v>-</v>
      </c>
      <c r="O13" s="242"/>
      <c r="P13" s="242"/>
      <c r="Q13" s="242" t="str">
        <f t="shared" si="6"/>
        <v>-</v>
      </c>
      <c r="R13" s="241" t="str">
        <f t="shared" si="7"/>
        <v>-</v>
      </c>
      <c r="S13" s="242"/>
      <c r="T13" s="242"/>
      <c r="U13" s="242" t="str">
        <f t="shared" si="8"/>
        <v>-</v>
      </c>
      <c r="V13" s="241" t="str">
        <f t="shared" si="9"/>
        <v>-</v>
      </c>
      <c r="W13" s="242"/>
      <c r="X13" s="242"/>
      <c r="Y13" s="242" t="str">
        <f t="shared" si="10"/>
        <v>-</v>
      </c>
      <c r="Z13" s="241" t="str">
        <f t="shared" si="11"/>
        <v>-</v>
      </c>
      <c r="AA13" s="242"/>
      <c r="AB13" s="242"/>
      <c r="AC13" s="242" t="str">
        <f t="shared" si="12"/>
        <v>-</v>
      </c>
      <c r="AD13" s="241" t="str">
        <f t="shared" si="13"/>
        <v>-</v>
      </c>
      <c r="AE13" s="242"/>
      <c r="AF13" s="242"/>
      <c r="AG13" s="242" t="str">
        <f t="shared" si="14"/>
        <v>-</v>
      </c>
      <c r="AH13" s="241" t="str">
        <f t="shared" si="15"/>
        <v>-</v>
      </c>
      <c r="AI13" s="242"/>
      <c r="AJ13" s="242"/>
      <c r="AK13" s="242" t="str">
        <f t="shared" si="16"/>
        <v>-</v>
      </c>
      <c r="AL13" s="241" t="str">
        <f t="shared" si="17"/>
        <v>-</v>
      </c>
      <c r="AM13" s="242"/>
      <c r="AN13" s="242"/>
      <c r="AO13" s="242" t="str">
        <f t="shared" si="18"/>
        <v>-</v>
      </c>
      <c r="AP13" s="241" t="str">
        <f t="shared" si="19"/>
        <v>-</v>
      </c>
      <c r="AQ13" s="242"/>
      <c r="AR13" s="242"/>
      <c r="AS13" s="242" t="str">
        <f t="shared" si="20"/>
        <v>-</v>
      </c>
      <c r="AT13" s="241" t="str">
        <f t="shared" si="21"/>
        <v>-</v>
      </c>
      <c r="AU13" s="242"/>
      <c r="AV13" s="242"/>
      <c r="AW13" s="242" t="str">
        <f t="shared" si="22"/>
        <v>-</v>
      </c>
      <c r="AX13" s="241" t="str">
        <f t="shared" si="23"/>
        <v>-</v>
      </c>
      <c r="AY13" s="242"/>
      <c r="AZ13" s="242"/>
      <c r="BA13" s="242" t="str">
        <f t="shared" si="24"/>
        <v>-</v>
      </c>
      <c r="BB13" s="241" t="str">
        <f t="shared" si="25"/>
        <v>-</v>
      </c>
      <c r="BC13" s="242"/>
      <c r="BD13" s="242"/>
      <c r="BE13" s="242" t="str">
        <f t="shared" si="26"/>
        <v>-</v>
      </c>
      <c r="BF13" s="241" t="str">
        <f t="shared" si="27"/>
        <v>-</v>
      </c>
      <c r="BG13" s="250">
        <f t="shared" si="2"/>
        <v>0</v>
      </c>
      <c r="BH13" s="250">
        <f t="shared" si="3"/>
        <v>0</v>
      </c>
      <c r="BI13" s="250">
        <f t="shared" si="28"/>
        <v>0</v>
      </c>
      <c r="BJ13" s="241" t="str">
        <f t="shared" si="32"/>
        <v>-</v>
      </c>
    </row>
    <row r="14" spans="1:62" ht="20" x14ac:dyDescent="0.35">
      <c r="B14" s="259">
        <v>2</v>
      </c>
      <c r="C14" s="260" t="s">
        <v>883</v>
      </c>
      <c r="D14" s="261">
        <v>60000</v>
      </c>
      <c r="E14" s="262">
        <f t="shared" si="5"/>
        <v>5.2173913043478258E-2</v>
      </c>
      <c r="F14" s="263">
        <f t="shared" si="29"/>
        <v>0.83478260869565213</v>
      </c>
      <c r="H14" s="259">
        <v>10</v>
      </c>
      <c r="I14" s="251" t="s">
        <v>883</v>
      </c>
      <c r="J14" s="240">
        <v>10000</v>
      </c>
      <c r="K14" s="244"/>
      <c r="L14" s="244"/>
      <c r="M14" s="244" t="str">
        <f t="shared" si="30"/>
        <v>-</v>
      </c>
      <c r="N14" s="245" t="str">
        <f t="shared" si="31"/>
        <v>-</v>
      </c>
      <c r="O14" s="242"/>
      <c r="P14" s="242"/>
      <c r="Q14" s="242" t="str">
        <f t="shared" si="6"/>
        <v>-</v>
      </c>
      <c r="R14" s="241" t="str">
        <f t="shared" si="7"/>
        <v>-</v>
      </c>
      <c r="S14" s="242"/>
      <c r="T14" s="242"/>
      <c r="U14" s="242" t="str">
        <f t="shared" si="8"/>
        <v>-</v>
      </c>
      <c r="V14" s="241" t="str">
        <f t="shared" si="9"/>
        <v>-</v>
      </c>
      <c r="W14" s="242"/>
      <c r="X14" s="242"/>
      <c r="Y14" s="242" t="str">
        <f t="shared" si="10"/>
        <v>-</v>
      </c>
      <c r="Z14" s="241" t="str">
        <f t="shared" si="11"/>
        <v>-</v>
      </c>
      <c r="AA14" s="242"/>
      <c r="AB14" s="242"/>
      <c r="AC14" s="242" t="str">
        <f t="shared" si="12"/>
        <v>-</v>
      </c>
      <c r="AD14" s="241" t="str">
        <f t="shared" si="13"/>
        <v>-</v>
      </c>
      <c r="AE14" s="242"/>
      <c r="AF14" s="242"/>
      <c r="AG14" s="242" t="str">
        <f t="shared" si="14"/>
        <v>-</v>
      </c>
      <c r="AH14" s="241" t="str">
        <f t="shared" si="15"/>
        <v>-</v>
      </c>
      <c r="AI14" s="242"/>
      <c r="AJ14" s="242"/>
      <c r="AK14" s="242" t="str">
        <f t="shared" si="16"/>
        <v>-</v>
      </c>
      <c r="AL14" s="241" t="str">
        <f t="shared" si="17"/>
        <v>-</v>
      </c>
      <c r="AM14" s="242"/>
      <c r="AN14" s="242"/>
      <c r="AO14" s="242" t="str">
        <f t="shared" si="18"/>
        <v>-</v>
      </c>
      <c r="AP14" s="241" t="str">
        <f t="shared" si="19"/>
        <v>-</v>
      </c>
      <c r="AQ14" s="242"/>
      <c r="AR14" s="242"/>
      <c r="AS14" s="242" t="str">
        <f t="shared" si="20"/>
        <v>-</v>
      </c>
      <c r="AT14" s="241" t="str">
        <f t="shared" si="21"/>
        <v>-</v>
      </c>
      <c r="AU14" s="242"/>
      <c r="AV14" s="242"/>
      <c r="AW14" s="242" t="str">
        <f t="shared" si="22"/>
        <v>-</v>
      </c>
      <c r="AX14" s="241" t="str">
        <f t="shared" si="23"/>
        <v>-</v>
      </c>
      <c r="AY14" s="242"/>
      <c r="AZ14" s="242"/>
      <c r="BA14" s="242" t="str">
        <f t="shared" si="24"/>
        <v>-</v>
      </c>
      <c r="BB14" s="241" t="str">
        <f t="shared" si="25"/>
        <v>-</v>
      </c>
      <c r="BC14" s="242"/>
      <c r="BD14" s="242"/>
      <c r="BE14" s="242" t="str">
        <f t="shared" si="26"/>
        <v>-</v>
      </c>
      <c r="BF14" s="241" t="str">
        <f t="shared" si="27"/>
        <v>-</v>
      </c>
      <c r="BG14" s="250">
        <f t="shared" si="2"/>
        <v>0</v>
      </c>
      <c r="BH14" s="250">
        <f t="shared" si="3"/>
        <v>0</v>
      </c>
      <c r="BI14" s="250">
        <f t="shared" si="28"/>
        <v>0</v>
      </c>
      <c r="BJ14" s="241" t="str">
        <f t="shared" si="32"/>
        <v>-</v>
      </c>
    </row>
    <row r="15" spans="1:62" ht="20" x14ac:dyDescent="0.35">
      <c r="B15" s="259">
        <v>3</v>
      </c>
      <c r="C15" s="260" t="s">
        <v>883</v>
      </c>
      <c r="D15" s="261">
        <v>35000</v>
      </c>
      <c r="E15" s="262">
        <f t="shared" si="5"/>
        <v>3.0434782608695653E-2</v>
      </c>
      <c r="F15" s="263">
        <f t="shared" si="29"/>
        <v>0.86521739130434783</v>
      </c>
      <c r="H15" s="259">
        <v>11</v>
      </c>
      <c r="I15" s="251" t="s">
        <v>883</v>
      </c>
      <c r="J15" s="240"/>
      <c r="K15" s="244"/>
      <c r="L15" s="244"/>
      <c r="M15" s="244" t="str">
        <f t="shared" si="30"/>
        <v>-</v>
      </c>
      <c r="N15" s="245" t="str">
        <f t="shared" si="31"/>
        <v>-</v>
      </c>
      <c r="O15" s="242"/>
      <c r="P15" s="242"/>
      <c r="Q15" s="242" t="str">
        <f t="shared" si="6"/>
        <v>-</v>
      </c>
      <c r="R15" s="241" t="str">
        <f t="shared" si="7"/>
        <v>-</v>
      </c>
      <c r="S15" s="242"/>
      <c r="T15" s="242"/>
      <c r="U15" s="242" t="str">
        <f t="shared" si="8"/>
        <v>-</v>
      </c>
      <c r="V15" s="241" t="str">
        <f t="shared" si="9"/>
        <v>-</v>
      </c>
      <c r="W15" s="242"/>
      <c r="X15" s="242"/>
      <c r="Y15" s="242" t="str">
        <f t="shared" si="10"/>
        <v>-</v>
      </c>
      <c r="Z15" s="241" t="str">
        <f t="shared" si="11"/>
        <v>-</v>
      </c>
      <c r="AA15" s="242"/>
      <c r="AB15" s="242"/>
      <c r="AC15" s="242" t="str">
        <f t="shared" si="12"/>
        <v>-</v>
      </c>
      <c r="AD15" s="241" t="str">
        <f t="shared" si="13"/>
        <v>-</v>
      </c>
      <c r="AE15" s="242"/>
      <c r="AF15" s="242"/>
      <c r="AG15" s="242" t="str">
        <f t="shared" si="14"/>
        <v>-</v>
      </c>
      <c r="AH15" s="241" t="str">
        <f t="shared" si="15"/>
        <v>-</v>
      </c>
      <c r="AI15" s="242"/>
      <c r="AJ15" s="242"/>
      <c r="AK15" s="242" t="str">
        <f t="shared" si="16"/>
        <v>-</v>
      </c>
      <c r="AL15" s="241" t="str">
        <f t="shared" si="17"/>
        <v>-</v>
      </c>
      <c r="AM15" s="242"/>
      <c r="AN15" s="242"/>
      <c r="AO15" s="242" t="str">
        <f t="shared" si="18"/>
        <v>-</v>
      </c>
      <c r="AP15" s="241" t="str">
        <f t="shared" si="19"/>
        <v>-</v>
      </c>
      <c r="AQ15" s="242"/>
      <c r="AR15" s="242"/>
      <c r="AS15" s="242" t="str">
        <f t="shared" si="20"/>
        <v>-</v>
      </c>
      <c r="AT15" s="241" t="str">
        <f t="shared" si="21"/>
        <v>-</v>
      </c>
      <c r="AU15" s="242"/>
      <c r="AV15" s="242"/>
      <c r="AW15" s="242" t="str">
        <f t="shared" si="22"/>
        <v>-</v>
      </c>
      <c r="AX15" s="241" t="str">
        <f t="shared" si="23"/>
        <v>-</v>
      </c>
      <c r="AY15" s="242"/>
      <c r="AZ15" s="242"/>
      <c r="BA15" s="242" t="str">
        <f t="shared" si="24"/>
        <v>-</v>
      </c>
      <c r="BB15" s="241" t="str">
        <f t="shared" si="25"/>
        <v>-</v>
      </c>
      <c r="BC15" s="242"/>
      <c r="BD15" s="242"/>
      <c r="BE15" s="242" t="str">
        <f t="shared" si="26"/>
        <v>-</v>
      </c>
      <c r="BF15" s="241" t="str">
        <f t="shared" si="27"/>
        <v>-</v>
      </c>
      <c r="BG15" s="250">
        <f t="shared" si="2"/>
        <v>0</v>
      </c>
      <c r="BH15" s="250">
        <f t="shared" si="3"/>
        <v>0</v>
      </c>
      <c r="BI15" s="250">
        <f t="shared" si="28"/>
        <v>0</v>
      </c>
      <c r="BJ15" s="241" t="str">
        <f t="shared" si="32"/>
        <v>-</v>
      </c>
    </row>
    <row r="16" spans="1:62" ht="20" x14ac:dyDescent="0.35">
      <c r="B16" s="259">
        <v>4</v>
      </c>
      <c r="C16" s="260" t="s">
        <v>883</v>
      </c>
      <c r="D16" s="261">
        <v>30000</v>
      </c>
      <c r="E16" s="262">
        <f t="shared" si="5"/>
        <v>2.6086956521739129E-2</v>
      </c>
      <c r="F16" s="263">
        <f t="shared" si="29"/>
        <v>0.89130434782608692</v>
      </c>
      <c r="H16" s="259">
        <v>12</v>
      </c>
      <c r="I16" s="251" t="s">
        <v>883</v>
      </c>
      <c r="J16" s="240"/>
      <c r="K16" s="244"/>
      <c r="L16" s="244"/>
      <c r="M16" s="244" t="str">
        <f t="shared" si="30"/>
        <v>-</v>
      </c>
      <c r="N16" s="245" t="str">
        <f t="shared" si="31"/>
        <v>-</v>
      </c>
      <c r="O16" s="242"/>
      <c r="P16" s="242"/>
      <c r="Q16" s="242" t="str">
        <f t="shared" si="6"/>
        <v>-</v>
      </c>
      <c r="R16" s="241" t="str">
        <f t="shared" si="7"/>
        <v>-</v>
      </c>
      <c r="S16" s="242"/>
      <c r="T16" s="242"/>
      <c r="U16" s="242" t="str">
        <f t="shared" si="8"/>
        <v>-</v>
      </c>
      <c r="V16" s="241" t="str">
        <f t="shared" si="9"/>
        <v>-</v>
      </c>
      <c r="W16" s="242"/>
      <c r="X16" s="242"/>
      <c r="Y16" s="242" t="str">
        <f t="shared" si="10"/>
        <v>-</v>
      </c>
      <c r="Z16" s="241" t="str">
        <f t="shared" si="11"/>
        <v>-</v>
      </c>
      <c r="AA16" s="242"/>
      <c r="AB16" s="242"/>
      <c r="AC16" s="242" t="str">
        <f t="shared" si="12"/>
        <v>-</v>
      </c>
      <c r="AD16" s="241" t="str">
        <f t="shared" si="13"/>
        <v>-</v>
      </c>
      <c r="AE16" s="242"/>
      <c r="AF16" s="242"/>
      <c r="AG16" s="242" t="str">
        <f t="shared" si="14"/>
        <v>-</v>
      </c>
      <c r="AH16" s="241" t="str">
        <f t="shared" si="15"/>
        <v>-</v>
      </c>
      <c r="AI16" s="242"/>
      <c r="AJ16" s="242"/>
      <c r="AK16" s="242" t="str">
        <f t="shared" si="16"/>
        <v>-</v>
      </c>
      <c r="AL16" s="241" t="str">
        <f t="shared" si="17"/>
        <v>-</v>
      </c>
      <c r="AM16" s="242"/>
      <c r="AN16" s="242"/>
      <c r="AO16" s="242" t="str">
        <f t="shared" si="18"/>
        <v>-</v>
      </c>
      <c r="AP16" s="241" t="str">
        <f t="shared" si="19"/>
        <v>-</v>
      </c>
      <c r="AQ16" s="242"/>
      <c r="AR16" s="242"/>
      <c r="AS16" s="242" t="str">
        <f t="shared" si="20"/>
        <v>-</v>
      </c>
      <c r="AT16" s="241" t="str">
        <f t="shared" si="21"/>
        <v>-</v>
      </c>
      <c r="AU16" s="242"/>
      <c r="AV16" s="242"/>
      <c r="AW16" s="242" t="str">
        <f t="shared" si="22"/>
        <v>-</v>
      </c>
      <c r="AX16" s="241" t="str">
        <f t="shared" si="23"/>
        <v>-</v>
      </c>
      <c r="AY16" s="242"/>
      <c r="AZ16" s="242"/>
      <c r="BA16" s="242" t="str">
        <f t="shared" si="24"/>
        <v>-</v>
      </c>
      <c r="BB16" s="241" t="str">
        <f t="shared" si="25"/>
        <v>-</v>
      </c>
      <c r="BC16" s="242"/>
      <c r="BD16" s="242"/>
      <c r="BE16" s="242" t="str">
        <f t="shared" si="26"/>
        <v>-</v>
      </c>
      <c r="BF16" s="241" t="str">
        <f t="shared" si="27"/>
        <v>-</v>
      </c>
      <c r="BG16" s="250">
        <f t="shared" si="2"/>
        <v>0</v>
      </c>
      <c r="BH16" s="250">
        <f t="shared" si="3"/>
        <v>0</v>
      </c>
      <c r="BI16" s="250">
        <f t="shared" si="28"/>
        <v>0</v>
      </c>
      <c r="BJ16" s="241" t="str">
        <f t="shared" si="32"/>
        <v>-</v>
      </c>
    </row>
    <row r="17" spans="2:62" ht="20" x14ac:dyDescent="0.35">
      <c r="B17" s="259">
        <v>5</v>
      </c>
      <c r="C17" s="260" t="s">
        <v>883</v>
      </c>
      <c r="D17" s="261">
        <v>30000</v>
      </c>
      <c r="E17" s="262">
        <f t="shared" si="5"/>
        <v>2.6086956521739129E-2</v>
      </c>
      <c r="F17" s="263">
        <f t="shared" si="29"/>
        <v>0.91739130434782601</v>
      </c>
      <c r="H17" s="259">
        <v>13</v>
      </c>
      <c r="I17" s="251" t="s">
        <v>883</v>
      </c>
      <c r="J17" s="240"/>
      <c r="K17" s="244"/>
      <c r="L17" s="244"/>
      <c r="M17" s="244" t="str">
        <f t="shared" si="30"/>
        <v>-</v>
      </c>
      <c r="N17" s="245" t="str">
        <f t="shared" si="31"/>
        <v>-</v>
      </c>
      <c r="O17" s="242"/>
      <c r="P17" s="242"/>
      <c r="Q17" s="242" t="str">
        <f t="shared" si="6"/>
        <v>-</v>
      </c>
      <c r="R17" s="241" t="str">
        <f t="shared" si="7"/>
        <v>-</v>
      </c>
      <c r="S17" s="242"/>
      <c r="T17" s="242"/>
      <c r="U17" s="242" t="str">
        <f t="shared" si="8"/>
        <v>-</v>
      </c>
      <c r="V17" s="241" t="str">
        <f t="shared" si="9"/>
        <v>-</v>
      </c>
      <c r="W17" s="242"/>
      <c r="X17" s="242"/>
      <c r="Y17" s="242" t="str">
        <f t="shared" si="10"/>
        <v>-</v>
      </c>
      <c r="Z17" s="241" t="str">
        <f t="shared" si="11"/>
        <v>-</v>
      </c>
      <c r="AA17" s="242"/>
      <c r="AB17" s="242"/>
      <c r="AC17" s="242" t="str">
        <f t="shared" si="12"/>
        <v>-</v>
      </c>
      <c r="AD17" s="241" t="str">
        <f t="shared" si="13"/>
        <v>-</v>
      </c>
      <c r="AE17" s="242"/>
      <c r="AF17" s="242"/>
      <c r="AG17" s="242" t="str">
        <f t="shared" si="14"/>
        <v>-</v>
      </c>
      <c r="AH17" s="241" t="str">
        <f t="shared" si="15"/>
        <v>-</v>
      </c>
      <c r="AI17" s="242"/>
      <c r="AJ17" s="242"/>
      <c r="AK17" s="242" t="str">
        <f t="shared" si="16"/>
        <v>-</v>
      </c>
      <c r="AL17" s="241" t="str">
        <f t="shared" si="17"/>
        <v>-</v>
      </c>
      <c r="AM17" s="242"/>
      <c r="AN17" s="242"/>
      <c r="AO17" s="242" t="str">
        <f t="shared" si="18"/>
        <v>-</v>
      </c>
      <c r="AP17" s="241" t="str">
        <f t="shared" si="19"/>
        <v>-</v>
      </c>
      <c r="AQ17" s="242"/>
      <c r="AR17" s="242"/>
      <c r="AS17" s="242" t="str">
        <f t="shared" si="20"/>
        <v>-</v>
      </c>
      <c r="AT17" s="241" t="str">
        <f t="shared" si="21"/>
        <v>-</v>
      </c>
      <c r="AU17" s="242"/>
      <c r="AV17" s="242"/>
      <c r="AW17" s="242" t="str">
        <f t="shared" si="22"/>
        <v>-</v>
      </c>
      <c r="AX17" s="241" t="str">
        <f t="shared" si="23"/>
        <v>-</v>
      </c>
      <c r="AY17" s="242"/>
      <c r="AZ17" s="242"/>
      <c r="BA17" s="242" t="str">
        <f t="shared" si="24"/>
        <v>-</v>
      </c>
      <c r="BB17" s="241" t="str">
        <f t="shared" si="25"/>
        <v>-</v>
      </c>
      <c r="BC17" s="242"/>
      <c r="BD17" s="242"/>
      <c r="BE17" s="242" t="str">
        <f t="shared" si="26"/>
        <v>-</v>
      </c>
      <c r="BF17" s="241" t="str">
        <f t="shared" si="27"/>
        <v>-</v>
      </c>
      <c r="BG17" s="250">
        <f t="shared" si="2"/>
        <v>0</v>
      </c>
      <c r="BH17" s="250">
        <f t="shared" si="3"/>
        <v>0</v>
      </c>
      <c r="BI17" s="250">
        <f t="shared" si="28"/>
        <v>0</v>
      </c>
      <c r="BJ17" s="241" t="str">
        <f t="shared" si="32"/>
        <v>-</v>
      </c>
    </row>
    <row r="18" spans="2:62" ht="20" x14ac:dyDescent="0.35">
      <c r="B18" s="259">
        <v>6</v>
      </c>
      <c r="C18" s="260" t="s">
        <v>883</v>
      </c>
      <c r="D18" s="261">
        <v>20000</v>
      </c>
      <c r="E18" s="262">
        <f t="shared" si="5"/>
        <v>1.7391304347826087E-2</v>
      </c>
      <c r="F18" s="263">
        <f t="shared" si="29"/>
        <v>0.93478260869565211</v>
      </c>
      <c r="H18" s="259">
        <v>14</v>
      </c>
      <c r="I18" s="251" t="s">
        <v>883</v>
      </c>
      <c r="J18" s="240">
        <v>100000</v>
      </c>
      <c r="K18" s="244">
        <v>120000</v>
      </c>
      <c r="L18" s="244">
        <v>123000</v>
      </c>
      <c r="M18" s="244">
        <f t="shared" si="30"/>
        <v>3000</v>
      </c>
      <c r="N18" s="245">
        <f t="shared" si="31"/>
        <v>2.4999999999999911E-2</v>
      </c>
      <c r="O18" s="242"/>
      <c r="P18" s="242"/>
      <c r="Q18" s="242" t="str">
        <f t="shared" si="6"/>
        <v>-</v>
      </c>
      <c r="R18" s="241" t="str">
        <f t="shared" si="7"/>
        <v>-</v>
      </c>
      <c r="S18" s="242"/>
      <c r="T18" s="242"/>
      <c r="U18" s="242" t="str">
        <f t="shared" si="8"/>
        <v>-</v>
      </c>
      <c r="V18" s="241" t="str">
        <f t="shared" si="9"/>
        <v>-</v>
      </c>
      <c r="W18" s="242"/>
      <c r="X18" s="242"/>
      <c r="Y18" s="242" t="str">
        <f t="shared" si="10"/>
        <v>-</v>
      </c>
      <c r="Z18" s="241" t="str">
        <f t="shared" si="11"/>
        <v>-</v>
      </c>
      <c r="AA18" s="242"/>
      <c r="AB18" s="242"/>
      <c r="AC18" s="242" t="str">
        <f t="shared" si="12"/>
        <v>-</v>
      </c>
      <c r="AD18" s="241" t="str">
        <f t="shared" si="13"/>
        <v>-</v>
      </c>
      <c r="AE18" s="242"/>
      <c r="AF18" s="242"/>
      <c r="AG18" s="242" t="str">
        <f t="shared" si="14"/>
        <v>-</v>
      </c>
      <c r="AH18" s="241" t="str">
        <f t="shared" si="15"/>
        <v>-</v>
      </c>
      <c r="AI18" s="242"/>
      <c r="AJ18" s="242"/>
      <c r="AK18" s="242" t="str">
        <f t="shared" si="16"/>
        <v>-</v>
      </c>
      <c r="AL18" s="241" t="str">
        <f t="shared" si="17"/>
        <v>-</v>
      </c>
      <c r="AM18" s="242"/>
      <c r="AN18" s="242"/>
      <c r="AO18" s="242" t="str">
        <f t="shared" si="18"/>
        <v>-</v>
      </c>
      <c r="AP18" s="241" t="str">
        <f t="shared" si="19"/>
        <v>-</v>
      </c>
      <c r="AQ18" s="242"/>
      <c r="AR18" s="242"/>
      <c r="AS18" s="242" t="str">
        <f t="shared" si="20"/>
        <v>-</v>
      </c>
      <c r="AT18" s="241" t="str">
        <f t="shared" si="21"/>
        <v>-</v>
      </c>
      <c r="AU18" s="242"/>
      <c r="AV18" s="242"/>
      <c r="AW18" s="242" t="str">
        <f t="shared" si="22"/>
        <v>-</v>
      </c>
      <c r="AX18" s="241" t="str">
        <f t="shared" si="23"/>
        <v>-</v>
      </c>
      <c r="AY18" s="242"/>
      <c r="AZ18" s="242"/>
      <c r="BA18" s="242" t="str">
        <f t="shared" si="24"/>
        <v>-</v>
      </c>
      <c r="BB18" s="241" t="str">
        <f t="shared" si="25"/>
        <v>-</v>
      </c>
      <c r="BC18" s="242"/>
      <c r="BD18" s="242"/>
      <c r="BE18" s="242" t="str">
        <f t="shared" si="26"/>
        <v>-</v>
      </c>
      <c r="BF18" s="241" t="str">
        <f t="shared" si="27"/>
        <v>-</v>
      </c>
      <c r="BG18" s="250">
        <f t="shared" si="2"/>
        <v>120000</v>
      </c>
      <c r="BH18" s="250">
        <f t="shared" si="3"/>
        <v>123000</v>
      </c>
      <c r="BI18" s="250">
        <f t="shared" si="28"/>
        <v>3000</v>
      </c>
      <c r="BJ18" s="241">
        <f t="shared" si="32"/>
        <v>2.4999999999999911E-2</v>
      </c>
    </row>
    <row r="19" spans="2:62" ht="20" x14ac:dyDescent="0.35">
      <c r="B19" s="259">
        <v>7</v>
      </c>
      <c r="C19" s="260" t="s">
        <v>883</v>
      </c>
      <c r="D19" s="261">
        <v>20000</v>
      </c>
      <c r="E19" s="262">
        <f t="shared" si="5"/>
        <v>1.7391304347826087E-2</v>
      </c>
      <c r="F19" s="263">
        <f t="shared" si="29"/>
        <v>0.9521739130434782</v>
      </c>
      <c r="H19" s="259">
        <v>15</v>
      </c>
      <c r="I19" s="251" t="s">
        <v>883</v>
      </c>
      <c r="J19" s="240"/>
      <c r="K19" s="244"/>
      <c r="L19" s="244"/>
      <c r="M19" s="244" t="str">
        <f t="shared" si="30"/>
        <v>-</v>
      </c>
      <c r="N19" s="245" t="str">
        <f t="shared" si="31"/>
        <v>-</v>
      </c>
      <c r="O19" s="242"/>
      <c r="P19" s="242"/>
      <c r="Q19" s="242" t="str">
        <f t="shared" si="6"/>
        <v>-</v>
      </c>
      <c r="R19" s="241" t="str">
        <f t="shared" si="7"/>
        <v>-</v>
      </c>
      <c r="S19" s="242"/>
      <c r="T19" s="242"/>
      <c r="U19" s="242" t="str">
        <f t="shared" si="8"/>
        <v>-</v>
      </c>
      <c r="V19" s="241" t="str">
        <f t="shared" si="9"/>
        <v>-</v>
      </c>
      <c r="W19" s="242"/>
      <c r="X19" s="242"/>
      <c r="Y19" s="242" t="str">
        <f t="shared" si="10"/>
        <v>-</v>
      </c>
      <c r="Z19" s="241" t="str">
        <f t="shared" si="11"/>
        <v>-</v>
      </c>
      <c r="AA19" s="242"/>
      <c r="AB19" s="242"/>
      <c r="AC19" s="242" t="str">
        <f t="shared" si="12"/>
        <v>-</v>
      </c>
      <c r="AD19" s="241" t="str">
        <f t="shared" si="13"/>
        <v>-</v>
      </c>
      <c r="AE19" s="242"/>
      <c r="AF19" s="242"/>
      <c r="AG19" s="242" t="str">
        <f t="shared" si="14"/>
        <v>-</v>
      </c>
      <c r="AH19" s="241" t="str">
        <f t="shared" si="15"/>
        <v>-</v>
      </c>
      <c r="AI19" s="242"/>
      <c r="AJ19" s="242"/>
      <c r="AK19" s="242" t="str">
        <f t="shared" si="16"/>
        <v>-</v>
      </c>
      <c r="AL19" s="241" t="str">
        <f t="shared" si="17"/>
        <v>-</v>
      </c>
      <c r="AM19" s="242"/>
      <c r="AN19" s="242"/>
      <c r="AO19" s="242" t="str">
        <f t="shared" si="18"/>
        <v>-</v>
      </c>
      <c r="AP19" s="241" t="str">
        <f t="shared" si="19"/>
        <v>-</v>
      </c>
      <c r="AQ19" s="242"/>
      <c r="AR19" s="242"/>
      <c r="AS19" s="242" t="str">
        <f t="shared" si="20"/>
        <v>-</v>
      </c>
      <c r="AT19" s="241" t="str">
        <f t="shared" si="21"/>
        <v>-</v>
      </c>
      <c r="AU19" s="242"/>
      <c r="AV19" s="242"/>
      <c r="AW19" s="242" t="str">
        <f t="shared" si="22"/>
        <v>-</v>
      </c>
      <c r="AX19" s="241" t="str">
        <f t="shared" si="23"/>
        <v>-</v>
      </c>
      <c r="AY19" s="242"/>
      <c r="AZ19" s="242"/>
      <c r="BA19" s="242" t="str">
        <f t="shared" si="24"/>
        <v>-</v>
      </c>
      <c r="BB19" s="241" t="str">
        <f t="shared" si="25"/>
        <v>-</v>
      </c>
      <c r="BC19" s="242"/>
      <c r="BD19" s="242"/>
      <c r="BE19" s="242" t="str">
        <f t="shared" si="26"/>
        <v>-</v>
      </c>
      <c r="BF19" s="241" t="str">
        <f t="shared" si="27"/>
        <v>-</v>
      </c>
      <c r="BG19" s="250">
        <f t="shared" si="2"/>
        <v>0</v>
      </c>
      <c r="BH19" s="250">
        <f t="shared" si="3"/>
        <v>0</v>
      </c>
      <c r="BI19" s="250">
        <f t="shared" si="28"/>
        <v>0</v>
      </c>
      <c r="BJ19" s="241" t="str">
        <f t="shared" si="32"/>
        <v>-</v>
      </c>
    </row>
    <row r="20" spans="2:62" ht="20" x14ac:dyDescent="0.35">
      <c r="B20" s="259">
        <v>8</v>
      </c>
      <c r="C20" s="260" t="s">
        <v>883</v>
      </c>
      <c r="D20" s="261">
        <v>20000</v>
      </c>
      <c r="E20" s="262">
        <f t="shared" si="5"/>
        <v>1.7391304347826087E-2</v>
      </c>
      <c r="F20" s="263">
        <f t="shared" si="29"/>
        <v>0.9695652173913043</v>
      </c>
      <c r="H20" s="259">
        <v>16</v>
      </c>
      <c r="I20" s="251" t="s">
        <v>883</v>
      </c>
      <c r="J20" s="240"/>
      <c r="K20" s="244"/>
      <c r="L20" s="244"/>
      <c r="M20" s="244" t="str">
        <f t="shared" si="30"/>
        <v>-</v>
      </c>
      <c r="N20" s="245" t="str">
        <f t="shared" si="31"/>
        <v>-</v>
      </c>
      <c r="O20" s="242"/>
      <c r="P20" s="242"/>
      <c r="Q20" s="242" t="str">
        <f t="shared" si="6"/>
        <v>-</v>
      </c>
      <c r="R20" s="241" t="str">
        <f t="shared" si="7"/>
        <v>-</v>
      </c>
      <c r="S20" s="242"/>
      <c r="T20" s="242"/>
      <c r="U20" s="242" t="str">
        <f t="shared" si="8"/>
        <v>-</v>
      </c>
      <c r="V20" s="241" t="str">
        <f t="shared" si="9"/>
        <v>-</v>
      </c>
      <c r="W20" s="242"/>
      <c r="X20" s="242"/>
      <c r="Y20" s="242" t="str">
        <f t="shared" si="10"/>
        <v>-</v>
      </c>
      <c r="Z20" s="241" t="str">
        <f t="shared" si="11"/>
        <v>-</v>
      </c>
      <c r="AA20" s="242"/>
      <c r="AB20" s="242"/>
      <c r="AC20" s="242" t="str">
        <f t="shared" si="12"/>
        <v>-</v>
      </c>
      <c r="AD20" s="241" t="str">
        <f t="shared" si="13"/>
        <v>-</v>
      </c>
      <c r="AE20" s="242"/>
      <c r="AF20" s="242"/>
      <c r="AG20" s="242" t="str">
        <f t="shared" si="14"/>
        <v>-</v>
      </c>
      <c r="AH20" s="241" t="str">
        <f t="shared" si="15"/>
        <v>-</v>
      </c>
      <c r="AI20" s="242"/>
      <c r="AJ20" s="242"/>
      <c r="AK20" s="242" t="str">
        <f t="shared" si="16"/>
        <v>-</v>
      </c>
      <c r="AL20" s="241" t="str">
        <f t="shared" si="17"/>
        <v>-</v>
      </c>
      <c r="AM20" s="242"/>
      <c r="AN20" s="242"/>
      <c r="AO20" s="242" t="str">
        <f t="shared" si="18"/>
        <v>-</v>
      </c>
      <c r="AP20" s="241" t="str">
        <f t="shared" si="19"/>
        <v>-</v>
      </c>
      <c r="AQ20" s="242"/>
      <c r="AR20" s="242"/>
      <c r="AS20" s="242" t="str">
        <f t="shared" si="20"/>
        <v>-</v>
      </c>
      <c r="AT20" s="241" t="str">
        <f t="shared" si="21"/>
        <v>-</v>
      </c>
      <c r="AU20" s="242"/>
      <c r="AV20" s="242"/>
      <c r="AW20" s="242" t="str">
        <f t="shared" si="22"/>
        <v>-</v>
      </c>
      <c r="AX20" s="241" t="str">
        <f t="shared" si="23"/>
        <v>-</v>
      </c>
      <c r="AY20" s="242"/>
      <c r="AZ20" s="242"/>
      <c r="BA20" s="242" t="str">
        <f t="shared" si="24"/>
        <v>-</v>
      </c>
      <c r="BB20" s="241" t="str">
        <f t="shared" si="25"/>
        <v>-</v>
      </c>
      <c r="BC20" s="242"/>
      <c r="BD20" s="242"/>
      <c r="BE20" s="242" t="str">
        <f t="shared" si="26"/>
        <v>-</v>
      </c>
      <c r="BF20" s="241" t="str">
        <f t="shared" si="27"/>
        <v>-</v>
      </c>
      <c r="BG20" s="250">
        <f t="shared" si="2"/>
        <v>0</v>
      </c>
      <c r="BH20" s="250">
        <f t="shared" si="3"/>
        <v>0</v>
      </c>
      <c r="BI20" s="250">
        <f t="shared" si="28"/>
        <v>0</v>
      </c>
      <c r="BJ20" s="241" t="str">
        <f t="shared" si="32"/>
        <v>-</v>
      </c>
    </row>
    <row r="21" spans="2:62" ht="20" x14ac:dyDescent="0.35">
      <c r="B21" s="259">
        <v>9</v>
      </c>
      <c r="C21" s="260" t="s">
        <v>883</v>
      </c>
      <c r="D21" s="261">
        <v>10000</v>
      </c>
      <c r="E21" s="262">
        <f t="shared" si="5"/>
        <v>8.6956521739130436E-3</v>
      </c>
      <c r="F21" s="263">
        <f t="shared" si="29"/>
        <v>0.97826086956521729</v>
      </c>
      <c r="H21" s="259">
        <v>17</v>
      </c>
      <c r="I21" s="251" t="s">
        <v>883</v>
      </c>
      <c r="J21" s="240"/>
      <c r="K21" s="244"/>
      <c r="L21" s="244"/>
      <c r="M21" s="244" t="str">
        <f t="shared" si="30"/>
        <v>-</v>
      </c>
      <c r="N21" s="245" t="str">
        <f t="shared" si="31"/>
        <v>-</v>
      </c>
      <c r="O21" s="242"/>
      <c r="P21" s="242"/>
      <c r="Q21" s="242" t="str">
        <f t="shared" si="6"/>
        <v>-</v>
      </c>
      <c r="R21" s="241" t="str">
        <f t="shared" si="7"/>
        <v>-</v>
      </c>
      <c r="S21" s="242"/>
      <c r="T21" s="242"/>
      <c r="U21" s="242" t="str">
        <f t="shared" si="8"/>
        <v>-</v>
      </c>
      <c r="V21" s="241" t="str">
        <f t="shared" si="9"/>
        <v>-</v>
      </c>
      <c r="W21" s="242"/>
      <c r="X21" s="242"/>
      <c r="Y21" s="242" t="str">
        <f t="shared" si="10"/>
        <v>-</v>
      </c>
      <c r="Z21" s="241" t="str">
        <f t="shared" si="11"/>
        <v>-</v>
      </c>
      <c r="AA21" s="242"/>
      <c r="AB21" s="242"/>
      <c r="AC21" s="242" t="str">
        <f t="shared" si="12"/>
        <v>-</v>
      </c>
      <c r="AD21" s="241" t="str">
        <f t="shared" si="13"/>
        <v>-</v>
      </c>
      <c r="AE21" s="242"/>
      <c r="AF21" s="242"/>
      <c r="AG21" s="242" t="str">
        <f t="shared" si="14"/>
        <v>-</v>
      </c>
      <c r="AH21" s="241" t="str">
        <f t="shared" si="15"/>
        <v>-</v>
      </c>
      <c r="AI21" s="242"/>
      <c r="AJ21" s="242"/>
      <c r="AK21" s="242" t="str">
        <f t="shared" si="16"/>
        <v>-</v>
      </c>
      <c r="AL21" s="241" t="str">
        <f t="shared" si="17"/>
        <v>-</v>
      </c>
      <c r="AM21" s="242"/>
      <c r="AN21" s="242"/>
      <c r="AO21" s="242" t="str">
        <f t="shared" si="18"/>
        <v>-</v>
      </c>
      <c r="AP21" s="241" t="str">
        <f t="shared" si="19"/>
        <v>-</v>
      </c>
      <c r="AQ21" s="242"/>
      <c r="AR21" s="242"/>
      <c r="AS21" s="242" t="str">
        <f t="shared" si="20"/>
        <v>-</v>
      </c>
      <c r="AT21" s="241" t="str">
        <f t="shared" si="21"/>
        <v>-</v>
      </c>
      <c r="AU21" s="242"/>
      <c r="AV21" s="242"/>
      <c r="AW21" s="242" t="str">
        <f t="shared" si="22"/>
        <v>-</v>
      </c>
      <c r="AX21" s="241" t="str">
        <f t="shared" si="23"/>
        <v>-</v>
      </c>
      <c r="AY21" s="242"/>
      <c r="AZ21" s="242"/>
      <c r="BA21" s="242" t="str">
        <f t="shared" si="24"/>
        <v>-</v>
      </c>
      <c r="BB21" s="241" t="str">
        <f t="shared" si="25"/>
        <v>-</v>
      </c>
      <c r="BC21" s="242"/>
      <c r="BD21" s="242"/>
      <c r="BE21" s="242" t="str">
        <f t="shared" si="26"/>
        <v>-</v>
      </c>
      <c r="BF21" s="241" t="str">
        <f t="shared" si="27"/>
        <v>-</v>
      </c>
      <c r="BG21" s="250">
        <f t="shared" si="2"/>
        <v>0</v>
      </c>
      <c r="BH21" s="250">
        <f t="shared" si="3"/>
        <v>0</v>
      </c>
      <c r="BI21" s="250">
        <f t="shared" si="28"/>
        <v>0</v>
      </c>
      <c r="BJ21" s="241" t="str">
        <f t="shared" si="32"/>
        <v>-</v>
      </c>
    </row>
    <row r="22" spans="2:62" ht="20" x14ac:dyDescent="0.35">
      <c r="B22" s="259">
        <v>10</v>
      </c>
      <c r="C22" s="260" t="s">
        <v>883</v>
      </c>
      <c r="D22" s="261">
        <v>10000</v>
      </c>
      <c r="E22" s="262">
        <f t="shared" si="5"/>
        <v>8.6956521739130436E-3</v>
      </c>
      <c r="F22" s="263">
        <f t="shared" si="29"/>
        <v>0.98695652173913029</v>
      </c>
      <c r="H22" s="259">
        <v>18</v>
      </c>
      <c r="I22" s="251" t="s">
        <v>883</v>
      </c>
      <c r="J22" s="240"/>
      <c r="K22" s="244"/>
      <c r="L22" s="244"/>
      <c r="M22" s="244" t="str">
        <f t="shared" si="30"/>
        <v>-</v>
      </c>
      <c r="N22" s="245" t="str">
        <f t="shared" si="31"/>
        <v>-</v>
      </c>
      <c r="O22" s="242"/>
      <c r="P22" s="242"/>
      <c r="Q22" s="242" t="str">
        <f t="shared" si="6"/>
        <v>-</v>
      </c>
      <c r="R22" s="241" t="str">
        <f t="shared" si="7"/>
        <v>-</v>
      </c>
      <c r="S22" s="242"/>
      <c r="T22" s="242"/>
      <c r="U22" s="242" t="str">
        <f t="shared" si="8"/>
        <v>-</v>
      </c>
      <c r="V22" s="241" t="str">
        <f t="shared" si="9"/>
        <v>-</v>
      </c>
      <c r="W22" s="242"/>
      <c r="X22" s="242"/>
      <c r="Y22" s="242" t="str">
        <f t="shared" si="10"/>
        <v>-</v>
      </c>
      <c r="Z22" s="241" t="str">
        <f t="shared" si="11"/>
        <v>-</v>
      </c>
      <c r="AA22" s="242"/>
      <c r="AB22" s="242"/>
      <c r="AC22" s="242" t="str">
        <f t="shared" si="12"/>
        <v>-</v>
      </c>
      <c r="AD22" s="241" t="str">
        <f t="shared" si="13"/>
        <v>-</v>
      </c>
      <c r="AE22" s="242"/>
      <c r="AF22" s="242"/>
      <c r="AG22" s="242" t="str">
        <f t="shared" si="14"/>
        <v>-</v>
      </c>
      <c r="AH22" s="241" t="str">
        <f t="shared" si="15"/>
        <v>-</v>
      </c>
      <c r="AI22" s="242"/>
      <c r="AJ22" s="242"/>
      <c r="AK22" s="242" t="str">
        <f t="shared" si="16"/>
        <v>-</v>
      </c>
      <c r="AL22" s="241" t="str">
        <f t="shared" si="17"/>
        <v>-</v>
      </c>
      <c r="AM22" s="242"/>
      <c r="AN22" s="242"/>
      <c r="AO22" s="242" t="str">
        <f t="shared" si="18"/>
        <v>-</v>
      </c>
      <c r="AP22" s="241" t="str">
        <f t="shared" si="19"/>
        <v>-</v>
      </c>
      <c r="AQ22" s="242"/>
      <c r="AR22" s="242"/>
      <c r="AS22" s="242" t="str">
        <f t="shared" si="20"/>
        <v>-</v>
      </c>
      <c r="AT22" s="241" t="str">
        <f t="shared" si="21"/>
        <v>-</v>
      </c>
      <c r="AU22" s="242"/>
      <c r="AV22" s="242"/>
      <c r="AW22" s="242" t="str">
        <f t="shared" si="22"/>
        <v>-</v>
      </c>
      <c r="AX22" s="241" t="str">
        <f t="shared" si="23"/>
        <v>-</v>
      </c>
      <c r="AY22" s="242"/>
      <c r="AZ22" s="242"/>
      <c r="BA22" s="242" t="str">
        <f t="shared" si="24"/>
        <v>-</v>
      </c>
      <c r="BB22" s="241" t="str">
        <f t="shared" si="25"/>
        <v>-</v>
      </c>
      <c r="BC22" s="242"/>
      <c r="BD22" s="242"/>
      <c r="BE22" s="242" t="str">
        <f t="shared" si="26"/>
        <v>-</v>
      </c>
      <c r="BF22" s="241" t="str">
        <f t="shared" si="27"/>
        <v>-</v>
      </c>
      <c r="BG22" s="250">
        <f t="shared" si="2"/>
        <v>0</v>
      </c>
      <c r="BH22" s="250">
        <f t="shared" si="3"/>
        <v>0</v>
      </c>
      <c r="BI22" s="250">
        <f t="shared" si="28"/>
        <v>0</v>
      </c>
      <c r="BJ22" s="241" t="str">
        <f t="shared" si="32"/>
        <v>-</v>
      </c>
    </row>
    <row r="23" spans="2:62" ht="20" x14ac:dyDescent="0.35">
      <c r="B23" s="259">
        <v>11</v>
      </c>
      <c r="C23" s="260" t="s">
        <v>883</v>
      </c>
      <c r="D23" s="261">
        <v>6000</v>
      </c>
      <c r="E23" s="262">
        <f t="shared" si="5"/>
        <v>5.2173913043478265E-3</v>
      </c>
      <c r="F23" s="263">
        <f t="shared" si="29"/>
        <v>0.99217391304347813</v>
      </c>
      <c r="H23" s="259">
        <v>19</v>
      </c>
      <c r="I23" s="251" t="s">
        <v>883</v>
      </c>
      <c r="J23" s="240"/>
      <c r="K23" s="244"/>
      <c r="L23" s="244"/>
      <c r="M23" s="244" t="str">
        <f t="shared" si="30"/>
        <v>-</v>
      </c>
      <c r="N23" s="245" t="str">
        <f t="shared" si="31"/>
        <v>-</v>
      </c>
      <c r="O23" s="242"/>
      <c r="P23" s="242"/>
      <c r="Q23" s="242" t="str">
        <f t="shared" si="6"/>
        <v>-</v>
      </c>
      <c r="R23" s="241" t="str">
        <f t="shared" si="7"/>
        <v>-</v>
      </c>
      <c r="S23" s="242"/>
      <c r="T23" s="242"/>
      <c r="U23" s="242" t="str">
        <f t="shared" si="8"/>
        <v>-</v>
      </c>
      <c r="V23" s="241" t="str">
        <f t="shared" si="9"/>
        <v>-</v>
      </c>
      <c r="W23" s="242"/>
      <c r="X23" s="242"/>
      <c r="Y23" s="242" t="str">
        <f t="shared" si="10"/>
        <v>-</v>
      </c>
      <c r="Z23" s="241" t="str">
        <f t="shared" si="11"/>
        <v>-</v>
      </c>
      <c r="AA23" s="242"/>
      <c r="AB23" s="242"/>
      <c r="AC23" s="242" t="str">
        <f t="shared" si="12"/>
        <v>-</v>
      </c>
      <c r="AD23" s="241" t="str">
        <f t="shared" si="13"/>
        <v>-</v>
      </c>
      <c r="AE23" s="242"/>
      <c r="AF23" s="242"/>
      <c r="AG23" s="242" t="str">
        <f t="shared" si="14"/>
        <v>-</v>
      </c>
      <c r="AH23" s="241" t="str">
        <f t="shared" si="15"/>
        <v>-</v>
      </c>
      <c r="AI23" s="242"/>
      <c r="AJ23" s="242"/>
      <c r="AK23" s="242" t="str">
        <f t="shared" si="16"/>
        <v>-</v>
      </c>
      <c r="AL23" s="241" t="str">
        <f t="shared" si="17"/>
        <v>-</v>
      </c>
      <c r="AM23" s="242"/>
      <c r="AN23" s="242"/>
      <c r="AO23" s="242" t="str">
        <f t="shared" si="18"/>
        <v>-</v>
      </c>
      <c r="AP23" s="241" t="str">
        <f t="shared" si="19"/>
        <v>-</v>
      </c>
      <c r="AQ23" s="242"/>
      <c r="AR23" s="242"/>
      <c r="AS23" s="242" t="str">
        <f t="shared" si="20"/>
        <v>-</v>
      </c>
      <c r="AT23" s="241" t="str">
        <f t="shared" si="21"/>
        <v>-</v>
      </c>
      <c r="AU23" s="242"/>
      <c r="AV23" s="242"/>
      <c r="AW23" s="242" t="str">
        <f t="shared" si="22"/>
        <v>-</v>
      </c>
      <c r="AX23" s="241" t="str">
        <f t="shared" si="23"/>
        <v>-</v>
      </c>
      <c r="AY23" s="242"/>
      <c r="AZ23" s="242"/>
      <c r="BA23" s="242" t="str">
        <f t="shared" si="24"/>
        <v>-</v>
      </c>
      <c r="BB23" s="241" t="str">
        <f t="shared" si="25"/>
        <v>-</v>
      </c>
      <c r="BC23" s="242"/>
      <c r="BD23" s="242"/>
      <c r="BE23" s="242" t="str">
        <f t="shared" si="26"/>
        <v>-</v>
      </c>
      <c r="BF23" s="241" t="str">
        <f t="shared" si="27"/>
        <v>-</v>
      </c>
      <c r="BG23" s="250">
        <f t="shared" si="2"/>
        <v>0</v>
      </c>
      <c r="BH23" s="250">
        <f t="shared" si="3"/>
        <v>0</v>
      </c>
      <c r="BI23" s="250">
        <f t="shared" si="28"/>
        <v>0</v>
      </c>
      <c r="BJ23" s="241" t="str">
        <f t="shared" si="32"/>
        <v>-</v>
      </c>
    </row>
    <row r="24" spans="2:62" ht="20" x14ac:dyDescent="0.35">
      <c r="B24" s="259">
        <v>12</v>
      </c>
      <c r="C24" s="260" t="s">
        <v>883</v>
      </c>
      <c r="D24" s="261">
        <v>5000</v>
      </c>
      <c r="E24" s="262">
        <f t="shared" si="5"/>
        <v>4.3478260869565218E-3</v>
      </c>
      <c r="F24" s="263">
        <f t="shared" si="29"/>
        <v>0.99652173913043463</v>
      </c>
      <c r="H24" s="259">
        <v>20</v>
      </c>
      <c r="I24" s="251" t="s">
        <v>883</v>
      </c>
      <c r="J24" s="240"/>
      <c r="K24" s="244"/>
      <c r="L24" s="244"/>
      <c r="M24" s="244" t="str">
        <f t="shared" si="30"/>
        <v>-</v>
      </c>
      <c r="N24" s="245" t="str">
        <f t="shared" si="31"/>
        <v>-</v>
      </c>
      <c r="O24" s="242"/>
      <c r="P24" s="242"/>
      <c r="Q24" s="242" t="str">
        <f t="shared" si="6"/>
        <v>-</v>
      </c>
      <c r="R24" s="241" t="str">
        <f t="shared" si="7"/>
        <v>-</v>
      </c>
      <c r="S24" s="242"/>
      <c r="T24" s="242"/>
      <c r="U24" s="242" t="str">
        <f t="shared" si="8"/>
        <v>-</v>
      </c>
      <c r="V24" s="241" t="str">
        <f t="shared" si="9"/>
        <v>-</v>
      </c>
      <c r="W24" s="242"/>
      <c r="X24" s="242"/>
      <c r="Y24" s="242" t="str">
        <f t="shared" si="10"/>
        <v>-</v>
      </c>
      <c r="Z24" s="241" t="str">
        <f t="shared" si="11"/>
        <v>-</v>
      </c>
      <c r="AA24" s="242"/>
      <c r="AB24" s="242"/>
      <c r="AC24" s="242" t="str">
        <f t="shared" si="12"/>
        <v>-</v>
      </c>
      <c r="AD24" s="241" t="str">
        <f t="shared" si="13"/>
        <v>-</v>
      </c>
      <c r="AE24" s="242"/>
      <c r="AF24" s="242"/>
      <c r="AG24" s="242" t="str">
        <f t="shared" si="14"/>
        <v>-</v>
      </c>
      <c r="AH24" s="241" t="str">
        <f t="shared" si="15"/>
        <v>-</v>
      </c>
      <c r="AI24" s="242"/>
      <c r="AJ24" s="242"/>
      <c r="AK24" s="242" t="str">
        <f t="shared" si="16"/>
        <v>-</v>
      </c>
      <c r="AL24" s="241" t="str">
        <f t="shared" si="17"/>
        <v>-</v>
      </c>
      <c r="AM24" s="242"/>
      <c r="AN24" s="242"/>
      <c r="AO24" s="242" t="str">
        <f t="shared" si="18"/>
        <v>-</v>
      </c>
      <c r="AP24" s="241" t="str">
        <f t="shared" si="19"/>
        <v>-</v>
      </c>
      <c r="AQ24" s="242"/>
      <c r="AR24" s="242"/>
      <c r="AS24" s="242" t="str">
        <f t="shared" si="20"/>
        <v>-</v>
      </c>
      <c r="AT24" s="241" t="str">
        <f t="shared" si="21"/>
        <v>-</v>
      </c>
      <c r="AU24" s="242"/>
      <c r="AV24" s="242"/>
      <c r="AW24" s="242" t="str">
        <f t="shared" si="22"/>
        <v>-</v>
      </c>
      <c r="AX24" s="241" t="str">
        <f t="shared" si="23"/>
        <v>-</v>
      </c>
      <c r="AY24" s="242"/>
      <c r="AZ24" s="242"/>
      <c r="BA24" s="242" t="str">
        <f t="shared" si="24"/>
        <v>-</v>
      </c>
      <c r="BB24" s="241" t="str">
        <f t="shared" si="25"/>
        <v>-</v>
      </c>
      <c r="BC24" s="242"/>
      <c r="BD24" s="242"/>
      <c r="BE24" s="242" t="str">
        <f t="shared" si="26"/>
        <v>-</v>
      </c>
      <c r="BF24" s="241" t="str">
        <f t="shared" si="27"/>
        <v>-</v>
      </c>
      <c r="BG24" s="250">
        <f t="shared" si="2"/>
        <v>0</v>
      </c>
      <c r="BH24" s="250">
        <f t="shared" si="3"/>
        <v>0</v>
      </c>
      <c r="BI24" s="250">
        <f t="shared" si="28"/>
        <v>0</v>
      </c>
      <c r="BJ24" s="241" t="str">
        <f t="shared" si="32"/>
        <v>-</v>
      </c>
    </row>
    <row r="25" spans="2:62" ht="20" x14ac:dyDescent="0.35">
      <c r="B25" s="259">
        <v>13</v>
      </c>
      <c r="C25" s="260" t="s">
        <v>883</v>
      </c>
      <c r="D25" s="261">
        <v>4000</v>
      </c>
      <c r="E25" s="262">
        <f t="shared" si="5"/>
        <v>3.4782608695652175E-3</v>
      </c>
      <c r="F25" s="263">
        <f t="shared" si="29"/>
        <v>0.99999999999999989</v>
      </c>
      <c r="H25" s="259">
        <v>21</v>
      </c>
      <c r="I25" s="251" t="s">
        <v>883</v>
      </c>
      <c r="J25" s="240"/>
      <c r="K25" s="244"/>
      <c r="L25" s="244"/>
      <c r="M25" s="244" t="str">
        <f t="shared" si="30"/>
        <v>-</v>
      </c>
      <c r="N25" s="245" t="str">
        <f t="shared" si="31"/>
        <v>-</v>
      </c>
      <c r="O25" s="242"/>
      <c r="P25" s="242"/>
      <c r="Q25" s="242" t="str">
        <f t="shared" si="6"/>
        <v>-</v>
      </c>
      <c r="R25" s="241" t="str">
        <f t="shared" si="7"/>
        <v>-</v>
      </c>
      <c r="S25" s="242"/>
      <c r="T25" s="242"/>
      <c r="U25" s="242" t="str">
        <f t="shared" si="8"/>
        <v>-</v>
      </c>
      <c r="V25" s="241" t="str">
        <f t="shared" si="9"/>
        <v>-</v>
      </c>
      <c r="W25" s="242"/>
      <c r="X25" s="242"/>
      <c r="Y25" s="242" t="str">
        <f t="shared" si="10"/>
        <v>-</v>
      </c>
      <c r="Z25" s="241" t="str">
        <f t="shared" si="11"/>
        <v>-</v>
      </c>
      <c r="AA25" s="242"/>
      <c r="AB25" s="242"/>
      <c r="AC25" s="242" t="str">
        <f t="shared" si="12"/>
        <v>-</v>
      </c>
      <c r="AD25" s="241" t="str">
        <f t="shared" si="13"/>
        <v>-</v>
      </c>
      <c r="AE25" s="242"/>
      <c r="AF25" s="242"/>
      <c r="AG25" s="242" t="str">
        <f t="shared" si="14"/>
        <v>-</v>
      </c>
      <c r="AH25" s="241" t="str">
        <f t="shared" si="15"/>
        <v>-</v>
      </c>
      <c r="AI25" s="242"/>
      <c r="AJ25" s="242"/>
      <c r="AK25" s="242" t="str">
        <f t="shared" si="16"/>
        <v>-</v>
      </c>
      <c r="AL25" s="241" t="str">
        <f t="shared" si="17"/>
        <v>-</v>
      </c>
      <c r="AM25" s="242"/>
      <c r="AN25" s="242"/>
      <c r="AO25" s="242" t="str">
        <f t="shared" si="18"/>
        <v>-</v>
      </c>
      <c r="AP25" s="241" t="str">
        <f t="shared" si="19"/>
        <v>-</v>
      </c>
      <c r="AQ25" s="242"/>
      <c r="AR25" s="242"/>
      <c r="AS25" s="242" t="str">
        <f t="shared" si="20"/>
        <v>-</v>
      </c>
      <c r="AT25" s="241" t="str">
        <f t="shared" si="21"/>
        <v>-</v>
      </c>
      <c r="AU25" s="242"/>
      <c r="AV25" s="242"/>
      <c r="AW25" s="242" t="str">
        <f t="shared" si="22"/>
        <v>-</v>
      </c>
      <c r="AX25" s="241" t="str">
        <f t="shared" si="23"/>
        <v>-</v>
      </c>
      <c r="AY25" s="242"/>
      <c r="AZ25" s="242"/>
      <c r="BA25" s="242" t="str">
        <f t="shared" si="24"/>
        <v>-</v>
      </c>
      <c r="BB25" s="241" t="str">
        <f t="shared" si="25"/>
        <v>-</v>
      </c>
      <c r="BC25" s="242"/>
      <c r="BD25" s="242"/>
      <c r="BE25" s="242" t="str">
        <f t="shared" si="26"/>
        <v>-</v>
      </c>
      <c r="BF25" s="241" t="str">
        <f t="shared" si="27"/>
        <v>-</v>
      </c>
      <c r="BG25" s="250">
        <f t="shared" si="2"/>
        <v>0</v>
      </c>
      <c r="BH25" s="250">
        <f t="shared" si="3"/>
        <v>0</v>
      </c>
      <c r="BI25" s="250">
        <f t="shared" si="28"/>
        <v>0</v>
      </c>
      <c r="BJ25" s="241" t="str">
        <f t="shared" si="32"/>
        <v>-</v>
      </c>
    </row>
    <row r="26" spans="2:62" s="13" customFormat="1" ht="34.5" customHeight="1" x14ac:dyDescent="0.35">
      <c r="H26" s="253"/>
      <c r="I26" s="253" t="s">
        <v>509</v>
      </c>
      <c r="J26" s="254">
        <f>SUM(J5:J25)</f>
        <v>242550</v>
      </c>
      <c r="K26" s="255">
        <f>SUM(K5:K25)</f>
        <v>232600</v>
      </c>
      <c r="L26" s="255">
        <f>SUM(L5:L25)</f>
        <v>232700</v>
      </c>
      <c r="M26" s="255">
        <f>IF(AND(K26="",L26=""),"-",L26-K26)</f>
        <v>100</v>
      </c>
      <c r="N26" s="256">
        <f>IFERROR((L26/K26)-1,"-")</f>
        <v>4.2992261392948983E-4</v>
      </c>
      <c r="O26" s="254">
        <f>SUM(O5:O25)</f>
        <v>0</v>
      </c>
      <c r="P26" s="254">
        <f>SUM(P5:P25)</f>
        <v>0</v>
      </c>
      <c r="Q26" s="254">
        <f>IF(AND(O26="",P26=""),"-",P26-O26)</f>
        <v>0</v>
      </c>
      <c r="R26" s="256" t="str">
        <f>IFERROR((P26/O26)-1,"-")</f>
        <v>-</v>
      </c>
      <c r="S26" s="254">
        <f>SUM(S5:S25)</f>
        <v>0</v>
      </c>
      <c r="T26" s="254">
        <f>SUM(T5:T25)</f>
        <v>0</v>
      </c>
      <c r="U26" s="254">
        <f>IF(AND(S26="",T26=""),"-",T26-S26)</f>
        <v>0</v>
      </c>
      <c r="V26" s="256" t="str">
        <f>IFERROR((T26/S26)-1,"-")</f>
        <v>-</v>
      </c>
      <c r="W26" s="254">
        <f>SUM(W5:W25)</f>
        <v>0</v>
      </c>
      <c r="X26" s="254">
        <f>SUM(X5:X25)</f>
        <v>0</v>
      </c>
      <c r="Y26" s="254">
        <f>IF(AND(W26="",X26=""),"-",X26-W26)</f>
        <v>0</v>
      </c>
      <c r="Z26" s="256" t="str">
        <f>IFERROR((X26/W26)-1,"-")</f>
        <v>-</v>
      </c>
      <c r="AA26" s="254">
        <f>SUM(AA5:AA25)</f>
        <v>0</v>
      </c>
      <c r="AB26" s="254">
        <f>SUM(AB5:AB25)</f>
        <v>0</v>
      </c>
      <c r="AC26" s="254">
        <f>IF(AND(AA26="",AB26=""),"-",AB26-AA26)</f>
        <v>0</v>
      </c>
      <c r="AD26" s="256" t="str">
        <f>IFERROR((AB26/AA26)-1,"-")</f>
        <v>-</v>
      </c>
      <c r="AE26" s="254">
        <f>SUM(AE5:AE25)</f>
        <v>0</v>
      </c>
      <c r="AF26" s="254">
        <f>SUM(AF5:AF25)</f>
        <v>0</v>
      </c>
      <c r="AG26" s="254">
        <f>IF(AND(AE26="",AF26=""),"-",AF26-AE26)</f>
        <v>0</v>
      </c>
      <c r="AH26" s="256" t="str">
        <f>IFERROR((AF26/AE26)-1,"-")</f>
        <v>-</v>
      </c>
      <c r="AI26" s="254">
        <f>SUM(AI5:AI25)</f>
        <v>0</v>
      </c>
      <c r="AJ26" s="254">
        <f>SUM(AJ5:AJ25)</f>
        <v>0</v>
      </c>
      <c r="AK26" s="254">
        <f>IF(AND(AI26="",AJ26=""),"-",AJ26-AI26)</f>
        <v>0</v>
      </c>
      <c r="AL26" s="256" t="str">
        <f>IFERROR((AJ26/AI26)-1,"-")</f>
        <v>-</v>
      </c>
      <c r="AM26" s="254">
        <f>SUM(AM5:AM25)</f>
        <v>0</v>
      </c>
      <c r="AN26" s="254">
        <f>SUM(AN5:AN25)</f>
        <v>0</v>
      </c>
      <c r="AO26" s="254">
        <f>IF(AND(AM26="",AN26=""),"-",AN26-AM26)</f>
        <v>0</v>
      </c>
      <c r="AP26" s="256" t="str">
        <f>IFERROR((AN26/AM26)-1,"-")</f>
        <v>-</v>
      </c>
      <c r="AQ26" s="254">
        <f>SUM(AQ5:AQ25)</f>
        <v>0</v>
      </c>
      <c r="AR26" s="254">
        <f>SUM(AR5:AR25)</f>
        <v>0</v>
      </c>
      <c r="AS26" s="254">
        <f>IF(AND(AQ26="",AR26=""),"-",AR26-AQ26)</f>
        <v>0</v>
      </c>
      <c r="AT26" s="256" t="str">
        <f>IFERROR((AR26/AQ26)-1,"-")</f>
        <v>-</v>
      </c>
      <c r="AU26" s="254">
        <f>SUM(AU5:AU25)</f>
        <v>0</v>
      </c>
      <c r="AV26" s="254">
        <f>SUM(AV5:AV25)</f>
        <v>0</v>
      </c>
      <c r="AW26" s="254">
        <f>IF(AND(AU26="",AV26=""),"-",AV26-AU26)</f>
        <v>0</v>
      </c>
      <c r="AX26" s="256" t="str">
        <f>IFERROR((AV26/AU26)-1,"-")</f>
        <v>-</v>
      </c>
      <c r="AY26" s="254">
        <f>SUM(AY5:AY25)</f>
        <v>0</v>
      </c>
      <c r="AZ26" s="254">
        <f>SUM(AZ5:AZ25)</f>
        <v>0</v>
      </c>
      <c r="BA26" s="254">
        <f>IF(AND(AY26="",AZ26=""),"-",AZ26-AY26)</f>
        <v>0</v>
      </c>
      <c r="BB26" s="256" t="str">
        <f>IFERROR((AZ26/AY26)-1,"-")</f>
        <v>-</v>
      </c>
      <c r="BC26" s="254">
        <f>SUM(BC5:BC25)</f>
        <v>0</v>
      </c>
      <c r="BD26" s="254">
        <f>SUM(BD5:BD25)</f>
        <v>0</v>
      </c>
      <c r="BE26" s="254">
        <f>IF(AND(BC26="",BD26=""),"-",BD26-BC26)</f>
        <v>0</v>
      </c>
      <c r="BF26" s="256" t="str">
        <f>IFERROR((BD26/BC26)-1,"-")</f>
        <v>-</v>
      </c>
      <c r="BG26" s="254">
        <f>SUM(BG5:BG25)</f>
        <v>232600</v>
      </c>
      <c r="BH26" s="254">
        <f>SUM(BH5:BH25)</f>
        <v>232700</v>
      </c>
      <c r="BI26" s="254">
        <f>SUM(BI5:BI14)</f>
        <v>-2900</v>
      </c>
      <c r="BJ26" s="256">
        <f>IFERROR((BH26/BG26)-1,"-")</f>
        <v>4.2992261392948983E-4</v>
      </c>
    </row>
  </sheetData>
  <autoFilter ref="B5:F25" xr:uid="{C2ECB414-E224-4CFC-9249-6E734A752A47}">
    <sortState xmlns:xlrd2="http://schemas.microsoft.com/office/spreadsheetml/2017/richdata2" ref="B6:F25">
      <sortCondition descending="1" ref="E5:E25"/>
    </sortState>
  </autoFilter>
  <mergeCells count="17">
    <mergeCell ref="H2:J2"/>
    <mergeCell ref="C2:F2"/>
    <mergeCell ref="E3:F3"/>
    <mergeCell ref="BC2:BF2"/>
    <mergeCell ref="B3:C3"/>
    <mergeCell ref="AA2:AD2"/>
    <mergeCell ref="K2:N2"/>
    <mergeCell ref="O2:R2"/>
    <mergeCell ref="S2:V2"/>
    <mergeCell ref="W2:Z2"/>
    <mergeCell ref="BG2:BJ2"/>
    <mergeCell ref="AE2:AH2"/>
    <mergeCell ref="AI2:AL2"/>
    <mergeCell ref="AM2:AP2"/>
    <mergeCell ref="AQ2:AT2"/>
    <mergeCell ref="AU2:AX2"/>
    <mergeCell ref="AY2:BB2"/>
  </mergeCells>
  <conditionalFormatting sqref="E6:E25">
    <cfRule type="colorScale" priority="110">
      <colorScale>
        <cfvo type="min"/>
        <cfvo type="percentile" val="50"/>
        <cfvo type="max"/>
        <color rgb="FF63BE7B"/>
        <color rgb="FFFFEB84"/>
        <color rgb="FFF8696B"/>
      </colorScale>
    </cfRule>
  </conditionalFormatting>
  <conditionalFormatting sqref="F6:F25">
    <cfRule type="colorScale" priority="34">
      <colorScale>
        <cfvo type="min"/>
        <cfvo type="percentile" val="50"/>
        <cfvo type="max"/>
        <color rgb="FFF8696B"/>
        <color rgb="FFFFEB84"/>
        <color rgb="FF63BE7B"/>
      </colorScale>
    </cfRule>
  </conditionalFormatting>
  <conditionalFormatting sqref="N5:N26">
    <cfRule type="cellIs" dxfId="56" priority="1129" operator="greaterThan">
      <formula>0</formula>
    </cfRule>
    <cfRule type="cellIs" dxfId="55" priority="1128" operator="lessThanOrEqual">
      <formula>0</formula>
    </cfRule>
    <cfRule type="iconSet" priority="1130">
      <iconSet reverse="1">
        <cfvo type="percent" val="0"/>
        <cfvo type="num" val="9.9999999999999995E-7"/>
        <cfvo type="num" val="9.9999999999999995E-7"/>
      </iconSet>
    </cfRule>
  </conditionalFormatting>
  <conditionalFormatting sqref="R5:R26">
    <cfRule type="iconSet" priority="1136">
      <iconSet reverse="1">
        <cfvo type="percent" val="0"/>
        <cfvo type="num" val="9.9999999999999995E-7"/>
        <cfvo type="num" val="9.9999999999999995E-7"/>
      </iconSet>
    </cfRule>
    <cfRule type="cellIs" dxfId="54" priority="1135" operator="greaterThan">
      <formula>0</formula>
    </cfRule>
    <cfRule type="cellIs" dxfId="53" priority="1134" operator="lessThanOrEqual">
      <formula>0</formula>
    </cfRule>
  </conditionalFormatting>
  <conditionalFormatting sqref="V5:V25">
    <cfRule type="iconSet" priority="33">
      <iconSet reverse="1">
        <cfvo type="percent" val="0"/>
        <cfvo type="num" val="9.9999999999999995E-7"/>
        <cfvo type="num" val="9.9999999999999995E-7"/>
      </iconSet>
    </cfRule>
  </conditionalFormatting>
  <conditionalFormatting sqref="V5:V26">
    <cfRule type="cellIs" dxfId="52" priority="32" operator="greaterThan">
      <formula>0</formula>
    </cfRule>
    <cfRule type="cellIs" dxfId="51" priority="31" operator="lessThanOrEqual">
      <formula>0</formula>
    </cfRule>
  </conditionalFormatting>
  <conditionalFormatting sqref="V26">
    <cfRule type="iconSet" priority="67">
      <iconSet reverse="1">
        <cfvo type="percent" val="0"/>
        <cfvo type="num" val="9.9999999999999995E-7"/>
        <cfvo type="num" val="9.9999999999999995E-7"/>
      </iconSet>
    </cfRule>
  </conditionalFormatting>
  <conditionalFormatting sqref="Z5:Z25">
    <cfRule type="iconSet" priority="30">
      <iconSet reverse="1">
        <cfvo type="percent" val="0"/>
        <cfvo type="num" val="9.9999999999999995E-7"/>
        <cfvo type="num" val="9.9999999999999995E-7"/>
      </iconSet>
    </cfRule>
  </conditionalFormatting>
  <conditionalFormatting sqref="Z5:Z26">
    <cfRule type="cellIs" dxfId="50" priority="28" operator="lessThanOrEqual">
      <formula>0</formula>
    </cfRule>
    <cfRule type="cellIs" dxfId="49" priority="29" operator="greaterThan">
      <formula>0</formula>
    </cfRule>
  </conditionalFormatting>
  <conditionalFormatting sqref="Z26">
    <cfRule type="iconSet" priority="64">
      <iconSet reverse="1">
        <cfvo type="percent" val="0"/>
        <cfvo type="num" val="9.9999999999999995E-7"/>
        <cfvo type="num" val="9.9999999999999995E-7"/>
      </iconSet>
    </cfRule>
  </conditionalFormatting>
  <conditionalFormatting sqref="AD5:AD25">
    <cfRule type="iconSet" priority="27">
      <iconSet reverse="1">
        <cfvo type="percent" val="0"/>
        <cfvo type="num" val="9.9999999999999995E-7"/>
        <cfvo type="num" val="9.9999999999999995E-7"/>
      </iconSet>
    </cfRule>
  </conditionalFormatting>
  <conditionalFormatting sqref="AD5:AD26">
    <cfRule type="cellIs" dxfId="48" priority="25" operator="lessThanOrEqual">
      <formula>0</formula>
    </cfRule>
    <cfRule type="cellIs" dxfId="47" priority="26" operator="greaterThan">
      <formula>0</formula>
    </cfRule>
  </conditionalFormatting>
  <conditionalFormatting sqref="AD26">
    <cfRule type="iconSet" priority="61">
      <iconSet reverse="1">
        <cfvo type="percent" val="0"/>
        <cfvo type="num" val="9.9999999999999995E-7"/>
        <cfvo type="num" val="9.9999999999999995E-7"/>
      </iconSet>
    </cfRule>
  </conditionalFormatting>
  <conditionalFormatting sqref="AH5:AH25">
    <cfRule type="iconSet" priority="24">
      <iconSet reverse="1">
        <cfvo type="percent" val="0"/>
        <cfvo type="num" val="9.9999999999999995E-7"/>
        <cfvo type="num" val="9.9999999999999995E-7"/>
      </iconSet>
    </cfRule>
  </conditionalFormatting>
  <conditionalFormatting sqref="AH5:AH26">
    <cfRule type="cellIs" dxfId="46" priority="23" operator="greaterThan">
      <formula>0</formula>
    </cfRule>
    <cfRule type="cellIs" dxfId="45" priority="22" operator="lessThanOrEqual">
      <formula>0</formula>
    </cfRule>
  </conditionalFormatting>
  <conditionalFormatting sqref="AH26">
    <cfRule type="iconSet" priority="58">
      <iconSet reverse="1">
        <cfvo type="percent" val="0"/>
        <cfvo type="num" val="9.9999999999999995E-7"/>
        <cfvo type="num" val="9.9999999999999995E-7"/>
      </iconSet>
    </cfRule>
  </conditionalFormatting>
  <conditionalFormatting sqref="AL5:AL25">
    <cfRule type="iconSet" priority="21">
      <iconSet reverse="1">
        <cfvo type="percent" val="0"/>
        <cfvo type="num" val="9.9999999999999995E-7"/>
        <cfvo type="num" val="9.9999999999999995E-7"/>
      </iconSet>
    </cfRule>
  </conditionalFormatting>
  <conditionalFormatting sqref="AL5:AL26">
    <cfRule type="cellIs" dxfId="44" priority="20" operator="greaterThan">
      <formula>0</formula>
    </cfRule>
    <cfRule type="cellIs" dxfId="43" priority="19" operator="lessThanOrEqual">
      <formula>0</formula>
    </cfRule>
  </conditionalFormatting>
  <conditionalFormatting sqref="AL26">
    <cfRule type="iconSet" priority="55">
      <iconSet reverse="1">
        <cfvo type="percent" val="0"/>
        <cfvo type="num" val="9.9999999999999995E-7"/>
        <cfvo type="num" val="9.9999999999999995E-7"/>
      </iconSet>
    </cfRule>
  </conditionalFormatting>
  <conditionalFormatting sqref="AP5:AP25">
    <cfRule type="iconSet" priority="18">
      <iconSet reverse="1">
        <cfvo type="percent" val="0"/>
        <cfvo type="num" val="9.9999999999999995E-7"/>
        <cfvo type="num" val="9.9999999999999995E-7"/>
      </iconSet>
    </cfRule>
  </conditionalFormatting>
  <conditionalFormatting sqref="AP5:AP26">
    <cfRule type="cellIs" dxfId="42" priority="16" operator="lessThanOrEqual">
      <formula>0</formula>
    </cfRule>
    <cfRule type="cellIs" dxfId="41" priority="17" operator="greaterThan">
      <formula>0</formula>
    </cfRule>
  </conditionalFormatting>
  <conditionalFormatting sqref="AP26">
    <cfRule type="iconSet" priority="52">
      <iconSet reverse="1">
        <cfvo type="percent" val="0"/>
        <cfvo type="num" val="9.9999999999999995E-7"/>
        <cfvo type="num" val="9.9999999999999995E-7"/>
      </iconSet>
    </cfRule>
  </conditionalFormatting>
  <conditionalFormatting sqref="AT5:AT25">
    <cfRule type="iconSet" priority="15">
      <iconSet reverse="1">
        <cfvo type="percent" val="0"/>
        <cfvo type="num" val="9.9999999999999995E-7"/>
        <cfvo type="num" val="9.9999999999999995E-7"/>
      </iconSet>
    </cfRule>
  </conditionalFormatting>
  <conditionalFormatting sqref="AT5:AT26">
    <cfRule type="cellIs" dxfId="40" priority="14" operator="greaterThan">
      <formula>0</formula>
    </cfRule>
    <cfRule type="cellIs" dxfId="39" priority="13" operator="lessThanOrEqual">
      <formula>0</formula>
    </cfRule>
  </conditionalFormatting>
  <conditionalFormatting sqref="AT26">
    <cfRule type="iconSet" priority="49">
      <iconSet reverse="1">
        <cfvo type="percent" val="0"/>
        <cfvo type="num" val="9.9999999999999995E-7"/>
        <cfvo type="num" val="9.9999999999999995E-7"/>
      </iconSet>
    </cfRule>
  </conditionalFormatting>
  <conditionalFormatting sqref="AX5:AX25">
    <cfRule type="iconSet" priority="12">
      <iconSet reverse="1">
        <cfvo type="percent" val="0"/>
        <cfvo type="num" val="9.9999999999999995E-7"/>
        <cfvo type="num" val="9.9999999999999995E-7"/>
      </iconSet>
    </cfRule>
  </conditionalFormatting>
  <conditionalFormatting sqref="AX5:AX26">
    <cfRule type="cellIs" dxfId="38" priority="11" operator="greaterThan">
      <formula>0</formula>
    </cfRule>
    <cfRule type="cellIs" dxfId="37" priority="10" operator="lessThanOrEqual">
      <formula>0</formula>
    </cfRule>
  </conditionalFormatting>
  <conditionalFormatting sqref="AX26">
    <cfRule type="iconSet" priority="46">
      <iconSet reverse="1">
        <cfvo type="percent" val="0"/>
        <cfvo type="num" val="9.9999999999999995E-7"/>
        <cfvo type="num" val="9.9999999999999995E-7"/>
      </iconSet>
    </cfRule>
  </conditionalFormatting>
  <conditionalFormatting sqref="BB5:BB25">
    <cfRule type="iconSet" priority="9">
      <iconSet reverse="1">
        <cfvo type="percent" val="0"/>
        <cfvo type="num" val="9.9999999999999995E-7"/>
        <cfvo type="num" val="9.9999999999999995E-7"/>
      </iconSet>
    </cfRule>
  </conditionalFormatting>
  <conditionalFormatting sqref="BB5:BB26">
    <cfRule type="cellIs" dxfId="36" priority="8" operator="greaterThan">
      <formula>0</formula>
    </cfRule>
    <cfRule type="cellIs" dxfId="35" priority="7" operator="lessThanOrEqual">
      <formula>0</formula>
    </cfRule>
  </conditionalFormatting>
  <conditionalFormatting sqref="BB26">
    <cfRule type="iconSet" priority="43">
      <iconSet reverse="1">
        <cfvo type="percent" val="0"/>
        <cfvo type="num" val="9.9999999999999995E-7"/>
        <cfvo type="num" val="9.9999999999999995E-7"/>
      </iconSet>
    </cfRule>
  </conditionalFormatting>
  <conditionalFormatting sqref="BF5:BF25">
    <cfRule type="iconSet" priority="6">
      <iconSet reverse="1">
        <cfvo type="percent" val="0"/>
        <cfvo type="num" val="9.9999999999999995E-7"/>
        <cfvo type="num" val="9.9999999999999995E-7"/>
      </iconSet>
    </cfRule>
  </conditionalFormatting>
  <conditionalFormatting sqref="BF5:BF26">
    <cfRule type="cellIs" dxfId="34" priority="5" operator="greaterThan">
      <formula>0</formula>
    </cfRule>
    <cfRule type="cellIs" dxfId="33" priority="4" operator="lessThanOrEqual">
      <formula>0</formula>
    </cfRule>
  </conditionalFormatting>
  <conditionalFormatting sqref="BF26">
    <cfRule type="iconSet" priority="40">
      <iconSet reverse="1">
        <cfvo type="percent" val="0"/>
        <cfvo type="num" val="9.9999999999999995E-7"/>
        <cfvo type="num" val="9.9999999999999995E-7"/>
      </iconSet>
    </cfRule>
  </conditionalFormatting>
  <conditionalFormatting sqref="BJ5:BJ26">
    <cfRule type="cellIs" dxfId="32" priority="1206" operator="lessThanOrEqual">
      <formula>0</formula>
    </cfRule>
    <cfRule type="cellIs" dxfId="31" priority="1207" operator="greaterThan">
      <formula>0</formula>
    </cfRule>
    <cfRule type="iconSet" priority="1208">
      <iconSet reverse="1">
        <cfvo type="percent" val="0"/>
        <cfvo type="num" val="9.9999999999999995E-7"/>
        <cfvo type="num" val="9.9999999999999995E-7"/>
      </iconSet>
    </cfRule>
  </conditionalFormatting>
  <dataValidations disablePrompts="1" count="1">
    <dataValidation type="date" allowBlank="1" showInputMessage="1" showErrorMessage="1" errorTitle="Atenção" error="Insira uma data válida" sqref="K2 O2 S2 W2 AA2 AE2 AI2 AM2 AQ2 AU2 AY2 BC2" xr:uid="{5AD2FF43-FD5E-4B28-AE2C-DCD11E2ABD36}">
      <formula1>43466</formula1>
      <formula2>1132254</formula2>
    </dataValidation>
  </dataValidations>
  <hyperlinks>
    <hyperlink ref="B2" location="PAINEL!A1" display="&lt;&lt; VOLTAR AO PAINEL DE CONTROLE" xr:uid="{4B71D361-071D-4848-B06F-19A23380B4C9}"/>
  </hyperlink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BB61-45B8-44CE-BBCF-C68F5543E9A6}">
  <sheetPr>
    <tabColor theme="0" tint="-4.9989318521683403E-2"/>
  </sheetPr>
  <dimension ref="B2:BL26"/>
  <sheetViews>
    <sheetView showGridLines="0" zoomScale="60" zoomScaleNormal="60" workbookViewId="0">
      <pane ySplit="3" topLeftCell="A4" activePane="bottomLeft" state="frozen"/>
      <selection activeCell="B5" sqref="B5:B9"/>
      <selection pane="bottomLeft" activeCell="B2" sqref="B2"/>
    </sheetView>
  </sheetViews>
  <sheetFormatPr defaultRowHeight="14.5" outlineLevelCol="1" x14ac:dyDescent="0.35"/>
  <cols>
    <col min="2" max="2" width="18" customWidth="1"/>
    <col min="3" max="3" width="42.26953125" customWidth="1"/>
    <col min="4" max="4" width="19.54296875" customWidth="1"/>
    <col min="5" max="5" width="16.7265625" bestFit="1" customWidth="1"/>
    <col min="6" max="6" width="21.81640625" bestFit="1" customWidth="1"/>
    <col min="7" max="8" width="27.81640625" customWidth="1"/>
    <col min="10" max="10" width="8.7265625" customWidth="1" outlineLevel="1"/>
    <col min="11" max="11" width="25.54296875" customWidth="1" outlineLevel="1"/>
    <col min="12" max="12" width="18.54296875" customWidth="1" outlineLevel="1"/>
    <col min="13" max="60" width="12.54296875" customWidth="1" outlineLevel="1"/>
    <col min="61" max="63" width="16.453125" customWidth="1" outlineLevel="1"/>
    <col min="64" max="64" width="15.81640625" customWidth="1" outlineLevel="1"/>
  </cols>
  <sheetData>
    <row r="2" spans="2:64" ht="46.5" customHeight="1" x14ac:dyDescent="0.35">
      <c r="B2" s="247" t="s">
        <v>147</v>
      </c>
      <c r="C2" s="486" t="s">
        <v>142</v>
      </c>
      <c r="D2" s="487"/>
      <c r="E2" s="487"/>
      <c r="F2" s="487"/>
      <c r="G2" s="487"/>
      <c r="H2" s="487"/>
      <c r="J2" s="483" t="s">
        <v>893</v>
      </c>
      <c r="K2" s="484"/>
      <c r="L2" s="485"/>
      <c r="M2" s="481">
        <v>45658</v>
      </c>
      <c r="N2" s="482"/>
      <c r="O2" s="482"/>
      <c r="P2" s="482"/>
      <c r="Q2" s="481">
        <f>DATE(YEAR(M2),MONTH(M2)+1,DAY(M2))</f>
        <v>45689</v>
      </c>
      <c r="R2" s="482"/>
      <c r="S2" s="482"/>
      <c r="T2" s="482"/>
      <c r="U2" s="481">
        <f>DATE(YEAR(Q2),MONTH(Q2)+1,DAY(Q2))</f>
        <v>45717</v>
      </c>
      <c r="V2" s="482"/>
      <c r="W2" s="482"/>
      <c r="X2" s="482"/>
      <c r="Y2" s="491">
        <f>DATE(YEAR(U2),MONTH(U2)+1,DAY(U2))</f>
        <v>45748</v>
      </c>
      <c r="Z2" s="492"/>
      <c r="AA2" s="492"/>
      <c r="AB2" s="492"/>
      <c r="AC2" s="481">
        <f>DATE(YEAR(Y2),MONTH(Y2)+1,DAY(Y2))</f>
        <v>45778</v>
      </c>
      <c r="AD2" s="482"/>
      <c r="AE2" s="482"/>
      <c r="AF2" s="482"/>
      <c r="AG2" s="481">
        <f>DATE(YEAR(AC2),MONTH(AC2)+1,DAY(AC2))</f>
        <v>45809</v>
      </c>
      <c r="AH2" s="482"/>
      <c r="AI2" s="482"/>
      <c r="AJ2" s="482"/>
      <c r="AK2" s="481">
        <f>DATE(YEAR(AG2),MONTH(AG2)+1,DAY(AG2))</f>
        <v>45839</v>
      </c>
      <c r="AL2" s="482"/>
      <c r="AM2" s="482"/>
      <c r="AN2" s="482"/>
      <c r="AO2" s="481">
        <f>DATE(YEAR(AK2),MONTH(AK2)+1,DAY(AK2))</f>
        <v>45870</v>
      </c>
      <c r="AP2" s="482"/>
      <c r="AQ2" s="482"/>
      <c r="AR2" s="482"/>
      <c r="AS2" s="481">
        <f>DATE(YEAR(AO2),MONTH(AO2)+1,DAY(AO2))</f>
        <v>45901</v>
      </c>
      <c r="AT2" s="482"/>
      <c r="AU2" s="482"/>
      <c r="AV2" s="482"/>
      <c r="AW2" s="481">
        <f>DATE(YEAR(AS2),MONTH(AS2)+1,DAY(AS2))</f>
        <v>45931</v>
      </c>
      <c r="AX2" s="482"/>
      <c r="AY2" s="482"/>
      <c r="AZ2" s="482"/>
      <c r="BA2" s="481">
        <f>DATE(YEAR(AW2),MONTH(AW2)+1,DAY(AW2))</f>
        <v>45962</v>
      </c>
      <c r="BB2" s="482"/>
      <c r="BC2" s="482"/>
      <c r="BD2" s="482"/>
      <c r="BE2" s="481">
        <f>DATE(YEAR(BA2),MONTH(BA2)+1,DAY(BA2))</f>
        <v>45992</v>
      </c>
      <c r="BF2" s="482"/>
      <c r="BG2" s="482"/>
      <c r="BH2" s="482"/>
      <c r="BI2" s="481" t="s">
        <v>891</v>
      </c>
      <c r="BJ2" s="482"/>
      <c r="BK2" s="482"/>
      <c r="BL2" s="482"/>
    </row>
    <row r="3" spans="2:64" ht="54" customHeight="1" x14ac:dyDescent="0.35">
      <c r="B3" s="493" t="s">
        <v>886</v>
      </c>
      <c r="C3" s="494"/>
      <c r="D3" s="494"/>
      <c r="E3" s="495"/>
      <c r="F3" s="248">
        <f>SUM(F6:F25)</f>
        <v>3940000</v>
      </c>
      <c r="G3" s="488"/>
      <c r="H3" s="489"/>
      <c r="J3" s="243" t="s">
        <v>55</v>
      </c>
      <c r="K3" s="249" t="s">
        <v>890</v>
      </c>
      <c r="L3" s="252" t="s">
        <v>884</v>
      </c>
      <c r="M3" s="249" t="s">
        <v>440</v>
      </c>
      <c r="N3" s="249" t="s">
        <v>889</v>
      </c>
      <c r="O3" s="249" t="s">
        <v>888</v>
      </c>
      <c r="P3" s="249" t="s">
        <v>887</v>
      </c>
      <c r="Q3" s="238" t="s">
        <v>440</v>
      </c>
      <c r="R3" s="238" t="s">
        <v>889</v>
      </c>
      <c r="S3" s="238" t="s">
        <v>888</v>
      </c>
      <c r="T3" s="238" t="s">
        <v>887</v>
      </c>
      <c r="U3" s="238" t="s">
        <v>440</v>
      </c>
      <c r="V3" s="238" t="s">
        <v>889</v>
      </c>
      <c r="W3" s="238" t="s">
        <v>888</v>
      </c>
      <c r="X3" s="238" t="s">
        <v>887</v>
      </c>
      <c r="Y3" s="238" t="s">
        <v>440</v>
      </c>
      <c r="Z3" s="238" t="s">
        <v>889</v>
      </c>
      <c r="AA3" s="238" t="s">
        <v>888</v>
      </c>
      <c r="AB3" s="238" t="s">
        <v>887</v>
      </c>
      <c r="AC3" s="238" t="s">
        <v>440</v>
      </c>
      <c r="AD3" s="238" t="s">
        <v>889</v>
      </c>
      <c r="AE3" s="238" t="s">
        <v>888</v>
      </c>
      <c r="AF3" s="238" t="s">
        <v>887</v>
      </c>
      <c r="AG3" s="238" t="s">
        <v>440</v>
      </c>
      <c r="AH3" s="238" t="s">
        <v>889</v>
      </c>
      <c r="AI3" s="238" t="s">
        <v>888</v>
      </c>
      <c r="AJ3" s="238" t="s">
        <v>887</v>
      </c>
      <c r="AK3" s="238" t="s">
        <v>440</v>
      </c>
      <c r="AL3" s="238" t="s">
        <v>889</v>
      </c>
      <c r="AM3" s="238" t="s">
        <v>888</v>
      </c>
      <c r="AN3" s="238" t="s">
        <v>887</v>
      </c>
      <c r="AO3" s="238" t="s">
        <v>440</v>
      </c>
      <c r="AP3" s="238" t="s">
        <v>889</v>
      </c>
      <c r="AQ3" s="238" t="s">
        <v>888</v>
      </c>
      <c r="AR3" s="238" t="s">
        <v>887</v>
      </c>
      <c r="AS3" s="238" t="s">
        <v>440</v>
      </c>
      <c r="AT3" s="238" t="s">
        <v>889</v>
      </c>
      <c r="AU3" s="238" t="s">
        <v>888</v>
      </c>
      <c r="AV3" s="238" t="s">
        <v>887</v>
      </c>
      <c r="AW3" s="238" t="s">
        <v>440</v>
      </c>
      <c r="AX3" s="238" t="s">
        <v>889</v>
      </c>
      <c r="AY3" s="238" t="s">
        <v>888</v>
      </c>
      <c r="AZ3" s="238" t="s">
        <v>887</v>
      </c>
      <c r="BA3" s="238" t="s">
        <v>440</v>
      </c>
      <c r="BB3" s="238" t="s">
        <v>889</v>
      </c>
      <c r="BC3" s="238" t="s">
        <v>888</v>
      </c>
      <c r="BD3" s="238" t="s">
        <v>887</v>
      </c>
      <c r="BE3" s="238" t="s">
        <v>440</v>
      </c>
      <c r="BF3" s="238" t="s">
        <v>889</v>
      </c>
      <c r="BG3" s="238" t="s">
        <v>888</v>
      </c>
      <c r="BH3" s="238" t="s">
        <v>887</v>
      </c>
      <c r="BI3" s="238" t="s">
        <v>440</v>
      </c>
      <c r="BJ3" s="238" t="s">
        <v>889</v>
      </c>
      <c r="BK3" s="238" t="s">
        <v>888</v>
      </c>
      <c r="BL3" s="238" t="s">
        <v>887</v>
      </c>
    </row>
    <row r="4" spans="2:64" ht="5.5" customHeight="1" x14ac:dyDescent="0.35">
      <c r="B4" s="23"/>
      <c r="C4" s="24"/>
      <c r="D4" s="24"/>
      <c r="E4" s="24"/>
      <c r="F4" s="24"/>
      <c r="G4" s="24"/>
      <c r="H4" s="24"/>
    </row>
    <row r="5" spans="2:64" ht="29" x14ac:dyDescent="0.35">
      <c r="B5" s="257" t="s">
        <v>55</v>
      </c>
      <c r="C5" s="258" t="s">
        <v>883</v>
      </c>
      <c r="D5" s="238" t="s">
        <v>895</v>
      </c>
      <c r="E5" s="238" t="s">
        <v>897</v>
      </c>
      <c r="F5" s="238" t="s">
        <v>896</v>
      </c>
      <c r="G5" s="258" t="s">
        <v>894</v>
      </c>
      <c r="H5" s="258" t="s">
        <v>894</v>
      </c>
      <c r="J5" s="259">
        <v>1</v>
      </c>
      <c r="K5" s="251" t="s">
        <v>992</v>
      </c>
      <c r="L5" s="240">
        <v>100000</v>
      </c>
      <c r="M5" s="295">
        <v>150000</v>
      </c>
      <c r="N5" s="295">
        <v>180000</v>
      </c>
      <c r="O5" s="295">
        <f>IF(AND(M5="",N5=""),"-",N5-M5)</f>
        <v>30000</v>
      </c>
      <c r="P5" s="296">
        <f>IFERROR((N5/M5)-1,"-")</f>
        <v>0.19999999999999996</v>
      </c>
      <c r="Q5" s="295"/>
      <c r="R5" s="295"/>
      <c r="S5" s="295" t="str">
        <f>IF(AND(Q5="",R5=""),"-",R5-Q5)</f>
        <v>-</v>
      </c>
      <c r="T5" s="296" t="str">
        <f>IFERROR((R5/Q5)-1,"-")</f>
        <v>-</v>
      </c>
      <c r="U5" s="295"/>
      <c r="V5" s="295"/>
      <c r="W5" s="295" t="str">
        <f>IF(AND(U5="",V5=""),"-",V5-U5)</f>
        <v>-</v>
      </c>
      <c r="X5" s="296" t="str">
        <f>IFERROR((V5/U5)-1,"-")</f>
        <v>-</v>
      </c>
      <c r="Y5" s="295"/>
      <c r="Z5" s="295"/>
      <c r="AA5" s="295" t="str">
        <f>IF(AND(Y5="",Z5=""),"-",Z5-Y5)</f>
        <v>-</v>
      </c>
      <c r="AB5" s="296" t="str">
        <f>IFERROR((Z5/Y5)-1,"-")</f>
        <v>-</v>
      </c>
      <c r="AC5" s="295"/>
      <c r="AD5" s="295"/>
      <c r="AE5" s="295" t="str">
        <f>IF(AND(AC5="",AD5=""),"-",AD5-AC5)</f>
        <v>-</v>
      </c>
      <c r="AF5" s="296" t="str">
        <f>IFERROR((AD5/AC5)-1,"-")</f>
        <v>-</v>
      </c>
      <c r="AG5" s="295"/>
      <c r="AH5" s="295"/>
      <c r="AI5" s="295" t="str">
        <f>IF(AND(AG5="",AH5=""),"-",AH5-AG5)</f>
        <v>-</v>
      </c>
      <c r="AJ5" s="296" t="str">
        <f>IFERROR((AH5/AG5)-1,"-")</f>
        <v>-</v>
      </c>
      <c r="AK5" s="295"/>
      <c r="AL5" s="295"/>
      <c r="AM5" s="295" t="str">
        <f>IF(AND(AK5="",AL5=""),"-",AL5-AK5)</f>
        <v>-</v>
      </c>
      <c r="AN5" s="296" t="str">
        <f>IFERROR((AL5/AK5)-1,"-")</f>
        <v>-</v>
      </c>
      <c r="AO5" s="295"/>
      <c r="AP5" s="295"/>
      <c r="AQ5" s="295" t="str">
        <f>IF(AND(AO5="",AP5=""),"-",AP5-AO5)</f>
        <v>-</v>
      </c>
      <c r="AR5" s="296" t="str">
        <f>IFERROR((AP5/AO5)-1,"-")</f>
        <v>-</v>
      </c>
      <c r="AS5" s="295"/>
      <c r="AT5" s="295"/>
      <c r="AU5" s="295" t="str">
        <f>IF(AND(AS5="",AT5=""),"-",AT5-AS5)</f>
        <v>-</v>
      </c>
      <c r="AV5" s="296" t="str">
        <f>IFERROR((AT5/AS5)-1,"-")</f>
        <v>-</v>
      </c>
      <c r="AW5" s="295"/>
      <c r="AX5" s="295"/>
      <c r="AY5" s="295" t="str">
        <f>IF(AND(AW5="",AX5=""),"-",AX5-AW5)</f>
        <v>-</v>
      </c>
      <c r="AZ5" s="296" t="str">
        <f>IFERROR((AX5/AW5)-1,"-")</f>
        <v>-</v>
      </c>
      <c r="BA5" s="295"/>
      <c r="BB5" s="295"/>
      <c r="BC5" s="295" t="str">
        <f>IF(AND(BA5="",BB5=""),"-",BB5-BA5)</f>
        <v>-</v>
      </c>
      <c r="BD5" s="296" t="str">
        <f>IFERROR((BB5/BA5)-1,"-")</f>
        <v>-</v>
      </c>
      <c r="BE5" s="295"/>
      <c r="BF5" s="295"/>
      <c r="BG5" s="295" t="str">
        <f>IF(AND(BE5="",BF5=""),"-",BF5-BE5)</f>
        <v>-</v>
      </c>
      <c r="BH5" s="296" t="str">
        <f>IFERROR((BF5/BE5)-1,"-")</f>
        <v>-</v>
      </c>
      <c r="BI5" s="242">
        <f t="shared" ref="BI5:BI25" si="0">BE5+BA5+AW5+AS5+AO5+AK5+AG5+AC5+Y5+U5+Q5+M5</f>
        <v>150000</v>
      </c>
      <c r="BJ5" s="242">
        <f t="shared" ref="BJ5:BJ25" si="1">BF5+BB5+AX5+AT5+AP5+AL5+AH5+AD5+Z5+V5+R5+N5</f>
        <v>180000</v>
      </c>
      <c r="BK5" s="242">
        <f>IF(AND(BI5="",BJ5=""),"-",BJ5-BI5)</f>
        <v>30000</v>
      </c>
      <c r="BL5" s="241">
        <f>IFERROR((BJ5/BI5)-1,"-")</f>
        <v>0.19999999999999996</v>
      </c>
    </row>
    <row r="6" spans="2:64" ht="20" x14ac:dyDescent="0.35">
      <c r="B6" s="259">
        <v>6</v>
      </c>
      <c r="C6" s="239" t="s">
        <v>890</v>
      </c>
      <c r="D6" s="240">
        <v>150</v>
      </c>
      <c r="E6" s="264">
        <v>0.25</v>
      </c>
      <c r="F6" s="240">
        <v>300000</v>
      </c>
      <c r="G6" s="341">
        <f t="shared" ref="G6:G25" si="2">F6/$F$3</f>
        <v>7.6142131979695438E-2</v>
      </c>
      <c r="H6" s="265">
        <f>G6</f>
        <v>7.6142131979695438E-2</v>
      </c>
      <c r="J6" s="259">
        <v>2</v>
      </c>
      <c r="K6" s="251" t="s">
        <v>992</v>
      </c>
      <c r="L6" s="240">
        <v>100000</v>
      </c>
      <c r="M6" s="295">
        <v>100000</v>
      </c>
      <c r="N6" s="295">
        <v>95000</v>
      </c>
      <c r="O6" s="295">
        <f t="shared" ref="O6:O26" si="3">IF(AND(M6="",N6=""),"-",N6-M6)</f>
        <v>-5000</v>
      </c>
      <c r="P6" s="296">
        <f t="shared" ref="P6:P26" si="4">IFERROR((N6/M6)-1,"-")</f>
        <v>-5.0000000000000044E-2</v>
      </c>
      <c r="Q6" s="295"/>
      <c r="R6" s="295"/>
      <c r="S6" s="295" t="str">
        <f t="shared" ref="S6:S26" si="5">IF(AND(Q6="",R6=""),"-",R6-Q6)</f>
        <v>-</v>
      </c>
      <c r="T6" s="296" t="str">
        <f t="shared" ref="T6:T26" si="6">IFERROR((R6/Q6)-1,"-")</f>
        <v>-</v>
      </c>
      <c r="U6" s="295"/>
      <c r="V6" s="295"/>
      <c r="W6" s="295" t="str">
        <f t="shared" ref="W6:W26" si="7">IF(AND(U6="",V6=""),"-",V6-U6)</f>
        <v>-</v>
      </c>
      <c r="X6" s="296" t="str">
        <f t="shared" ref="X6:X26" si="8">IFERROR((V6/U6)-1,"-")</f>
        <v>-</v>
      </c>
      <c r="Y6" s="295"/>
      <c r="Z6" s="295"/>
      <c r="AA6" s="295" t="str">
        <f t="shared" ref="AA6:AA26" si="9">IF(AND(Y6="",Z6=""),"-",Z6-Y6)</f>
        <v>-</v>
      </c>
      <c r="AB6" s="296" t="str">
        <f t="shared" ref="AB6:AB26" si="10">IFERROR((Z6/Y6)-1,"-")</f>
        <v>-</v>
      </c>
      <c r="AC6" s="295"/>
      <c r="AD6" s="295"/>
      <c r="AE6" s="295" t="str">
        <f t="shared" ref="AE6:AE26" si="11">IF(AND(AC6="",AD6=""),"-",AD6-AC6)</f>
        <v>-</v>
      </c>
      <c r="AF6" s="296" t="str">
        <f t="shared" ref="AF6:AF26" si="12">IFERROR((AD6/AC6)-1,"-")</f>
        <v>-</v>
      </c>
      <c r="AG6" s="295"/>
      <c r="AH6" s="295"/>
      <c r="AI6" s="295" t="str">
        <f t="shared" ref="AI6:AI26" si="13">IF(AND(AG6="",AH6=""),"-",AH6-AG6)</f>
        <v>-</v>
      </c>
      <c r="AJ6" s="296" t="str">
        <f t="shared" ref="AJ6:AJ26" si="14">IFERROR((AH6/AG6)-1,"-")</f>
        <v>-</v>
      </c>
      <c r="AK6" s="295"/>
      <c r="AL6" s="295"/>
      <c r="AM6" s="295" t="str">
        <f t="shared" ref="AM6:AM26" si="15">IF(AND(AK6="",AL6=""),"-",AL6-AK6)</f>
        <v>-</v>
      </c>
      <c r="AN6" s="296" t="str">
        <f t="shared" ref="AN6:AN26" si="16">IFERROR((AL6/AK6)-1,"-")</f>
        <v>-</v>
      </c>
      <c r="AO6" s="295"/>
      <c r="AP6" s="295"/>
      <c r="AQ6" s="295" t="str">
        <f t="shared" ref="AQ6:AQ26" si="17">IF(AND(AO6="",AP6=""),"-",AP6-AO6)</f>
        <v>-</v>
      </c>
      <c r="AR6" s="296" t="str">
        <f t="shared" ref="AR6:AR26" si="18">IFERROR((AP6/AO6)-1,"-")</f>
        <v>-</v>
      </c>
      <c r="AS6" s="295"/>
      <c r="AT6" s="295"/>
      <c r="AU6" s="295" t="str">
        <f t="shared" ref="AU6:AU26" si="19">IF(AND(AS6="",AT6=""),"-",AT6-AS6)</f>
        <v>-</v>
      </c>
      <c r="AV6" s="296" t="str">
        <f t="shared" ref="AV6:AV26" si="20">IFERROR((AT6/AS6)-1,"-")</f>
        <v>-</v>
      </c>
      <c r="AW6" s="295"/>
      <c r="AX6" s="295"/>
      <c r="AY6" s="295" t="str">
        <f t="shared" ref="AY6:AY26" si="21">IF(AND(AW6="",AX6=""),"-",AX6-AW6)</f>
        <v>-</v>
      </c>
      <c r="AZ6" s="296" t="str">
        <f t="shared" ref="AZ6:AZ26" si="22">IFERROR((AX6/AW6)-1,"-")</f>
        <v>-</v>
      </c>
      <c r="BA6" s="295"/>
      <c r="BB6" s="295"/>
      <c r="BC6" s="295" t="str">
        <f t="shared" ref="BC6:BC26" si="23">IF(AND(BA6="",BB6=""),"-",BB6-BA6)</f>
        <v>-</v>
      </c>
      <c r="BD6" s="296" t="str">
        <f t="shared" ref="BD6:BD26" si="24">IFERROR((BB6/BA6)-1,"-")</f>
        <v>-</v>
      </c>
      <c r="BE6" s="295"/>
      <c r="BF6" s="295"/>
      <c r="BG6" s="295" t="str">
        <f t="shared" ref="BG6:BG26" si="25">IF(AND(BE6="",BF6=""),"-",BF6-BE6)</f>
        <v>-</v>
      </c>
      <c r="BH6" s="296" t="str">
        <f t="shared" ref="BH6:BH26" si="26">IFERROR((BF6/BE6)-1,"-")</f>
        <v>-</v>
      </c>
      <c r="BI6" s="242">
        <f t="shared" si="0"/>
        <v>100000</v>
      </c>
      <c r="BJ6" s="242">
        <f t="shared" si="1"/>
        <v>95000</v>
      </c>
      <c r="BK6" s="242">
        <f t="shared" ref="BK6:BK25" si="27">IF(AND(BI6="",BJ6=""),"-",BJ6-BI6)</f>
        <v>-5000</v>
      </c>
      <c r="BL6" s="241">
        <f t="shared" ref="BL6:BL25" si="28">IFERROR((BJ6/BI6)-1,"-")</f>
        <v>-5.0000000000000044E-2</v>
      </c>
    </row>
    <row r="7" spans="2:64" ht="20" x14ac:dyDescent="0.35">
      <c r="B7" s="259">
        <v>1</v>
      </c>
      <c r="C7" s="239" t="s">
        <v>890</v>
      </c>
      <c r="D7" s="240">
        <v>20</v>
      </c>
      <c r="E7" s="264">
        <v>0.1</v>
      </c>
      <c r="F7" s="240">
        <v>400000</v>
      </c>
      <c r="G7" s="341">
        <f t="shared" si="2"/>
        <v>0.10152284263959391</v>
      </c>
      <c r="H7" s="265">
        <f>G7+H6</f>
        <v>0.17766497461928935</v>
      </c>
      <c r="J7" s="259">
        <v>3</v>
      </c>
      <c r="K7" s="251" t="s">
        <v>992</v>
      </c>
      <c r="L7" s="240">
        <v>100000</v>
      </c>
      <c r="M7" s="295"/>
      <c r="N7" s="295"/>
      <c r="O7" s="295" t="str">
        <f t="shared" si="3"/>
        <v>-</v>
      </c>
      <c r="P7" s="296" t="str">
        <f t="shared" si="4"/>
        <v>-</v>
      </c>
      <c r="Q7" s="295"/>
      <c r="R7" s="295"/>
      <c r="S7" s="295" t="str">
        <f t="shared" si="5"/>
        <v>-</v>
      </c>
      <c r="T7" s="296" t="str">
        <f t="shared" si="6"/>
        <v>-</v>
      </c>
      <c r="U7" s="295"/>
      <c r="V7" s="295"/>
      <c r="W7" s="295" t="str">
        <f t="shared" si="7"/>
        <v>-</v>
      </c>
      <c r="X7" s="296" t="str">
        <f t="shared" si="8"/>
        <v>-</v>
      </c>
      <c r="Y7" s="295"/>
      <c r="Z7" s="295"/>
      <c r="AA7" s="295" t="str">
        <f t="shared" si="9"/>
        <v>-</v>
      </c>
      <c r="AB7" s="296" t="str">
        <f t="shared" si="10"/>
        <v>-</v>
      </c>
      <c r="AC7" s="295"/>
      <c r="AD7" s="295"/>
      <c r="AE7" s="295" t="str">
        <f t="shared" si="11"/>
        <v>-</v>
      </c>
      <c r="AF7" s="296" t="str">
        <f t="shared" si="12"/>
        <v>-</v>
      </c>
      <c r="AG7" s="295"/>
      <c r="AH7" s="295"/>
      <c r="AI7" s="295" t="str">
        <f t="shared" si="13"/>
        <v>-</v>
      </c>
      <c r="AJ7" s="296" t="str">
        <f t="shared" si="14"/>
        <v>-</v>
      </c>
      <c r="AK7" s="295"/>
      <c r="AL7" s="295"/>
      <c r="AM7" s="295" t="str">
        <f t="shared" si="15"/>
        <v>-</v>
      </c>
      <c r="AN7" s="296" t="str">
        <f t="shared" si="16"/>
        <v>-</v>
      </c>
      <c r="AO7" s="295"/>
      <c r="AP7" s="295"/>
      <c r="AQ7" s="295" t="str">
        <f t="shared" si="17"/>
        <v>-</v>
      </c>
      <c r="AR7" s="296" t="str">
        <f t="shared" si="18"/>
        <v>-</v>
      </c>
      <c r="AS7" s="295"/>
      <c r="AT7" s="295"/>
      <c r="AU7" s="295" t="str">
        <f t="shared" si="19"/>
        <v>-</v>
      </c>
      <c r="AV7" s="296" t="str">
        <f t="shared" si="20"/>
        <v>-</v>
      </c>
      <c r="AW7" s="295"/>
      <c r="AX7" s="295"/>
      <c r="AY7" s="295" t="str">
        <f t="shared" si="21"/>
        <v>-</v>
      </c>
      <c r="AZ7" s="296" t="str">
        <f t="shared" si="22"/>
        <v>-</v>
      </c>
      <c r="BA7" s="295"/>
      <c r="BB7" s="295"/>
      <c r="BC7" s="295" t="str">
        <f t="shared" si="23"/>
        <v>-</v>
      </c>
      <c r="BD7" s="296" t="str">
        <f t="shared" si="24"/>
        <v>-</v>
      </c>
      <c r="BE7" s="295"/>
      <c r="BF7" s="295"/>
      <c r="BG7" s="295" t="str">
        <f t="shared" si="25"/>
        <v>-</v>
      </c>
      <c r="BH7" s="296" t="str">
        <f t="shared" si="26"/>
        <v>-</v>
      </c>
      <c r="BI7" s="242">
        <f t="shared" si="0"/>
        <v>0</v>
      </c>
      <c r="BJ7" s="242">
        <f t="shared" si="1"/>
        <v>0</v>
      </c>
      <c r="BK7" s="242">
        <f t="shared" si="27"/>
        <v>0</v>
      </c>
      <c r="BL7" s="241" t="str">
        <f t="shared" si="28"/>
        <v>-</v>
      </c>
    </row>
    <row r="8" spans="2:64" ht="20" x14ac:dyDescent="0.35">
      <c r="B8" s="259">
        <v>2</v>
      </c>
      <c r="C8" s="239" t="s">
        <v>890</v>
      </c>
      <c r="D8" s="240">
        <v>40</v>
      </c>
      <c r="E8" s="264">
        <v>0.15</v>
      </c>
      <c r="F8" s="240">
        <v>240000</v>
      </c>
      <c r="G8" s="341">
        <f t="shared" si="2"/>
        <v>6.0913705583756347E-2</v>
      </c>
      <c r="H8" s="265">
        <f t="shared" ref="H8:H14" si="29">G8+H7</f>
        <v>0.23857868020304568</v>
      </c>
      <c r="J8" s="259">
        <v>4</v>
      </c>
      <c r="K8" s="251" t="s">
        <v>992</v>
      </c>
      <c r="L8" s="240">
        <v>100000</v>
      </c>
      <c r="M8" s="295"/>
      <c r="N8" s="295"/>
      <c r="O8" s="295" t="str">
        <f t="shared" si="3"/>
        <v>-</v>
      </c>
      <c r="P8" s="296" t="str">
        <f t="shared" si="4"/>
        <v>-</v>
      </c>
      <c r="Q8" s="295"/>
      <c r="R8" s="295"/>
      <c r="S8" s="295" t="str">
        <f t="shared" si="5"/>
        <v>-</v>
      </c>
      <c r="T8" s="296" t="str">
        <f t="shared" si="6"/>
        <v>-</v>
      </c>
      <c r="U8" s="295"/>
      <c r="V8" s="295"/>
      <c r="W8" s="295" t="str">
        <f t="shared" si="7"/>
        <v>-</v>
      </c>
      <c r="X8" s="296" t="str">
        <f t="shared" si="8"/>
        <v>-</v>
      </c>
      <c r="Y8" s="295"/>
      <c r="Z8" s="295"/>
      <c r="AA8" s="295" t="str">
        <f t="shared" si="9"/>
        <v>-</v>
      </c>
      <c r="AB8" s="296" t="str">
        <f t="shared" si="10"/>
        <v>-</v>
      </c>
      <c r="AC8" s="295"/>
      <c r="AD8" s="295"/>
      <c r="AE8" s="295" t="str">
        <f t="shared" si="11"/>
        <v>-</v>
      </c>
      <c r="AF8" s="296" t="str">
        <f t="shared" si="12"/>
        <v>-</v>
      </c>
      <c r="AG8" s="295"/>
      <c r="AH8" s="295"/>
      <c r="AI8" s="295" t="str">
        <f t="shared" si="13"/>
        <v>-</v>
      </c>
      <c r="AJ8" s="296" t="str">
        <f t="shared" si="14"/>
        <v>-</v>
      </c>
      <c r="AK8" s="295"/>
      <c r="AL8" s="295"/>
      <c r="AM8" s="295" t="str">
        <f t="shared" si="15"/>
        <v>-</v>
      </c>
      <c r="AN8" s="296" t="str">
        <f t="shared" si="16"/>
        <v>-</v>
      </c>
      <c r="AO8" s="295"/>
      <c r="AP8" s="295"/>
      <c r="AQ8" s="295" t="str">
        <f t="shared" si="17"/>
        <v>-</v>
      </c>
      <c r="AR8" s="296" t="str">
        <f t="shared" si="18"/>
        <v>-</v>
      </c>
      <c r="AS8" s="295"/>
      <c r="AT8" s="295"/>
      <c r="AU8" s="295" t="str">
        <f t="shared" si="19"/>
        <v>-</v>
      </c>
      <c r="AV8" s="296" t="str">
        <f t="shared" si="20"/>
        <v>-</v>
      </c>
      <c r="AW8" s="295"/>
      <c r="AX8" s="295"/>
      <c r="AY8" s="295" t="str">
        <f t="shared" si="21"/>
        <v>-</v>
      </c>
      <c r="AZ8" s="296" t="str">
        <f t="shared" si="22"/>
        <v>-</v>
      </c>
      <c r="BA8" s="295"/>
      <c r="BB8" s="295"/>
      <c r="BC8" s="295" t="str">
        <f t="shared" si="23"/>
        <v>-</v>
      </c>
      <c r="BD8" s="296" t="str">
        <f t="shared" si="24"/>
        <v>-</v>
      </c>
      <c r="BE8" s="295"/>
      <c r="BF8" s="295"/>
      <c r="BG8" s="295" t="str">
        <f t="shared" si="25"/>
        <v>-</v>
      </c>
      <c r="BH8" s="296" t="str">
        <f t="shared" si="26"/>
        <v>-</v>
      </c>
      <c r="BI8" s="242">
        <f t="shared" si="0"/>
        <v>0</v>
      </c>
      <c r="BJ8" s="242">
        <f t="shared" si="1"/>
        <v>0</v>
      </c>
      <c r="BK8" s="242">
        <f t="shared" si="27"/>
        <v>0</v>
      </c>
      <c r="BL8" s="241" t="str">
        <f t="shared" si="28"/>
        <v>-</v>
      </c>
    </row>
    <row r="9" spans="2:64" ht="20" x14ac:dyDescent="0.35">
      <c r="B9" s="259">
        <v>3</v>
      </c>
      <c r="C9" s="239" t="s">
        <v>890</v>
      </c>
      <c r="D9" s="240">
        <v>60</v>
      </c>
      <c r="E9" s="264">
        <v>0.2</v>
      </c>
      <c r="F9" s="240">
        <v>500000</v>
      </c>
      <c r="G9" s="341">
        <f t="shared" si="2"/>
        <v>0.12690355329949238</v>
      </c>
      <c r="H9" s="265">
        <f t="shared" si="29"/>
        <v>0.36548223350253806</v>
      </c>
      <c r="J9" s="259">
        <v>5</v>
      </c>
      <c r="K9" s="251" t="s">
        <v>992</v>
      </c>
      <c r="L9" s="240">
        <v>100000</v>
      </c>
      <c r="M9" s="295"/>
      <c r="N9" s="295"/>
      <c r="O9" s="295" t="str">
        <f t="shared" si="3"/>
        <v>-</v>
      </c>
      <c r="P9" s="296" t="str">
        <f t="shared" si="4"/>
        <v>-</v>
      </c>
      <c r="Q9" s="295"/>
      <c r="R9" s="295"/>
      <c r="S9" s="295" t="str">
        <f t="shared" si="5"/>
        <v>-</v>
      </c>
      <c r="T9" s="296" t="str">
        <f t="shared" si="6"/>
        <v>-</v>
      </c>
      <c r="U9" s="295"/>
      <c r="V9" s="295"/>
      <c r="W9" s="295" t="str">
        <f t="shared" si="7"/>
        <v>-</v>
      </c>
      <c r="X9" s="296" t="str">
        <f t="shared" si="8"/>
        <v>-</v>
      </c>
      <c r="Y9" s="295"/>
      <c r="Z9" s="295"/>
      <c r="AA9" s="295" t="str">
        <f t="shared" si="9"/>
        <v>-</v>
      </c>
      <c r="AB9" s="296" t="str">
        <f t="shared" si="10"/>
        <v>-</v>
      </c>
      <c r="AC9" s="295"/>
      <c r="AD9" s="295"/>
      <c r="AE9" s="295" t="str">
        <f t="shared" si="11"/>
        <v>-</v>
      </c>
      <c r="AF9" s="296" t="str">
        <f t="shared" si="12"/>
        <v>-</v>
      </c>
      <c r="AG9" s="295"/>
      <c r="AH9" s="295"/>
      <c r="AI9" s="295" t="str">
        <f t="shared" si="13"/>
        <v>-</v>
      </c>
      <c r="AJ9" s="296" t="str">
        <f t="shared" si="14"/>
        <v>-</v>
      </c>
      <c r="AK9" s="295"/>
      <c r="AL9" s="295"/>
      <c r="AM9" s="295" t="str">
        <f t="shared" si="15"/>
        <v>-</v>
      </c>
      <c r="AN9" s="296" t="str">
        <f t="shared" si="16"/>
        <v>-</v>
      </c>
      <c r="AO9" s="295"/>
      <c r="AP9" s="295"/>
      <c r="AQ9" s="295" t="str">
        <f t="shared" si="17"/>
        <v>-</v>
      </c>
      <c r="AR9" s="296" t="str">
        <f t="shared" si="18"/>
        <v>-</v>
      </c>
      <c r="AS9" s="295"/>
      <c r="AT9" s="295"/>
      <c r="AU9" s="295" t="str">
        <f t="shared" si="19"/>
        <v>-</v>
      </c>
      <c r="AV9" s="296" t="str">
        <f t="shared" si="20"/>
        <v>-</v>
      </c>
      <c r="AW9" s="295"/>
      <c r="AX9" s="295"/>
      <c r="AY9" s="295" t="str">
        <f t="shared" si="21"/>
        <v>-</v>
      </c>
      <c r="AZ9" s="296" t="str">
        <f t="shared" si="22"/>
        <v>-</v>
      </c>
      <c r="BA9" s="295"/>
      <c r="BB9" s="295"/>
      <c r="BC9" s="295" t="str">
        <f t="shared" si="23"/>
        <v>-</v>
      </c>
      <c r="BD9" s="296" t="str">
        <f t="shared" si="24"/>
        <v>-</v>
      </c>
      <c r="BE9" s="295"/>
      <c r="BF9" s="295"/>
      <c r="BG9" s="295" t="str">
        <f t="shared" si="25"/>
        <v>-</v>
      </c>
      <c r="BH9" s="296" t="str">
        <f t="shared" si="26"/>
        <v>-</v>
      </c>
      <c r="BI9" s="242">
        <f t="shared" si="0"/>
        <v>0</v>
      </c>
      <c r="BJ9" s="242">
        <f t="shared" si="1"/>
        <v>0</v>
      </c>
      <c r="BK9" s="242">
        <f t="shared" si="27"/>
        <v>0</v>
      </c>
      <c r="BL9" s="241" t="str">
        <f t="shared" si="28"/>
        <v>-</v>
      </c>
    </row>
    <row r="10" spans="2:64" ht="20" x14ac:dyDescent="0.35">
      <c r="B10" s="259">
        <v>4</v>
      </c>
      <c r="C10" s="239" t="s">
        <v>890</v>
      </c>
      <c r="D10" s="240">
        <v>80</v>
      </c>
      <c r="E10" s="264">
        <v>0.1</v>
      </c>
      <c r="F10" s="240">
        <v>1000000</v>
      </c>
      <c r="G10" s="341">
        <f t="shared" si="2"/>
        <v>0.25380710659898476</v>
      </c>
      <c r="H10" s="265">
        <f t="shared" si="29"/>
        <v>0.61928934010152281</v>
      </c>
      <c r="J10" s="259">
        <v>6</v>
      </c>
      <c r="K10" s="251" t="s">
        <v>992</v>
      </c>
      <c r="L10" s="240">
        <v>100000</v>
      </c>
      <c r="M10" s="295"/>
      <c r="N10" s="295"/>
      <c r="O10" s="295" t="str">
        <f t="shared" si="3"/>
        <v>-</v>
      </c>
      <c r="P10" s="296" t="str">
        <f t="shared" si="4"/>
        <v>-</v>
      </c>
      <c r="Q10" s="295"/>
      <c r="R10" s="295"/>
      <c r="S10" s="295" t="str">
        <f t="shared" si="5"/>
        <v>-</v>
      </c>
      <c r="T10" s="296" t="str">
        <f t="shared" si="6"/>
        <v>-</v>
      </c>
      <c r="U10" s="295"/>
      <c r="V10" s="295"/>
      <c r="W10" s="295" t="str">
        <f t="shared" si="7"/>
        <v>-</v>
      </c>
      <c r="X10" s="296" t="str">
        <f t="shared" si="8"/>
        <v>-</v>
      </c>
      <c r="Y10" s="295"/>
      <c r="Z10" s="295"/>
      <c r="AA10" s="295" t="str">
        <f t="shared" si="9"/>
        <v>-</v>
      </c>
      <c r="AB10" s="296" t="str">
        <f t="shared" si="10"/>
        <v>-</v>
      </c>
      <c r="AC10" s="295"/>
      <c r="AD10" s="295"/>
      <c r="AE10" s="295" t="str">
        <f t="shared" si="11"/>
        <v>-</v>
      </c>
      <c r="AF10" s="296" t="str">
        <f t="shared" si="12"/>
        <v>-</v>
      </c>
      <c r="AG10" s="295"/>
      <c r="AH10" s="295"/>
      <c r="AI10" s="295" t="str">
        <f t="shared" si="13"/>
        <v>-</v>
      </c>
      <c r="AJ10" s="296" t="str">
        <f t="shared" si="14"/>
        <v>-</v>
      </c>
      <c r="AK10" s="295"/>
      <c r="AL10" s="295"/>
      <c r="AM10" s="295" t="str">
        <f t="shared" si="15"/>
        <v>-</v>
      </c>
      <c r="AN10" s="296" t="str">
        <f t="shared" si="16"/>
        <v>-</v>
      </c>
      <c r="AO10" s="295"/>
      <c r="AP10" s="295"/>
      <c r="AQ10" s="295" t="str">
        <f t="shared" si="17"/>
        <v>-</v>
      </c>
      <c r="AR10" s="296" t="str">
        <f t="shared" si="18"/>
        <v>-</v>
      </c>
      <c r="AS10" s="295"/>
      <c r="AT10" s="295"/>
      <c r="AU10" s="295" t="str">
        <f t="shared" si="19"/>
        <v>-</v>
      </c>
      <c r="AV10" s="296" t="str">
        <f t="shared" si="20"/>
        <v>-</v>
      </c>
      <c r="AW10" s="295"/>
      <c r="AX10" s="295"/>
      <c r="AY10" s="295" t="str">
        <f t="shared" si="21"/>
        <v>-</v>
      </c>
      <c r="AZ10" s="296" t="str">
        <f t="shared" si="22"/>
        <v>-</v>
      </c>
      <c r="BA10" s="295"/>
      <c r="BB10" s="295"/>
      <c r="BC10" s="295" t="str">
        <f t="shared" si="23"/>
        <v>-</v>
      </c>
      <c r="BD10" s="296" t="str">
        <f t="shared" si="24"/>
        <v>-</v>
      </c>
      <c r="BE10" s="295"/>
      <c r="BF10" s="295"/>
      <c r="BG10" s="295" t="str">
        <f t="shared" si="25"/>
        <v>-</v>
      </c>
      <c r="BH10" s="296" t="str">
        <f t="shared" si="26"/>
        <v>-</v>
      </c>
      <c r="BI10" s="242">
        <f t="shared" si="0"/>
        <v>0</v>
      </c>
      <c r="BJ10" s="242">
        <f t="shared" si="1"/>
        <v>0</v>
      </c>
      <c r="BK10" s="242">
        <f t="shared" si="27"/>
        <v>0</v>
      </c>
      <c r="BL10" s="241" t="str">
        <f t="shared" si="28"/>
        <v>-</v>
      </c>
    </row>
    <row r="11" spans="2:64" ht="20" x14ac:dyDescent="0.35">
      <c r="B11" s="259">
        <v>5</v>
      </c>
      <c r="C11" s="239" t="s">
        <v>890</v>
      </c>
      <c r="D11" s="240">
        <v>100</v>
      </c>
      <c r="E11" s="264">
        <v>0.15</v>
      </c>
      <c r="F11" s="240">
        <v>100000</v>
      </c>
      <c r="G11" s="341">
        <f t="shared" si="2"/>
        <v>2.5380710659898477E-2</v>
      </c>
      <c r="H11" s="265">
        <f t="shared" si="29"/>
        <v>0.64467005076142125</v>
      </c>
      <c r="J11" s="259">
        <v>7</v>
      </c>
      <c r="K11" s="251" t="s">
        <v>992</v>
      </c>
      <c r="L11" s="240">
        <v>100000</v>
      </c>
      <c r="M11" s="295"/>
      <c r="N11" s="295"/>
      <c r="O11" s="295" t="str">
        <f t="shared" si="3"/>
        <v>-</v>
      </c>
      <c r="P11" s="296" t="str">
        <f t="shared" si="4"/>
        <v>-</v>
      </c>
      <c r="Q11" s="295"/>
      <c r="R11" s="295"/>
      <c r="S11" s="295" t="str">
        <f t="shared" si="5"/>
        <v>-</v>
      </c>
      <c r="T11" s="296" t="str">
        <f t="shared" si="6"/>
        <v>-</v>
      </c>
      <c r="U11" s="295"/>
      <c r="V11" s="295"/>
      <c r="W11" s="295" t="str">
        <f t="shared" si="7"/>
        <v>-</v>
      </c>
      <c r="X11" s="296" t="str">
        <f t="shared" si="8"/>
        <v>-</v>
      </c>
      <c r="Y11" s="295"/>
      <c r="Z11" s="295"/>
      <c r="AA11" s="295" t="str">
        <f t="shared" si="9"/>
        <v>-</v>
      </c>
      <c r="AB11" s="296" t="str">
        <f t="shared" si="10"/>
        <v>-</v>
      </c>
      <c r="AC11" s="295"/>
      <c r="AD11" s="295"/>
      <c r="AE11" s="295" t="str">
        <f t="shared" si="11"/>
        <v>-</v>
      </c>
      <c r="AF11" s="296" t="str">
        <f t="shared" si="12"/>
        <v>-</v>
      </c>
      <c r="AG11" s="295"/>
      <c r="AH11" s="295"/>
      <c r="AI11" s="295" t="str">
        <f t="shared" si="13"/>
        <v>-</v>
      </c>
      <c r="AJ11" s="296" t="str">
        <f t="shared" si="14"/>
        <v>-</v>
      </c>
      <c r="AK11" s="295"/>
      <c r="AL11" s="295"/>
      <c r="AM11" s="295" t="str">
        <f t="shared" si="15"/>
        <v>-</v>
      </c>
      <c r="AN11" s="296" t="str">
        <f t="shared" si="16"/>
        <v>-</v>
      </c>
      <c r="AO11" s="295"/>
      <c r="AP11" s="295"/>
      <c r="AQ11" s="295" t="str">
        <f t="shared" si="17"/>
        <v>-</v>
      </c>
      <c r="AR11" s="296" t="str">
        <f t="shared" si="18"/>
        <v>-</v>
      </c>
      <c r="AS11" s="295"/>
      <c r="AT11" s="295"/>
      <c r="AU11" s="295" t="str">
        <f t="shared" si="19"/>
        <v>-</v>
      </c>
      <c r="AV11" s="296" t="str">
        <f t="shared" si="20"/>
        <v>-</v>
      </c>
      <c r="AW11" s="295"/>
      <c r="AX11" s="295"/>
      <c r="AY11" s="295" t="str">
        <f t="shared" si="21"/>
        <v>-</v>
      </c>
      <c r="AZ11" s="296" t="str">
        <f t="shared" si="22"/>
        <v>-</v>
      </c>
      <c r="BA11" s="295"/>
      <c r="BB11" s="295"/>
      <c r="BC11" s="295" t="str">
        <f t="shared" si="23"/>
        <v>-</v>
      </c>
      <c r="BD11" s="296" t="str">
        <f t="shared" si="24"/>
        <v>-</v>
      </c>
      <c r="BE11" s="295"/>
      <c r="BF11" s="295"/>
      <c r="BG11" s="295" t="str">
        <f t="shared" si="25"/>
        <v>-</v>
      </c>
      <c r="BH11" s="296" t="str">
        <f t="shared" si="26"/>
        <v>-</v>
      </c>
      <c r="BI11" s="242">
        <f t="shared" si="0"/>
        <v>0</v>
      </c>
      <c r="BJ11" s="242">
        <f t="shared" si="1"/>
        <v>0</v>
      </c>
      <c r="BK11" s="242">
        <f t="shared" si="27"/>
        <v>0</v>
      </c>
      <c r="BL11" s="241" t="str">
        <f t="shared" si="28"/>
        <v>-</v>
      </c>
    </row>
    <row r="12" spans="2:64" ht="20" x14ac:dyDescent="0.35">
      <c r="B12" s="259">
        <v>7</v>
      </c>
      <c r="C12" s="239" t="s">
        <v>890</v>
      </c>
      <c r="D12" s="240">
        <v>60</v>
      </c>
      <c r="E12" s="264">
        <v>0.35</v>
      </c>
      <c r="F12" s="240">
        <v>100000</v>
      </c>
      <c r="G12" s="341">
        <f t="shared" si="2"/>
        <v>2.5380710659898477E-2</v>
      </c>
      <c r="H12" s="265">
        <f t="shared" si="29"/>
        <v>0.6700507614213197</v>
      </c>
      <c r="J12" s="259">
        <v>8</v>
      </c>
      <c r="K12" s="251" t="s">
        <v>992</v>
      </c>
      <c r="L12" s="240">
        <v>100000</v>
      </c>
      <c r="M12" s="295"/>
      <c r="N12" s="295"/>
      <c r="O12" s="295" t="str">
        <f t="shared" si="3"/>
        <v>-</v>
      </c>
      <c r="P12" s="296" t="str">
        <f t="shared" si="4"/>
        <v>-</v>
      </c>
      <c r="Q12" s="295"/>
      <c r="R12" s="295"/>
      <c r="S12" s="295" t="str">
        <f t="shared" si="5"/>
        <v>-</v>
      </c>
      <c r="T12" s="296" t="str">
        <f t="shared" si="6"/>
        <v>-</v>
      </c>
      <c r="U12" s="295"/>
      <c r="V12" s="295"/>
      <c r="W12" s="295" t="str">
        <f t="shared" si="7"/>
        <v>-</v>
      </c>
      <c r="X12" s="296" t="str">
        <f t="shared" si="8"/>
        <v>-</v>
      </c>
      <c r="Y12" s="295"/>
      <c r="Z12" s="295"/>
      <c r="AA12" s="295" t="str">
        <f t="shared" si="9"/>
        <v>-</v>
      </c>
      <c r="AB12" s="296" t="str">
        <f t="shared" si="10"/>
        <v>-</v>
      </c>
      <c r="AC12" s="295"/>
      <c r="AD12" s="295"/>
      <c r="AE12" s="295" t="str">
        <f t="shared" si="11"/>
        <v>-</v>
      </c>
      <c r="AF12" s="296" t="str">
        <f t="shared" si="12"/>
        <v>-</v>
      </c>
      <c r="AG12" s="295"/>
      <c r="AH12" s="295"/>
      <c r="AI12" s="295" t="str">
        <f t="shared" si="13"/>
        <v>-</v>
      </c>
      <c r="AJ12" s="296" t="str">
        <f t="shared" si="14"/>
        <v>-</v>
      </c>
      <c r="AK12" s="295"/>
      <c r="AL12" s="295"/>
      <c r="AM12" s="295" t="str">
        <f t="shared" si="15"/>
        <v>-</v>
      </c>
      <c r="AN12" s="296" t="str">
        <f t="shared" si="16"/>
        <v>-</v>
      </c>
      <c r="AO12" s="295"/>
      <c r="AP12" s="295"/>
      <c r="AQ12" s="295" t="str">
        <f t="shared" si="17"/>
        <v>-</v>
      </c>
      <c r="AR12" s="296" t="str">
        <f t="shared" si="18"/>
        <v>-</v>
      </c>
      <c r="AS12" s="295"/>
      <c r="AT12" s="295"/>
      <c r="AU12" s="295" t="str">
        <f t="shared" si="19"/>
        <v>-</v>
      </c>
      <c r="AV12" s="296" t="str">
        <f t="shared" si="20"/>
        <v>-</v>
      </c>
      <c r="AW12" s="295"/>
      <c r="AX12" s="295"/>
      <c r="AY12" s="295" t="str">
        <f t="shared" si="21"/>
        <v>-</v>
      </c>
      <c r="AZ12" s="296" t="str">
        <f t="shared" si="22"/>
        <v>-</v>
      </c>
      <c r="BA12" s="295"/>
      <c r="BB12" s="295"/>
      <c r="BC12" s="295" t="str">
        <f t="shared" si="23"/>
        <v>-</v>
      </c>
      <c r="BD12" s="296" t="str">
        <f t="shared" si="24"/>
        <v>-</v>
      </c>
      <c r="BE12" s="295"/>
      <c r="BF12" s="295"/>
      <c r="BG12" s="295" t="str">
        <f t="shared" si="25"/>
        <v>-</v>
      </c>
      <c r="BH12" s="296" t="str">
        <f t="shared" si="26"/>
        <v>-</v>
      </c>
      <c r="BI12" s="242">
        <f t="shared" si="0"/>
        <v>0</v>
      </c>
      <c r="BJ12" s="242">
        <f t="shared" si="1"/>
        <v>0</v>
      </c>
      <c r="BK12" s="242">
        <f t="shared" si="27"/>
        <v>0</v>
      </c>
      <c r="BL12" s="241" t="str">
        <f t="shared" si="28"/>
        <v>-</v>
      </c>
    </row>
    <row r="13" spans="2:64" ht="20" x14ac:dyDescent="0.35">
      <c r="B13" s="259">
        <v>8</v>
      </c>
      <c r="C13" s="239" t="s">
        <v>890</v>
      </c>
      <c r="D13" s="240">
        <v>20</v>
      </c>
      <c r="E13" s="264">
        <v>0.01</v>
      </c>
      <c r="F13" s="240">
        <v>100000</v>
      </c>
      <c r="G13" s="341">
        <f t="shared" si="2"/>
        <v>2.5380710659898477E-2</v>
      </c>
      <c r="H13" s="265">
        <f t="shared" si="29"/>
        <v>0.69543147208121814</v>
      </c>
      <c r="J13" s="259">
        <v>9</v>
      </c>
      <c r="K13" s="251" t="s">
        <v>992</v>
      </c>
      <c r="L13" s="240">
        <v>100000</v>
      </c>
      <c r="M13" s="295"/>
      <c r="N13" s="295"/>
      <c r="O13" s="295" t="str">
        <f t="shared" si="3"/>
        <v>-</v>
      </c>
      <c r="P13" s="296" t="str">
        <f t="shared" si="4"/>
        <v>-</v>
      </c>
      <c r="Q13" s="295"/>
      <c r="R13" s="295"/>
      <c r="S13" s="295" t="str">
        <f t="shared" si="5"/>
        <v>-</v>
      </c>
      <c r="T13" s="296" t="str">
        <f t="shared" si="6"/>
        <v>-</v>
      </c>
      <c r="U13" s="295"/>
      <c r="V13" s="295"/>
      <c r="W13" s="295" t="str">
        <f t="shared" si="7"/>
        <v>-</v>
      </c>
      <c r="X13" s="296" t="str">
        <f t="shared" si="8"/>
        <v>-</v>
      </c>
      <c r="Y13" s="295"/>
      <c r="Z13" s="295"/>
      <c r="AA13" s="295" t="str">
        <f t="shared" si="9"/>
        <v>-</v>
      </c>
      <c r="AB13" s="296" t="str">
        <f t="shared" si="10"/>
        <v>-</v>
      </c>
      <c r="AC13" s="295"/>
      <c r="AD13" s="295"/>
      <c r="AE13" s="295" t="str">
        <f t="shared" si="11"/>
        <v>-</v>
      </c>
      <c r="AF13" s="296" t="str">
        <f t="shared" si="12"/>
        <v>-</v>
      </c>
      <c r="AG13" s="295"/>
      <c r="AH13" s="295"/>
      <c r="AI13" s="295" t="str">
        <f t="shared" si="13"/>
        <v>-</v>
      </c>
      <c r="AJ13" s="296" t="str">
        <f t="shared" si="14"/>
        <v>-</v>
      </c>
      <c r="AK13" s="295"/>
      <c r="AL13" s="295"/>
      <c r="AM13" s="295" t="str">
        <f t="shared" si="15"/>
        <v>-</v>
      </c>
      <c r="AN13" s="296" t="str">
        <f t="shared" si="16"/>
        <v>-</v>
      </c>
      <c r="AO13" s="295"/>
      <c r="AP13" s="295"/>
      <c r="AQ13" s="295" t="str">
        <f t="shared" si="17"/>
        <v>-</v>
      </c>
      <c r="AR13" s="296" t="str">
        <f t="shared" si="18"/>
        <v>-</v>
      </c>
      <c r="AS13" s="295"/>
      <c r="AT13" s="295"/>
      <c r="AU13" s="295" t="str">
        <f t="shared" si="19"/>
        <v>-</v>
      </c>
      <c r="AV13" s="296" t="str">
        <f t="shared" si="20"/>
        <v>-</v>
      </c>
      <c r="AW13" s="295"/>
      <c r="AX13" s="295"/>
      <c r="AY13" s="295" t="str">
        <f t="shared" si="21"/>
        <v>-</v>
      </c>
      <c r="AZ13" s="296" t="str">
        <f t="shared" si="22"/>
        <v>-</v>
      </c>
      <c r="BA13" s="295"/>
      <c r="BB13" s="295"/>
      <c r="BC13" s="295" t="str">
        <f t="shared" si="23"/>
        <v>-</v>
      </c>
      <c r="BD13" s="296" t="str">
        <f t="shared" si="24"/>
        <v>-</v>
      </c>
      <c r="BE13" s="295"/>
      <c r="BF13" s="295"/>
      <c r="BG13" s="295" t="str">
        <f t="shared" si="25"/>
        <v>-</v>
      </c>
      <c r="BH13" s="296" t="str">
        <f t="shared" si="26"/>
        <v>-</v>
      </c>
      <c r="BI13" s="242">
        <f t="shared" si="0"/>
        <v>0</v>
      </c>
      <c r="BJ13" s="242">
        <f t="shared" si="1"/>
        <v>0</v>
      </c>
      <c r="BK13" s="242">
        <f t="shared" si="27"/>
        <v>0</v>
      </c>
      <c r="BL13" s="241" t="str">
        <f t="shared" si="28"/>
        <v>-</v>
      </c>
    </row>
    <row r="14" spans="2:64" ht="20" x14ac:dyDescent="0.35">
      <c r="B14" s="259">
        <v>9</v>
      </c>
      <c r="C14" s="239" t="s">
        <v>890</v>
      </c>
      <c r="D14" s="240">
        <v>90</v>
      </c>
      <c r="E14" s="264">
        <v>0.02</v>
      </c>
      <c r="F14" s="240">
        <v>100000</v>
      </c>
      <c r="G14" s="341">
        <f t="shared" si="2"/>
        <v>2.5380710659898477E-2</v>
      </c>
      <c r="H14" s="265">
        <f t="shared" si="29"/>
        <v>0.72081218274111658</v>
      </c>
      <c r="J14" s="259">
        <v>10</v>
      </c>
      <c r="K14" s="251" t="s">
        <v>992</v>
      </c>
      <c r="L14" s="240">
        <v>100000</v>
      </c>
      <c r="M14" s="295"/>
      <c r="N14" s="295"/>
      <c r="O14" s="295" t="str">
        <f t="shared" si="3"/>
        <v>-</v>
      </c>
      <c r="P14" s="296" t="str">
        <f t="shared" si="4"/>
        <v>-</v>
      </c>
      <c r="Q14" s="295"/>
      <c r="R14" s="295"/>
      <c r="S14" s="295" t="str">
        <f t="shared" si="5"/>
        <v>-</v>
      </c>
      <c r="T14" s="296" t="str">
        <f t="shared" si="6"/>
        <v>-</v>
      </c>
      <c r="U14" s="295"/>
      <c r="V14" s="295"/>
      <c r="W14" s="295" t="str">
        <f t="shared" si="7"/>
        <v>-</v>
      </c>
      <c r="X14" s="296" t="str">
        <f t="shared" si="8"/>
        <v>-</v>
      </c>
      <c r="Y14" s="295"/>
      <c r="Z14" s="295"/>
      <c r="AA14" s="295" t="str">
        <f t="shared" si="9"/>
        <v>-</v>
      </c>
      <c r="AB14" s="296" t="str">
        <f t="shared" si="10"/>
        <v>-</v>
      </c>
      <c r="AC14" s="295"/>
      <c r="AD14" s="295"/>
      <c r="AE14" s="295" t="str">
        <f t="shared" si="11"/>
        <v>-</v>
      </c>
      <c r="AF14" s="296" t="str">
        <f t="shared" si="12"/>
        <v>-</v>
      </c>
      <c r="AG14" s="295"/>
      <c r="AH14" s="295"/>
      <c r="AI14" s="295" t="str">
        <f t="shared" si="13"/>
        <v>-</v>
      </c>
      <c r="AJ14" s="296" t="str">
        <f t="shared" si="14"/>
        <v>-</v>
      </c>
      <c r="AK14" s="295"/>
      <c r="AL14" s="295"/>
      <c r="AM14" s="295" t="str">
        <f t="shared" si="15"/>
        <v>-</v>
      </c>
      <c r="AN14" s="296" t="str">
        <f t="shared" si="16"/>
        <v>-</v>
      </c>
      <c r="AO14" s="295"/>
      <c r="AP14" s="295"/>
      <c r="AQ14" s="295" t="str">
        <f t="shared" si="17"/>
        <v>-</v>
      </c>
      <c r="AR14" s="296" t="str">
        <f t="shared" si="18"/>
        <v>-</v>
      </c>
      <c r="AS14" s="295"/>
      <c r="AT14" s="295"/>
      <c r="AU14" s="295" t="str">
        <f t="shared" si="19"/>
        <v>-</v>
      </c>
      <c r="AV14" s="296" t="str">
        <f t="shared" si="20"/>
        <v>-</v>
      </c>
      <c r="AW14" s="295"/>
      <c r="AX14" s="295"/>
      <c r="AY14" s="295" t="str">
        <f t="shared" si="21"/>
        <v>-</v>
      </c>
      <c r="AZ14" s="296" t="str">
        <f t="shared" si="22"/>
        <v>-</v>
      </c>
      <c r="BA14" s="295"/>
      <c r="BB14" s="295"/>
      <c r="BC14" s="295" t="str">
        <f t="shared" si="23"/>
        <v>-</v>
      </c>
      <c r="BD14" s="296" t="str">
        <f t="shared" si="24"/>
        <v>-</v>
      </c>
      <c r="BE14" s="295"/>
      <c r="BF14" s="295"/>
      <c r="BG14" s="295" t="str">
        <f t="shared" si="25"/>
        <v>-</v>
      </c>
      <c r="BH14" s="296" t="str">
        <f t="shared" si="26"/>
        <v>-</v>
      </c>
      <c r="BI14" s="242">
        <f t="shared" si="0"/>
        <v>0</v>
      </c>
      <c r="BJ14" s="242">
        <f t="shared" si="1"/>
        <v>0</v>
      </c>
      <c r="BK14" s="242">
        <f t="shared" si="27"/>
        <v>0</v>
      </c>
      <c r="BL14" s="241" t="str">
        <f t="shared" si="28"/>
        <v>-</v>
      </c>
    </row>
    <row r="15" spans="2:64" ht="20" x14ac:dyDescent="0.35">
      <c r="B15" s="259">
        <v>10</v>
      </c>
      <c r="C15" s="239" t="s">
        <v>890</v>
      </c>
      <c r="D15" s="240">
        <v>200</v>
      </c>
      <c r="E15" s="264">
        <v>0.03</v>
      </c>
      <c r="F15" s="240">
        <v>100000</v>
      </c>
      <c r="G15" s="341">
        <f t="shared" si="2"/>
        <v>2.5380710659898477E-2</v>
      </c>
      <c r="H15" s="265">
        <f t="shared" ref="H15:H25" si="30">G15+H14</f>
        <v>0.74619289340101502</v>
      </c>
      <c r="J15" s="259">
        <v>11</v>
      </c>
      <c r="K15" s="251" t="s">
        <v>992</v>
      </c>
      <c r="L15" s="240">
        <v>100000</v>
      </c>
      <c r="M15" s="295"/>
      <c r="N15" s="295"/>
      <c r="O15" s="295" t="str">
        <f t="shared" si="3"/>
        <v>-</v>
      </c>
      <c r="P15" s="296" t="str">
        <f t="shared" si="4"/>
        <v>-</v>
      </c>
      <c r="Q15" s="295"/>
      <c r="R15" s="295"/>
      <c r="S15" s="295" t="str">
        <f t="shared" si="5"/>
        <v>-</v>
      </c>
      <c r="T15" s="296" t="str">
        <f t="shared" si="6"/>
        <v>-</v>
      </c>
      <c r="U15" s="295"/>
      <c r="V15" s="295"/>
      <c r="W15" s="295" t="str">
        <f t="shared" si="7"/>
        <v>-</v>
      </c>
      <c r="X15" s="296" t="str">
        <f t="shared" si="8"/>
        <v>-</v>
      </c>
      <c r="Y15" s="295"/>
      <c r="Z15" s="295"/>
      <c r="AA15" s="295" t="str">
        <f t="shared" si="9"/>
        <v>-</v>
      </c>
      <c r="AB15" s="296" t="str">
        <f t="shared" si="10"/>
        <v>-</v>
      </c>
      <c r="AC15" s="295"/>
      <c r="AD15" s="295"/>
      <c r="AE15" s="295" t="str">
        <f t="shared" si="11"/>
        <v>-</v>
      </c>
      <c r="AF15" s="296" t="str">
        <f t="shared" si="12"/>
        <v>-</v>
      </c>
      <c r="AG15" s="295"/>
      <c r="AH15" s="295"/>
      <c r="AI15" s="295" t="str">
        <f t="shared" si="13"/>
        <v>-</v>
      </c>
      <c r="AJ15" s="296" t="str">
        <f t="shared" si="14"/>
        <v>-</v>
      </c>
      <c r="AK15" s="295"/>
      <c r="AL15" s="295"/>
      <c r="AM15" s="295" t="str">
        <f t="shared" si="15"/>
        <v>-</v>
      </c>
      <c r="AN15" s="296" t="str">
        <f t="shared" si="16"/>
        <v>-</v>
      </c>
      <c r="AO15" s="295"/>
      <c r="AP15" s="295"/>
      <c r="AQ15" s="295" t="str">
        <f t="shared" si="17"/>
        <v>-</v>
      </c>
      <c r="AR15" s="296" t="str">
        <f t="shared" si="18"/>
        <v>-</v>
      </c>
      <c r="AS15" s="295"/>
      <c r="AT15" s="295"/>
      <c r="AU15" s="295" t="str">
        <f t="shared" si="19"/>
        <v>-</v>
      </c>
      <c r="AV15" s="296" t="str">
        <f t="shared" si="20"/>
        <v>-</v>
      </c>
      <c r="AW15" s="295"/>
      <c r="AX15" s="295"/>
      <c r="AY15" s="295" t="str">
        <f t="shared" si="21"/>
        <v>-</v>
      </c>
      <c r="AZ15" s="296" t="str">
        <f t="shared" si="22"/>
        <v>-</v>
      </c>
      <c r="BA15" s="295"/>
      <c r="BB15" s="295"/>
      <c r="BC15" s="295" t="str">
        <f t="shared" si="23"/>
        <v>-</v>
      </c>
      <c r="BD15" s="296" t="str">
        <f t="shared" si="24"/>
        <v>-</v>
      </c>
      <c r="BE15" s="295"/>
      <c r="BF15" s="295"/>
      <c r="BG15" s="295" t="str">
        <f t="shared" si="25"/>
        <v>-</v>
      </c>
      <c r="BH15" s="296" t="str">
        <f t="shared" si="26"/>
        <v>-</v>
      </c>
      <c r="BI15" s="242">
        <f t="shared" si="0"/>
        <v>0</v>
      </c>
      <c r="BJ15" s="242">
        <f t="shared" si="1"/>
        <v>0</v>
      </c>
      <c r="BK15" s="242">
        <f t="shared" si="27"/>
        <v>0</v>
      </c>
      <c r="BL15" s="241" t="str">
        <f t="shared" si="28"/>
        <v>-</v>
      </c>
    </row>
    <row r="16" spans="2:64" ht="20" x14ac:dyDescent="0.35">
      <c r="B16" s="259">
        <v>11</v>
      </c>
      <c r="C16" s="239" t="s">
        <v>890</v>
      </c>
      <c r="D16" s="240">
        <v>20</v>
      </c>
      <c r="E16" s="264">
        <v>0.03</v>
      </c>
      <c r="F16" s="240">
        <v>100000</v>
      </c>
      <c r="G16" s="341">
        <f t="shared" si="2"/>
        <v>2.5380710659898477E-2</v>
      </c>
      <c r="H16" s="265">
        <f t="shared" si="30"/>
        <v>0.77157360406091346</v>
      </c>
      <c r="J16" s="259">
        <v>12</v>
      </c>
      <c r="K16" s="251" t="s">
        <v>992</v>
      </c>
      <c r="L16" s="240">
        <v>100000</v>
      </c>
      <c r="M16" s="295"/>
      <c r="N16" s="295"/>
      <c r="O16" s="295" t="str">
        <f t="shared" si="3"/>
        <v>-</v>
      </c>
      <c r="P16" s="296" t="str">
        <f t="shared" si="4"/>
        <v>-</v>
      </c>
      <c r="Q16" s="295"/>
      <c r="R16" s="295"/>
      <c r="S16" s="295" t="str">
        <f t="shared" si="5"/>
        <v>-</v>
      </c>
      <c r="T16" s="296" t="str">
        <f t="shared" si="6"/>
        <v>-</v>
      </c>
      <c r="U16" s="295"/>
      <c r="V16" s="295"/>
      <c r="W16" s="295" t="str">
        <f t="shared" si="7"/>
        <v>-</v>
      </c>
      <c r="X16" s="296" t="str">
        <f t="shared" si="8"/>
        <v>-</v>
      </c>
      <c r="Y16" s="295"/>
      <c r="Z16" s="295"/>
      <c r="AA16" s="295" t="str">
        <f t="shared" si="9"/>
        <v>-</v>
      </c>
      <c r="AB16" s="296" t="str">
        <f t="shared" si="10"/>
        <v>-</v>
      </c>
      <c r="AC16" s="295"/>
      <c r="AD16" s="295"/>
      <c r="AE16" s="295" t="str">
        <f t="shared" si="11"/>
        <v>-</v>
      </c>
      <c r="AF16" s="296" t="str">
        <f t="shared" si="12"/>
        <v>-</v>
      </c>
      <c r="AG16" s="295"/>
      <c r="AH16" s="295"/>
      <c r="AI16" s="295" t="str">
        <f t="shared" si="13"/>
        <v>-</v>
      </c>
      <c r="AJ16" s="296" t="str">
        <f t="shared" si="14"/>
        <v>-</v>
      </c>
      <c r="AK16" s="295"/>
      <c r="AL16" s="295"/>
      <c r="AM16" s="295" t="str">
        <f t="shared" si="15"/>
        <v>-</v>
      </c>
      <c r="AN16" s="296" t="str">
        <f t="shared" si="16"/>
        <v>-</v>
      </c>
      <c r="AO16" s="295"/>
      <c r="AP16" s="295"/>
      <c r="AQ16" s="295" t="str">
        <f t="shared" si="17"/>
        <v>-</v>
      </c>
      <c r="AR16" s="296" t="str">
        <f t="shared" si="18"/>
        <v>-</v>
      </c>
      <c r="AS16" s="295"/>
      <c r="AT16" s="295"/>
      <c r="AU16" s="295" t="str">
        <f t="shared" si="19"/>
        <v>-</v>
      </c>
      <c r="AV16" s="296" t="str">
        <f t="shared" si="20"/>
        <v>-</v>
      </c>
      <c r="AW16" s="295"/>
      <c r="AX16" s="295"/>
      <c r="AY16" s="295" t="str">
        <f t="shared" si="21"/>
        <v>-</v>
      </c>
      <c r="AZ16" s="296" t="str">
        <f t="shared" si="22"/>
        <v>-</v>
      </c>
      <c r="BA16" s="295"/>
      <c r="BB16" s="295"/>
      <c r="BC16" s="295" t="str">
        <f t="shared" si="23"/>
        <v>-</v>
      </c>
      <c r="BD16" s="296" t="str">
        <f t="shared" si="24"/>
        <v>-</v>
      </c>
      <c r="BE16" s="295"/>
      <c r="BF16" s="295"/>
      <c r="BG16" s="295" t="str">
        <f t="shared" si="25"/>
        <v>-</v>
      </c>
      <c r="BH16" s="296" t="str">
        <f t="shared" si="26"/>
        <v>-</v>
      </c>
      <c r="BI16" s="242">
        <f t="shared" si="0"/>
        <v>0</v>
      </c>
      <c r="BJ16" s="242">
        <f t="shared" si="1"/>
        <v>0</v>
      </c>
      <c r="BK16" s="242">
        <f t="shared" si="27"/>
        <v>0</v>
      </c>
      <c r="BL16" s="241" t="str">
        <f t="shared" si="28"/>
        <v>-</v>
      </c>
    </row>
    <row r="17" spans="2:64" ht="20" x14ac:dyDescent="0.35">
      <c r="B17" s="259">
        <v>12</v>
      </c>
      <c r="C17" s="239" t="s">
        <v>890</v>
      </c>
      <c r="D17" s="240">
        <v>40</v>
      </c>
      <c r="E17" s="264">
        <v>0.04</v>
      </c>
      <c r="F17" s="240">
        <v>100000</v>
      </c>
      <c r="G17" s="341">
        <f t="shared" si="2"/>
        <v>2.5380710659898477E-2</v>
      </c>
      <c r="H17" s="265">
        <f t="shared" si="30"/>
        <v>0.79695431472081191</v>
      </c>
      <c r="J17" s="259">
        <v>13</v>
      </c>
      <c r="K17" s="251" t="s">
        <v>992</v>
      </c>
      <c r="L17" s="240">
        <v>100000</v>
      </c>
      <c r="M17" s="295"/>
      <c r="N17" s="295"/>
      <c r="O17" s="295" t="str">
        <f t="shared" si="3"/>
        <v>-</v>
      </c>
      <c r="P17" s="296" t="str">
        <f t="shared" si="4"/>
        <v>-</v>
      </c>
      <c r="Q17" s="295"/>
      <c r="R17" s="295"/>
      <c r="S17" s="295" t="str">
        <f t="shared" si="5"/>
        <v>-</v>
      </c>
      <c r="T17" s="296" t="str">
        <f t="shared" si="6"/>
        <v>-</v>
      </c>
      <c r="U17" s="295"/>
      <c r="V17" s="295"/>
      <c r="W17" s="295" t="str">
        <f t="shared" si="7"/>
        <v>-</v>
      </c>
      <c r="X17" s="296" t="str">
        <f t="shared" si="8"/>
        <v>-</v>
      </c>
      <c r="Y17" s="295"/>
      <c r="Z17" s="295"/>
      <c r="AA17" s="295" t="str">
        <f t="shared" si="9"/>
        <v>-</v>
      </c>
      <c r="AB17" s="296" t="str">
        <f t="shared" si="10"/>
        <v>-</v>
      </c>
      <c r="AC17" s="295"/>
      <c r="AD17" s="295"/>
      <c r="AE17" s="295" t="str">
        <f t="shared" si="11"/>
        <v>-</v>
      </c>
      <c r="AF17" s="296" t="str">
        <f t="shared" si="12"/>
        <v>-</v>
      </c>
      <c r="AG17" s="295"/>
      <c r="AH17" s="295"/>
      <c r="AI17" s="295" t="str">
        <f t="shared" si="13"/>
        <v>-</v>
      </c>
      <c r="AJ17" s="296" t="str">
        <f t="shared" si="14"/>
        <v>-</v>
      </c>
      <c r="AK17" s="295"/>
      <c r="AL17" s="295"/>
      <c r="AM17" s="295" t="str">
        <f t="shared" si="15"/>
        <v>-</v>
      </c>
      <c r="AN17" s="296" t="str">
        <f t="shared" si="16"/>
        <v>-</v>
      </c>
      <c r="AO17" s="295"/>
      <c r="AP17" s="295"/>
      <c r="AQ17" s="295" t="str">
        <f t="shared" si="17"/>
        <v>-</v>
      </c>
      <c r="AR17" s="296" t="str">
        <f t="shared" si="18"/>
        <v>-</v>
      </c>
      <c r="AS17" s="295"/>
      <c r="AT17" s="295"/>
      <c r="AU17" s="295" t="str">
        <f t="shared" si="19"/>
        <v>-</v>
      </c>
      <c r="AV17" s="296" t="str">
        <f t="shared" si="20"/>
        <v>-</v>
      </c>
      <c r="AW17" s="295"/>
      <c r="AX17" s="295"/>
      <c r="AY17" s="295" t="str">
        <f t="shared" si="21"/>
        <v>-</v>
      </c>
      <c r="AZ17" s="296" t="str">
        <f t="shared" si="22"/>
        <v>-</v>
      </c>
      <c r="BA17" s="295"/>
      <c r="BB17" s="295"/>
      <c r="BC17" s="295" t="str">
        <f t="shared" si="23"/>
        <v>-</v>
      </c>
      <c r="BD17" s="296" t="str">
        <f t="shared" si="24"/>
        <v>-</v>
      </c>
      <c r="BE17" s="295"/>
      <c r="BF17" s="295"/>
      <c r="BG17" s="295" t="str">
        <f t="shared" si="25"/>
        <v>-</v>
      </c>
      <c r="BH17" s="296" t="str">
        <f t="shared" si="26"/>
        <v>-</v>
      </c>
      <c r="BI17" s="242">
        <f t="shared" si="0"/>
        <v>0</v>
      </c>
      <c r="BJ17" s="242">
        <f t="shared" si="1"/>
        <v>0</v>
      </c>
      <c r="BK17" s="242">
        <f t="shared" si="27"/>
        <v>0</v>
      </c>
      <c r="BL17" s="241" t="str">
        <f t="shared" si="28"/>
        <v>-</v>
      </c>
    </row>
    <row r="18" spans="2:64" ht="20" x14ac:dyDescent="0.35">
      <c r="B18" s="259">
        <v>13</v>
      </c>
      <c r="C18" s="239" t="s">
        <v>890</v>
      </c>
      <c r="D18" s="240">
        <v>60</v>
      </c>
      <c r="E18" s="264">
        <v>0.05</v>
      </c>
      <c r="F18" s="240">
        <v>100000</v>
      </c>
      <c r="G18" s="265">
        <f t="shared" si="2"/>
        <v>2.5380710659898477E-2</v>
      </c>
      <c r="H18" s="265">
        <f t="shared" si="30"/>
        <v>0.82233502538071035</v>
      </c>
      <c r="J18" s="259">
        <v>14</v>
      </c>
      <c r="K18" s="251" t="s">
        <v>992</v>
      </c>
      <c r="L18" s="240"/>
      <c r="M18" s="295"/>
      <c r="N18" s="295"/>
      <c r="O18" s="295" t="str">
        <f t="shared" si="3"/>
        <v>-</v>
      </c>
      <c r="P18" s="296" t="str">
        <f t="shared" si="4"/>
        <v>-</v>
      </c>
      <c r="Q18" s="295"/>
      <c r="R18" s="295"/>
      <c r="S18" s="295" t="str">
        <f t="shared" si="5"/>
        <v>-</v>
      </c>
      <c r="T18" s="296" t="str">
        <f t="shared" si="6"/>
        <v>-</v>
      </c>
      <c r="U18" s="295"/>
      <c r="V18" s="295"/>
      <c r="W18" s="295" t="str">
        <f t="shared" si="7"/>
        <v>-</v>
      </c>
      <c r="X18" s="296" t="str">
        <f t="shared" si="8"/>
        <v>-</v>
      </c>
      <c r="Y18" s="295"/>
      <c r="Z18" s="295"/>
      <c r="AA18" s="295" t="str">
        <f t="shared" si="9"/>
        <v>-</v>
      </c>
      <c r="AB18" s="296" t="str">
        <f t="shared" si="10"/>
        <v>-</v>
      </c>
      <c r="AC18" s="295"/>
      <c r="AD18" s="295"/>
      <c r="AE18" s="295" t="str">
        <f t="shared" si="11"/>
        <v>-</v>
      </c>
      <c r="AF18" s="296" t="str">
        <f t="shared" si="12"/>
        <v>-</v>
      </c>
      <c r="AG18" s="295"/>
      <c r="AH18" s="295"/>
      <c r="AI18" s="295" t="str">
        <f t="shared" si="13"/>
        <v>-</v>
      </c>
      <c r="AJ18" s="296" t="str">
        <f t="shared" si="14"/>
        <v>-</v>
      </c>
      <c r="AK18" s="295"/>
      <c r="AL18" s="295"/>
      <c r="AM18" s="295" t="str">
        <f t="shared" si="15"/>
        <v>-</v>
      </c>
      <c r="AN18" s="296" t="str">
        <f t="shared" si="16"/>
        <v>-</v>
      </c>
      <c r="AO18" s="295"/>
      <c r="AP18" s="295"/>
      <c r="AQ18" s="295" t="str">
        <f t="shared" si="17"/>
        <v>-</v>
      </c>
      <c r="AR18" s="296" t="str">
        <f t="shared" si="18"/>
        <v>-</v>
      </c>
      <c r="AS18" s="295"/>
      <c r="AT18" s="295"/>
      <c r="AU18" s="295" t="str">
        <f t="shared" si="19"/>
        <v>-</v>
      </c>
      <c r="AV18" s="296" t="str">
        <f t="shared" si="20"/>
        <v>-</v>
      </c>
      <c r="AW18" s="295"/>
      <c r="AX18" s="295"/>
      <c r="AY18" s="295" t="str">
        <f t="shared" si="21"/>
        <v>-</v>
      </c>
      <c r="AZ18" s="296" t="str">
        <f t="shared" si="22"/>
        <v>-</v>
      </c>
      <c r="BA18" s="295"/>
      <c r="BB18" s="295"/>
      <c r="BC18" s="295" t="str">
        <f t="shared" si="23"/>
        <v>-</v>
      </c>
      <c r="BD18" s="296" t="str">
        <f t="shared" si="24"/>
        <v>-</v>
      </c>
      <c r="BE18" s="295"/>
      <c r="BF18" s="295"/>
      <c r="BG18" s="295" t="str">
        <f t="shared" si="25"/>
        <v>-</v>
      </c>
      <c r="BH18" s="296" t="str">
        <f t="shared" si="26"/>
        <v>-</v>
      </c>
      <c r="BI18" s="242">
        <f t="shared" si="0"/>
        <v>0</v>
      </c>
      <c r="BJ18" s="242">
        <f t="shared" si="1"/>
        <v>0</v>
      </c>
      <c r="BK18" s="242">
        <f t="shared" si="27"/>
        <v>0</v>
      </c>
      <c r="BL18" s="241" t="str">
        <f t="shared" si="28"/>
        <v>-</v>
      </c>
    </row>
    <row r="19" spans="2:64" ht="20" x14ac:dyDescent="0.35">
      <c r="B19" s="259">
        <v>14</v>
      </c>
      <c r="C19" s="239" t="s">
        <v>890</v>
      </c>
      <c r="D19" s="240">
        <v>80</v>
      </c>
      <c r="E19" s="264">
        <v>0.06</v>
      </c>
      <c r="F19" s="240">
        <v>100000</v>
      </c>
      <c r="G19" s="265">
        <f t="shared" si="2"/>
        <v>2.5380710659898477E-2</v>
      </c>
      <c r="H19" s="265">
        <f t="shared" si="30"/>
        <v>0.84771573604060879</v>
      </c>
      <c r="J19" s="259">
        <v>15</v>
      </c>
      <c r="K19" s="251" t="s">
        <v>992</v>
      </c>
      <c r="L19" s="240"/>
      <c r="M19" s="295"/>
      <c r="N19" s="295"/>
      <c r="O19" s="295" t="str">
        <f t="shared" si="3"/>
        <v>-</v>
      </c>
      <c r="P19" s="296" t="str">
        <f t="shared" si="4"/>
        <v>-</v>
      </c>
      <c r="Q19" s="295"/>
      <c r="R19" s="295"/>
      <c r="S19" s="295" t="str">
        <f t="shared" si="5"/>
        <v>-</v>
      </c>
      <c r="T19" s="296" t="str">
        <f t="shared" si="6"/>
        <v>-</v>
      </c>
      <c r="U19" s="295"/>
      <c r="V19" s="295"/>
      <c r="W19" s="295" t="str">
        <f t="shared" si="7"/>
        <v>-</v>
      </c>
      <c r="X19" s="296" t="str">
        <f t="shared" si="8"/>
        <v>-</v>
      </c>
      <c r="Y19" s="295"/>
      <c r="Z19" s="295"/>
      <c r="AA19" s="295" t="str">
        <f t="shared" si="9"/>
        <v>-</v>
      </c>
      <c r="AB19" s="296" t="str">
        <f t="shared" si="10"/>
        <v>-</v>
      </c>
      <c r="AC19" s="295"/>
      <c r="AD19" s="295"/>
      <c r="AE19" s="295" t="str">
        <f t="shared" si="11"/>
        <v>-</v>
      </c>
      <c r="AF19" s="296" t="str">
        <f t="shared" si="12"/>
        <v>-</v>
      </c>
      <c r="AG19" s="295"/>
      <c r="AH19" s="295"/>
      <c r="AI19" s="295" t="str">
        <f t="shared" si="13"/>
        <v>-</v>
      </c>
      <c r="AJ19" s="296" t="str">
        <f t="shared" si="14"/>
        <v>-</v>
      </c>
      <c r="AK19" s="295"/>
      <c r="AL19" s="295"/>
      <c r="AM19" s="295" t="str">
        <f t="shared" si="15"/>
        <v>-</v>
      </c>
      <c r="AN19" s="296" t="str">
        <f t="shared" si="16"/>
        <v>-</v>
      </c>
      <c r="AO19" s="295"/>
      <c r="AP19" s="295"/>
      <c r="AQ19" s="295" t="str">
        <f t="shared" si="17"/>
        <v>-</v>
      </c>
      <c r="AR19" s="296" t="str">
        <f t="shared" si="18"/>
        <v>-</v>
      </c>
      <c r="AS19" s="295"/>
      <c r="AT19" s="295"/>
      <c r="AU19" s="295" t="str">
        <f t="shared" si="19"/>
        <v>-</v>
      </c>
      <c r="AV19" s="296" t="str">
        <f t="shared" si="20"/>
        <v>-</v>
      </c>
      <c r="AW19" s="295"/>
      <c r="AX19" s="295"/>
      <c r="AY19" s="295" t="str">
        <f t="shared" si="21"/>
        <v>-</v>
      </c>
      <c r="AZ19" s="296" t="str">
        <f t="shared" si="22"/>
        <v>-</v>
      </c>
      <c r="BA19" s="295"/>
      <c r="BB19" s="295"/>
      <c r="BC19" s="295" t="str">
        <f t="shared" si="23"/>
        <v>-</v>
      </c>
      <c r="BD19" s="296" t="str">
        <f t="shared" si="24"/>
        <v>-</v>
      </c>
      <c r="BE19" s="295"/>
      <c r="BF19" s="295"/>
      <c r="BG19" s="295" t="str">
        <f t="shared" si="25"/>
        <v>-</v>
      </c>
      <c r="BH19" s="296" t="str">
        <f t="shared" si="26"/>
        <v>-</v>
      </c>
      <c r="BI19" s="242">
        <f t="shared" si="0"/>
        <v>0</v>
      </c>
      <c r="BJ19" s="242">
        <f t="shared" si="1"/>
        <v>0</v>
      </c>
      <c r="BK19" s="242">
        <f t="shared" si="27"/>
        <v>0</v>
      </c>
      <c r="BL19" s="241" t="str">
        <f t="shared" si="28"/>
        <v>-</v>
      </c>
    </row>
    <row r="20" spans="2:64" ht="20" x14ac:dyDescent="0.35">
      <c r="B20" s="259">
        <v>15</v>
      </c>
      <c r="C20" s="239" t="s">
        <v>890</v>
      </c>
      <c r="D20" s="240">
        <v>100</v>
      </c>
      <c r="E20" s="264">
        <v>0.05</v>
      </c>
      <c r="F20" s="240">
        <v>100000</v>
      </c>
      <c r="G20" s="265">
        <f t="shared" si="2"/>
        <v>2.5380710659898477E-2</v>
      </c>
      <c r="H20" s="265">
        <f t="shared" si="30"/>
        <v>0.87309644670050723</v>
      </c>
      <c r="J20" s="259">
        <v>16</v>
      </c>
      <c r="K20" s="251" t="s">
        <v>992</v>
      </c>
      <c r="L20" s="240"/>
      <c r="M20" s="295"/>
      <c r="N20" s="295"/>
      <c r="O20" s="295" t="str">
        <f t="shared" si="3"/>
        <v>-</v>
      </c>
      <c r="P20" s="296" t="str">
        <f t="shared" si="4"/>
        <v>-</v>
      </c>
      <c r="Q20" s="295"/>
      <c r="R20" s="295"/>
      <c r="S20" s="295" t="str">
        <f t="shared" si="5"/>
        <v>-</v>
      </c>
      <c r="T20" s="296" t="str">
        <f t="shared" si="6"/>
        <v>-</v>
      </c>
      <c r="U20" s="295"/>
      <c r="V20" s="295"/>
      <c r="W20" s="295" t="str">
        <f t="shared" si="7"/>
        <v>-</v>
      </c>
      <c r="X20" s="296" t="str">
        <f t="shared" si="8"/>
        <v>-</v>
      </c>
      <c r="Y20" s="295"/>
      <c r="Z20" s="295"/>
      <c r="AA20" s="295" t="str">
        <f t="shared" si="9"/>
        <v>-</v>
      </c>
      <c r="AB20" s="296" t="str">
        <f t="shared" si="10"/>
        <v>-</v>
      </c>
      <c r="AC20" s="295"/>
      <c r="AD20" s="295"/>
      <c r="AE20" s="295" t="str">
        <f t="shared" si="11"/>
        <v>-</v>
      </c>
      <c r="AF20" s="296" t="str">
        <f t="shared" si="12"/>
        <v>-</v>
      </c>
      <c r="AG20" s="295"/>
      <c r="AH20" s="295"/>
      <c r="AI20" s="295" t="str">
        <f t="shared" si="13"/>
        <v>-</v>
      </c>
      <c r="AJ20" s="296" t="str">
        <f t="shared" si="14"/>
        <v>-</v>
      </c>
      <c r="AK20" s="295"/>
      <c r="AL20" s="295"/>
      <c r="AM20" s="295" t="str">
        <f t="shared" si="15"/>
        <v>-</v>
      </c>
      <c r="AN20" s="296" t="str">
        <f t="shared" si="16"/>
        <v>-</v>
      </c>
      <c r="AO20" s="295"/>
      <c r="AP20" s="295"/>
      <c r="AQ20" s="295" t="str">
        <f t="shared" si="17"/>
        <v>-</v>
      </c>
      <c r="AR20" s="296" t="str">
        <f t="shared" si="18"/>
        <v>-</v>
      </c>
      <c r="AS20" s="295"/>
      <c r="AT20" s="295"/>
      <c r="AU20" s="295" t="str">
        <f t="shared" si="19"/>
        <v>-</v>
      </c>
      <c r="AV20" s="296" t="str">
        <f t="shared" si="20"/>
        <v>-</v>
      </c>
      <c r="AW20" s="295"/>
      <c r="AX20" s="295"/>
      <c r="AY20" s="295" t="str">
        <f t="shared" si="21"/>
        <v>-</v>
      </c>
      <c r="AZ20" s="296" t="str">
        <f t="shared" si="22"/>
        <v>-</v>
      </c>
      <c r="BA20" s="295"/>
      <c r="BB20" s="295"/>
      <c r="BC20" s="295" t="str">
        <f t="shared" si="23"/>
        <v>-</v>
      </c>
      <c r="BD20" s="296" t="str">
        <f t="shared" si="24"/>
        <v>-</v>
      </c>
      <c r="BE20" s="295"/>
      <c r="BF20" s="295"/>
      <c r="BG20" s="295" t="str">
        <f t="shared" si="25"/>
        <v>-</v>
      </c>
      <c r="BH20" s="296" t="str">
        <f t="shared" si="26"/>
        <v>-</v>
      </c>
      <c r="BI20" s="242">
        <f t="shared" si="0"/>
        <v>0</v>
      </c>
      <c r="BJ20" s="242">
        <f t="shared" si="1"/>
        <v>0</v>
      </c>
      <c r="BK20" s="242">
        <f t="shared" si="27"/>
        <v>0</v>
      </c>
      <c r="BL20" s="241" t="str">
        <f t="shared" si="28"/>
        <v>-</v>
      </c>
    </row>
    <row r="21" spans="2:64" ht="20" x14ac:dyDescent="0.35">
      <c r="B21" s="259">
        <v>16</v>
      </c>
      <c r="C21" s="239" t="s">
        <v>890</v>
      </c>
      <c r="D21" s="240">
        <v>150</v>
      </c>
      <c r="E21" s="264">
        <v>0.05</v>
      </c>
      <c r="F21" s="240">
        <v>100000</v>
      </c>
      <c r="G21" s="265">
        <f t="shared" si="2"/>
        <v>2.5380710659898477E-2</v>
      </c>
      <c r="H21" s="265">
        <f t="shared" si="30"/>
        <v>0.89847715736040568</v>
      </c>
      <c r="J21" s="259">
        <v>17</v>
      </c>
      <c r="K21" s="251" t="s">
        <v>992</v>
      </c>
      <c r="L21" s="240"/>
      <c r="M21" s="295"/>
      <c r="N21" s="295"/>
      <c r="O21" s="295" t="str">
        <f t="shared" si="3"/>
        <v>-</v>
      </c>
      <c r="P21" s="296" t="str">
        <f t="shared" si="4"/>
        <v>-</v>
      </c>
      <c r="Q21" s="295"/>
      <c r="R21" s="295"/>
      <c r="S21" s="295" t="str">
        <f t="shared" si="5"/>
        <v>-</v>
      </c>
      <c r="T21" s="296" t="str">
        <f t="shared" si="6"/>
        <v>-</v>
      </c>
      <c r="U21" s="295"/>
      <c r="V21" s="295"/>
      <c r="W21" s="295" t="str">
        <f t="shared" si="7"/>
        <v>-</v>
      </c>
      <c r="X21" s="296" t="str">
        <f t="shared" si="8"/>
        <v>-</v>
      </c>
      <c r="Y21" s="295"/>
      <c r="Z21" s="295"/>
      <c r="AA21" s="295" t="str">
        <f t="shared" si="9"/>
        <v>-</v>
      </c>
      <c r="AB21" s="296" t="str">
        <f t="shared" si="10"/>
        <v>-</v>
      </c>
      <c r="AC21" s="295"/>
      <c r="AD21" s="295"/>
      <c r="AE21" s="295" t="str">
        <f t="shared" si="11"/>
        <v>-</v>
      </c>
      <c r="AF21" s="296" t="str">
        <f t="shared" si="12"/>
        <v>-</v>
      </c>
      <c r="AG21" s="295"/>
      <c r="AH21" s="295"/>
      <c r="AI21" s="295" t="str">
        <f t="shared" si="13"/>
        <v>-</v>
      </c>
      <c r="AJ21" s="296" t="str">
        <f t="shared" si="14"/>
        <v>-</v>
      </c>
      <c r="AK21" s="295"/>
      <c r="AL21" s="295"/>
      <c r="AM21" s="295" t="str">
        <f t="shared" si="15"/>
        <v>-</v>
      </c>
      <c r="AN21" s="296" t="str">
        <f t="shared" si="16"/>
        <v>-</v>
      </c>
      <c r="AO21" s="295"/>
      <c r="AP21" s="295"/>
      <c r="AQ21" s="295" t="str">
        <f t="shared" si="17"/>
        <v>-</v>
      </c>
      <c r="AR21" s="296" t="str">
        <f t="shared" si="18"/>
        <v>-</v>
      </c>
      <c r="AS21" s="295"/>
      <c r="AT21" s="295"/>
      <c r="AU21" s="295" t="str">
        <f t="shared" si="19"/>
        <v>-</v>
      </c>
      <c r="AV21" s="296" t="str">
        <f t="shared" si="20"/>
        <v>-</v>
      </c>
      <c r="AW21" s="295"/>
      <c r="AX21" s="295"/>
      <c r="AY21" s="295" t="str">
        <f t="shared" si="21"/>
        <v>-</v>
      </c>
      <c r="AZ21" s="296" t="str">
        <f t="shared" si="22"/>
        <v>-</v>
      </c>
      <c r="BA21" s="295"/>
      <c r="BB21" s="295"/>
      <c r="BC21" s="295" t="str">
        <f t="shared" si="23"/>
        <v>-</v>
      </c>
      <c r="BD21" s="296" t="str">
        <f t="shared" si="24"/>
        <v>-</v>
      </c>
      <c r="BE21" s="295"/>
      <c r="BF21" s="295"/>
      <c r="BG21" s="295" t="str">
        <f t="shared" si="25"/>
        <v>-</v>
      </c>
      <c r="BH21" s="296" t="str">
        <f t="shared" si="26"/>
        <v>-</v>
      </c>
      <c r="BI21" s="242">
        <f t="shared" si="0"/>
        <v>0</v>
      </c>
      <c r="BJ21" s="242">
        <f t="shared" si="1"/>
        <v>0</v>
      </c>
      <c r="BK21" s="242">
        <f t="shared" si="27"/>
        <v>0</v>
      </c>
      <c r="BL21" s="241" t="str">
        <f t="shared" si="28"/>
        <v>-</v>
      </c>
    </row>
    <row r="22" spans="2:64" ht="20" x14ac:dyDescent="0.35">
      <c r="B22" s="259">
        <v>17</v>
      </c>
      <c r="C22" s="239" t="s">
        <v>890</v>
      </c>
      <c r="D22" s="240">
        <v>60</v>
      </c>
      <c r="E22" s="264">
        <v>0.05</v>
      </c>
      <c r="F22" s="240">
        <v>100000</v>
      </c>
      <c r="G22" s="265">
        <f t="shared" si="2"/>
        <v>2.5380710659898477E-2</v>
      </c>
      <c r="H22" s="265">
        <f t="shared" si="30"/>
        <v>0.92385786802030412</v>
      </c>
      <c r="J22" s="259">
        <v>18</v>
      </c>
      <c r="K22" s="251" t="s">
        <v>992</v>
      </c>
      <c r="L22" s="240"/>
      <c r="M22" s="295"/>
      <c r="N22" s="295"/>
      <c r="O22" s="295" t="str">
        <f t="shared" si="3"/>
        <v>-</v>
      </c>
      <c r="P22" s="296" t="str">
        <f t="shared" si="4"/>
        <v>-</v>
      </c>
      <c r="Q22" s="295"/>
      <c r="R22" s="295"/>
      <c r="S22" s="295" t="str">
        <f t="shared" si="5"/>
        <v>-</v>
      </c>
      <c r="T22" s="296" t="str">
        <f t="shared" si="6"/>
        <v>-</v>
      </c>
      <c r="U22" s="295"/>
      <c r="V22" s="295"/>
      <c r="W22" s="295" t="str">
        <f t="shared" si="7"/>
        <v>-</v>
      </c>
      <c r="X22" s="296" t="str">
        <f t="shared" si="8"/>
        <v>-</v>
      </c>
      <c r="Y22" s="295"/>
      <c r="Z22" s="295"/>
      <c r="AA22" s="295" t="str">
        <f t="shared" si="9"/>
        <v>-</v>
      </c>
      <c r="AB22" s="296" t="str">
        <f t="shared" si="10"/>
        <v>-</v>
      </c>
      <c r="AC22" s="295"/>
      <c r="AD22" s="295"/>
      <c r="AE22" s="295" t="str">
        <f t="shared" si="11"/>
        <v>-</v>
      </c>
      <c r="AF22" s="296" t="str">
        <f t="shared" si="12"/>
        <v>-</v>
      </c>
      <c r="AG22" s="295"/>
      <c r="AH22" s="295"/>
      <c r="AI22" s="295" t="str">
        <f t="shared" si="13"/>
        <v>-</v>
      </c>
      <c r="AJ22" s="296" t="str">
        <f t="shared" si="14"/>
        <v>-</v>
      </c>
      <c r="AK22" s="295"/>
      <c r="AL22" s="295"/>
      <c r="AM22" s="295" t="str">
        <f t="shared" si="15"/>
        <v>-</v>
      </c>
      <c r="AN22" s="296" t="str">
        <f t="shared" si="16"/>
        <v>-</v>
      </c>
      <c r="AO22" s="295"/>
      <c r="AP22" s="295"/>
      <c r="AQ22" s="295" t="str">
        <f t="shared" si="17"/>
        <v>-</v>
      </c>
      <c r="AR22" s="296" t="str">
        <f t="shared" si="18"/>
        <v>-</v>
      </c>
      <c r="AS22" s="295"/>
      <c r="AT22" s="295"/>
      <c r="AU22" s="295" t="str">
        <f t="shared" si="19"/>
        <v>-</v>
      </c>
      <c r="AV22" s="296" t="str">
        <f t="shared" si="20"/>
        <v>-</v>
      </c>
      <c r="AW22" s="295"/>
      <c r="AX22" s="295"/>
      <c r="AY22" s="295" t="str">
        <f t="shared" si="21"/>
        <v>-</v>
      </c>
      <c r="AZ22" s="296" t="str">
        <f t="shared" si="22"/>
        <v>-</v>
      </c>
      <c r="BA22" s="295"/>
      <c r="BB22" s="295"/>
      <c r="BC22" s="295" t="str">
        <f t="shared" si="23"/>
        <v>-</v>
      </c>
      <c r="BD22" s="296" t="str">
        <f t="shared" si="24"/>
        <v>-</v>
      </c>
      <c r="BE22" s="295"/>
      <c r="BF22" s="295"/>
      <c r="BG22" s="295" t="str">
        <f t="shared" si="25"/>
        <v>-</v>
      </c>
      <c r="BH22" s="296" t="str">
        <f t="shared" si="26"/>
        <v>-</v>
      </c>
      <c r="BI22" s="242">
        <f t="shared" si="0"/>
        <v>0</v>
      </c>
      <c r="BJ22" s="242">
        <f t="shared" si="1"/>
        <v>0</v>
      </c>
      <c r="BK22" s="242">
        <f t="shared" si="27"/>
        <v>0</v>
      </c>
      <c r="BL22" s="241" t="str">
        <f t="shared" si="28"/>
        <v>-</v>
      </c>
    </row>
    <row r="23" spans="2:64" ht="20" x14ac:dyDescent="0.35">
      <c r="B23" s="259">
        <v>18</v>
      </c>
      <c r="C23" s="239" t="s">
        <v>890</v>
      </c>
      <c r="D23" s="240">
        <v>20</v>
      </c>
      <c r="E23" s="264">
        <v>0.05</v>
      </c>
      <c r="F23" s="240">
        <v>100000</v>
      </c>
      <c r="G23" s="265">
        <f t="shared" si="2"/>
        <v>2.5380710659898477E-2</v>
      </c>
      <c r="H23" s="265">
        <f t="shared" si="30"/>
        <v>0.94923857868020256</v>
      </c>
      <c r="J23" s="259">
        <v>19</v>
      </c>
      <c r="K23" s="251" t="s">
        <v>992</v>
      </c>
      <c r="L23" s="240"/>
      <c r="M23" s="295"/>
      <c r="N23" s="295"/>
      <c r="O23" s="295" t="str">
        <f t="shared" si="3"/>
        <v>-</v>
      </c>
      <c r="P23" s="296" t="str">
        <f t="shared" si="4"/>
        <v>-</v>
      </c>
      <c r="Q23" s="295"/>
      <c r="R23" s="295"/>
      <c r="S23" s="295" t="str">
        <f t="shared" si="5"/>
        <v>-</v>
      </c>
      <c r="T23" s="296" t="str">
        <f t="shared" si="6"/>
        <v>-</v>
      </c>
      <c r="U23" s="295"/>
      <c r="V23" s="295"/>
      <c r="W23" s="295" t="str">
        <f t="shared" si="7"/>
        <v>-</v>
      </c>
      <c r="X23" s="296" t="str">
        <f t="shared" si="8"/>
        <v>-</v>
      </c>
      <c r="Y23" s="295"/>
      <c r="Z23" s="295"/>
      <c r="AA23" s="295" t="str">
        <f t="shared" si="9"/>
        <v>-</v>
      </c>
      <c r="AB23" s="296" t="str">
        <f t="shared" si="10"/>
        <v>-</v>
      </c>
      <c r="AC23" s="295"/>
      <c r="AD23" s="295"/>
      <c r="AE23" s="295" t="str">
        <f t="shared" si="11"/>
        <v>-</v>
      </c>
      <c r="AF23" s="296" t="str">
        <f t="shared" si="12"/>
        <v>-</v>
      </c>
      <c r="AG23" s="295"/>
      <c r="AH23" s="295"/>
      <c r="AI23" s="295" t="str">
        <f t="shared" si="13"/>
        <v>-</v>
      </c>
      <c r="AJ23" s="296" t="str">
        <f t="shared" si="14"/>
        <v>-</v>
      </c>
      <c r="AK23" s="295"/>
      <c r="AL23" s="295"/>
      <c r="AM23" s="295" t="str">
        <f t="shared" si="15"/>
        <v>-</v>
      </c>
      <c r="AN23" s="296" t="str">
        <f t="shared" si="16"/>
        <v>-</v>
      </c>
      <c r="AO23" s="295"/>
      <c r="AP23" s="295"/>
      <c r="AQ23" s="295" t="str">
        <f t="shared" si="17"/>
        <v>-</v>
      </c>
      <c r="AR23" s="296" t="str">
        <f t="shared" si="18"/>
        <v>-</v>
      </c>
      <c r="AS23" s="295"/>
      <c r="AT23" s="295"/>
      <c r="AU23" s="295" t="str">
        <f t="shared" si="19"/>
        <v>-</v>
      </c>
      <c r="AV23" s="296" t="str">
        <f t="shared" si="20"/>
        <v>-</v>
      </c>
      <c r="AW23" s="295"/>
      <c r="AX23" s="295"/>
      <c r="AY23" s="295" t="str">
        <f t="shared" si="21"/>
        <v>-</v>
      </c>
      <c r="AZ23" s="296" t="str">
        <f t="shared" si="22"/>
        <v>-</v>
      </c>
      <c r="BA23" s="295"/>
      <c r="BB23" s="295"/>
      <c r="BC23" s="295" t="str">
        <f t="shared" si="23"/>
        <v>-</v>
      </c>
      <c r="BD23" s="296" t="str">
        <f t="shared" si="24"/>
        <v>-</v>
      </c>
      <c r="BE23" s="295"/>
      <c r="BF23" s="295"/>
      <c r="BG23" s="295" t="str">
        <f t="shared" si="25"/>
        <v>-</v>
      </c>
      <c r="BH23" s="296" t="str">
        <f t="shared" si="26"/>
        <v>-</v>
      </c>
      <c r="BI23" s="242">
        <f t="shared" si="0"/>
        <v>0</v>
      </c>
      <c r="BJ23" s="242">
        <f t="shared" si="1"/>
        <v>0</v>
      </c>
      <c r="BK23" s="242">
        <f t="shared" si="27"/>
        <v>0</v>
      </c>
      <c r="BL23" s="241" t="str">
        <f t="shared" si="28"/>
        <v>-</v>
      </c>
    </row>
    <row r="24" spans="2:64" ht="20" x14ac:dyDescent="0.35">
      <c r="B24" s="259">
        <v>19</v>
      </c>
      <c r="C24" s="239" t="s">
        <v>890</v>
      </c>
      <c r="D24" s="240">
        <v>90</v>
      </c>
      <c r="E24" s="264">
        <v>0.05</v>
      </c>
      <c r="F24" s="240">
        <v>100000</v>
      </c>
      <c r="G24" s="265">
        <f t="shared" si="2"/>
        <v>2.5380710659898477E-2</v>
      </c>
      <c r="H24" s="265">
        <f t="shared" si="30"/>
        <v>0.974619289340101</v>
      </c>
      <c r="J24" s="259">
        <v>20</v>
      </c>
      <c r="K24" s="251" t="s">
        <v>992</v>
      </c>
      <c r="L24" s="240"/>
      <c r="M24" s="295"/>
      <c r="N24" s="295"/>
      <c r="O24" s="295" t="str">
        <f t="shared" si="3"/>
        <v>-</v>
      </c>
      <c r="P24" s="296" t="str">
        <f t="shared" si="4"/>
        <v>-</v>
      </c>
      <c r="Q24" s="295"/>
      <c r="R24" s="295"/>
      <c r="S24" s="295" t="str">
        <f t="shared" si="5"/>
        <v>-</v>
      </c>
      <c r="T24" s="296" t="str">
        <f t="shared" si="6"/>
        <v>-</v>
      </c>
      <c r="U24" s="295"/>
      <c r="V24" s="295"/>
      <c r="W24" s="295" t="str">
        <f t="shared" si="7"/>
        <v>-</v>
      </c>
      <c r="X24" s="296" t="str">
        <f t="shared" si="8"/>
        <v>-</v>
      </c>
      <c r="Y24" s="295"/>
      <c r="Z24" s="295"/>
      <c r="AA24" s="295" t="str">
        <f t="shared" si="9"/>
        <v>-</v>
      </c>
      <c r="AB24" s="296" t="str">
        <f t="shared" si="10"/>
        <v>-</v>
      </c>
      <c r="AC24" s="295"/>
      <c r="AD24" s="295"/>
      <c r="AE24" s="295" t="str">
        <f t="shared" si="11"/>
        <v>-</v>
      </c>
      <c r="AF24" s="296" t="str">
        <f t="shared" si="12"/>
        <v>-</v>
      </c>
      <c r="AG24" s="295"/>
      <c r="AH24" s="295"/>
      <c r="AI24" s="295" t="str">
        <f t="shared" si="13"/>
        <v>-</v>
      </c>
      <c r="AJ24" s="296" t="str">
        <f t="shared" si="14"/>
        <v>-</v>
      </c>
      <c r="AK24" s="295"/>
      <c r="AL24" s="295"/>
      <c r="AM24" s="295" t="str">
        <f t="shared" si="15"/>
        <v>-</v>
      </c>
      <c r="AN24" s="296" t="str">
        <f t="shared" si="16"/>
        <v>-</v>
      </c>
      <c r="AO24" s="295"/>
      <c r="AP24" s="295"/>
      <c r="AQ24" s="295" t="str">
        <f t="shared" si="17"/>
        <v>-</v>
      </c>
      <c r="AR24" s="296" t="str">
        <f t="shared" si="18"/>
        <v>-</v>
      </c>
      <c r="AS24" s="295"/>
      <c r="AT24" s="295"/>
      <c r="AU24" s="295" t="str">
        <f t="shared" si="19"/>
        <v>-</v>
      </c>
      <c r="AV24" s="296" t="str">
        <f t="shared" si="20"/>
        <v>-</v>
      </c>
      <c r="AW24" s="295"/>
      <c r="AX24" s="295"/>
      <c r="AY24" s="295" t="str">
        <f t="shared" si="21"/>
        <v>-</v>
      </c>
      <c r="AZ24" s="296" t="str">
        <f t="shared" si="22"/>
        <v>-</v>
      </c>
      <c r="BA24" s="295"/>
      <c r="BB24" s="295"/>
      <c r="BC24" s="295" t="str">
        <f t="shared" si="23"/>
        <v>-</v>
      </c>
      <c r="BD24" s="296" t="str">
        <f t="shared" si="24"/>
        <v>-</v>
      </c>
      <c r="BE24" s="295"/>
      <c r="BF24" s="295"/>
      <c r="BG24" s="295" t="str">
        <f t="shared" si="25"/>
        <v>-</v>
      </c>
      <c r="BH24" s="296" t="str">
        <f t="shared" si="26"/>
        <v>-</v>
      </c>
      <c r="BI24" s="242">
        <f t="shared" si="0"/>
        <v>0</v>
      </c>
      <c r="BJ24" s="242">
        <f t="shared" si="1"/>
        <v>0</v>
      </c>
      <c r="BK24" s="242">
        <f t="shared" si="27"/>
        <v>0</v>
      </c>
      <c r="BL24" s="241" t="str">
        <f t="shared" si="28"/>
        <v>-</v>
      </c>
    </row>
    <row r="25" spans="2:64" ht="20" x14ac:dyDescent="0.35">
      <c r="B25" s="259">
        <v>20</v>
      </c>
      <c r="C25" s="239" t="s">
        <v>890</v>
      </c>
      <c r="D25" s="240">
        <v>200</v>
      </c>
      <c r="E25" s="264">
        <v>0.05</v>
      </c>
      <c r="F25" s="240">
        <v>100000</v>
      </c>
      <c r="G25" s="265">
        <f t="shared" si="2"/>
        <v>2.5380710659898477E-2</v>
      </c>
      <c r="H25" s="265">
        <f t="shared" si="30"/>
        <v>0.99999999999999944</v>
      </c>
      <c r="J25" s="259">
        <v>21</v>
      </c>
      <c r="K25" s="251" t="s">
        <v>992</v>
      </c>
      <c r="L25" s="240"/>
      <c r="M25" s="295"/>
      <c r="N25" s="295"/>
      <c r="O25" s="295" t="str">
        <f t="shared" si="3"/>
        <v>-</v>
      </c>
      <c r="P25" s="296" t="str">
        <f t="shared" si="4"/>
        <v>-</v>
      </c>
      <c r="Q25" s="295"/>
      <c r="R25" s="295"/>
      <c r="S25" s="295" t="str">
        <f t="shared" si="5"/>
        <v>-</v>
      </c>
      <c r="T25" s="296" t="str">
        <f t="shared" si="6"/>
        <v>-</v>
      </c>
      <c r="U25" s="295"/>
      <c r="V25" s="295"/>
      <c r="W25" s="295" t="str">
        <f t="shared" si="7"/>
        <v>-</v>
      </c>
      <c r="X25" s="296" t="str">
        <f t="shared" si="8"/>
        <v>-</v>
      </c>
      <c r="Y25" s="295"/>
      <c r="Z25" s="295"/>
      <c r="AA25" s="295" t="str">
        <f t="shared" si="9"/>
        <v>-</v>
      </c>
      <c r="AB25" s="296" t="str">
        <f t="shared" si="10"/>
        <v>-</v>
      </c>
      <c r="AC25" s="295"/>
      <c r="AD25" s="295"/>
      <c r="AE25" s="295" t="str">
        <f t="shared" si="11"/>
        <v>-</v>
      </c>
      <c r="AF25" s="296" t="str">
        <f t="shared" si="12"/>
        <v>-</v>
      </c>
      <c r="AG25" s="295"/>
      <c r="AH25" s="295"/>
      <c r="AI25" s="295" t="str">
        <f t="shared" si="13"/>
        <v>-</v>
      </c>
      <c r="AJ25" s="296" t="str">
        <f t="shared" si="14"/>
        <v>-</v>
      </c>
      <c r="AK25" s="295"/>
      <c r="AL25" s="295"/>
      <c r="AM25" s="295" t="str">
        <f t="shared" si="15"/>
        <v>-</v>
      </c>
      <c r="AN25" s="296" t="str">
        <f t="shared" si="16"/>
        <v>-</v>
      </c>
      <c r="AO25" s="295"/>
      <c r="AP25" s="295"/>
      <c r="AQ25" s="295" t="str">
        <f t="shared" si="17"/>
        <v>-</v>
      </c>
      <c r="AR25" s="296" t="str">
        <f t="shared" si="18"/>
        <v>-</v>
      </c>
      <c r="AS25" s="295"/>
      <c r="AT25" s="295"/>
      <c r="AU25" s="295" t="str">
        <f t="shared" si="19"/>
        <v>-</v>
      </c>
      <c r="AV25" s="296" t="str">
        <f t="shared" si="20"/>
        <v>-</v>
      </c>
      <c r="AW25" s="295"/>
      <c r="AX25" s="295"/>
      <c r="AY25" s="295" t="str">
        <f t="shared" si="21"/>
        <v>-</v>
      </c>
      <c r="AZ25" s="296" t="str">
        <f t="shared" si="22"/>
        <v>-</v>
      </c>
      <c r="BA25" s="295"/>
      <c r="BB25" s="295"/>
      <c r="BC25" s="295" t="str">
        <f t="shared" si="23"/>
        <v>-</v>
      </c>
      <c r="BD25" s="296" t="str">
        <f t="shared" si="24"/>
        <v>-</v>
      </c>
      <c r="BE25" s="295"/>
      <c r="BF25" s="295"/>
      <c r="BG25" s="295" t="str">
        <f t="shared" si="25"/>
        <v>-</v>
      </c>
      <c r="BH25" s="296" t="str">
        <f t="shared" si="26"/>
        <v>-</v>
      </c>
      <c r="BI25" s="242">
        <f t="shared" si="0"/>
        <v>0</v>
      </c>
      <c r="BJ25" s="242">
        <f t="shared" si="1"/>
        <v>0</v>
      </c>
      <c r="BK25" s="242">
        <f t="shared" si="27"/>
        <v>0</v>
      </c>
      <c r="BL25" s="241" t="str">
        <f t="shared" si="28"/>
        <v>-</v>
      </c>
    </row>
    <row r="26" spans="2:64" s="13" customFormat="1" ht="34.5" customHeight="1" x14ac:dyDescent="0.35">
      <c r="J26" s="253"/>
      <c r="K26" s="253" t="s">
        <v>509</v>
      </c>
      <c r="L26" s="254">
        <f>SUM(L5:L25)</f>
        <v>1300000</v>
      </c>
      <c r="M26" s="254">
        <f>SUM(M5:M25)</f>
        <v>250000</v>
      </c>
      <c r="N26" s="254">
        <f>SUM(N5:N25)</f>
        <v>275000</v>
      </c>
      <c r="O26" s="254">
        <f t="shared" si="3"/>
        <v>25000</v>
      </c>
      <c r="P26" s="256">
        <f t="shared" si="4"/>
        <v>0.10000000000000009</v>
      </c>
      <c r="Q26" s="254">
        <f>SUM(Q5:Q25)</f>
        <v>0</v>
      </c>
      <c r="R26" s="254">
        <f>SUM(R5:R25)</f>
        <v>0</v>
      </c>
      <c r="S26" s="254">
        <f t="shared" si="5"/>
        <v>0</v>
      </c>
      <c r="T26" s="256" t="str">
        <f t="shared" si="6"/>
        <v>-</v>
      </c>
      <c r="U26" s="254">
        <f>SUM(U5:U25)</f>
        <v>0</v>
      </c>
      <c r="V26" s="254">
        <f>SUM(V5:V25)</f>
        <v>0</v>
      </c>
      <c r="W26" s="254">
        <f t="shared" si="7"/>
        <v>0</v>
      </c>
      <c r="X26" s="256" t="str">
        <f t="shared" si="8"/>
        <v>-</v>
      </c>
      <c r="Y26" s="254">
        <f>SUM(Y5:Y25)</f>
        <v>0</v>
      </c>
      <c r="Z26" s="254">
        <f>SUM(Z5:Z25)</f>
        <v>0</v>
      </c>
      <c r="AA26" s="254">
        <f t="shared" si="9"/>
        <v>0</v>
      </c>
      <c r="AB26" s="256" t="str">
        <f t="shared" si="10"/>
        <v>-</v>
      </c>
      <c r="AC26" s="254">
        <f>SUM(AC5:AC25)</f>
        <v>0</v>
      </c>
      <c r="AD26" s="254">
        <f>SUM(AD5:AD25)</f>
        <v>0</v>
      </c>
      <c r="AE26" s="254">
        <f t="shared" si="11"/>
        <v>0</v>
      </c>
      <c r="AF26" s="256" t="str">
        <f t="shared" si="12"/>
        <v>-</v>
      </c>
      <c r="AG26" s="254">
        <f>SUM(AG5:AG25)</f>
        <v>0</v>
      </c>
      <c r="AH26" s="254">
        <f>SUM(AH5:AH25)</f>
        <v>0</v>
      </c>
      <c r="AI26" s="254">
        <f t="shared" si="13"/>
        <v>0</v>
      </c>
      <c r="AJ26" s="256" t="str">
        <f t="shared" si="14"/>
        <v>-</v>
      </c>
      <c r="AK26" s="254">
        <f>SUM(AK5:AK25)</f>
        <v>0</v>
      </c>
      <c r="AL26" s="254">
        <f>SUM(AL5:AL25)</f>
        <v>0</v>
      </c>
      <c r="AM26" s="254">
        <f t="shared" si="15"/>
        <v>0</v>
      </c>
      <c r="AN26" s="256" t="str">
        <f t="shared" si="16"/>
        <v>-</v>
      </c>
      <c r="AO26" s="254">
        <f>SUM(AO5:AO25)</f>
        <v>0</v>
      </c>
      <c r="AP26" s="254">
        <f>SUM(AP5:AP25)</f>
        <v>0</v>
      </c>
      <c r="AQ26" s="254">
        <f t="shared" si="17"/>
        <v>0</v>
      </c>
      <c r="AR26" s="256" t="str">
        <f t="shared" si="18"/>
        <v>-</v>
      </c>
      <c r="AS26" s="254">
        <f>SUM(AS5:AS25)</f>
        <v>0</v>
      </c>
      <c r="AT26" s="254">
        <f>SUM(AT5:AT25)</f>
        <v>0</v>
      </c>
      <c r="AU26" s="254">
        <f t="shared" si="19"/>
        <v>0</v>
      </c>
      <c r="AV26" s="256" t="str">
        <f t="shared" si="20"/>
        <v>-</v>
      </c>
      <c r="AW26" s="254">
        <f>SUM(AW5:AW25)</f>
        <v>0</v>
      </c>
      <c r="AX26" s="254">
        <f>SUM(AX5:AX25)</f>
        <v>0</v>
      </c>
      <c r="AY26" s="254">
        <f t="shared" si="21"/>
        <v>0</v>
      </c>
      <c r="AZ26" s="256" t="str">
        <f t="shared" si="22"/>
        <v>-</v>
      </c>
      <c r="BA26" s="254">
        <f>SUM(BA5:BA25)</f>
        <v>0</v>
      </c>
      <c r="BB26" s="254">
        <f>SUM(BB5:BB25)</f>
        <v>0</v>
      </c>
      <c r="BC26" s="254">
        <f t="shared" si="23"/>
        <v>0</v>
      </c>
      <c r="BD26" s="256" t="str">
        <f t="shared" si="24"/>
        <v>-</v>
      </c>
      <c r="BE26" s="254">
        <f>SUM(BE5:BE25)</f>
        <v>0</v>
      </c>
      <c r="BF26" s="254">
        <f>SUM(BF5:BF25)</f>
        <v>0</v>
      </c>
      <c r="BG26" s="254">
        <f t="shared" si="25"/>
        <v>0</v>
      </c>
      <c r="BH26" s="256" t="str">
        <f t="shared" si="26"/>
        <v>-</v>
      </c>
      <c r="BI26" s="254">
        <f>SUM(BI5:BI25)</f>
        <v>250000</v>
      </c>
      <c r="BJ26" s="254">
        <f>SUM(BJ5:BJ25)</f>
        <v>275000</v>
      </c>
      <c r="BK26" s="254">
        <f t="shared" ref="BK26" si="31">IF(AND(BI26="",BJ26=""),"-",BJ26-BI26)</f>
        <v>25000</v>
      </c>
      <c r="BL26" s="256">
        <f t="shared" ref="BL26" si="32">IFERROR((BJ26/BI26)-1,"-")</f>
        <v>0.10000000000000009</v>
      </c>
    </row>
  </sheetData>
  <autoFilter ref="B5:H25" xr:uid="{C2ECB414-E224-4CFC-9249-6E734A752A47}">
    <sortState xmlns:xlrd2="http://schemas.microsoft.com/office/spreadsheetml/2017/richdata2" ref="B6:H25">
      <sortCondition descending="1" ref="G5:G25"/>
    </sortState>
  </autoFilter>
  <mergeCells count="17">
    <mergeCell ref="B3:E3"/>
    <mergeCell ref="G3:H3"/>
    <mergeCell ref="AC2:AF2"/>
    <mergeCell ref="AG2:AJ2"/>
    <mergeCell ref="AK2:AN2"/>
    <mergeCell ref="C2:H2"/>
    <mergeCell ref="J2:L2"/>
    <mergeCell ref="M2:P2"/>
    <mergeCell ref="Q2:T2"/>
    <mergeCell ref="U2:X2"/>
    <mergeCell ref="Y2:AB2"/>
    <mergeCell ref="BA2:BD2"/>
    <mergeCell ref="BE2:BH2"/>
    <mergeCell ref="BI2:BL2"/>
    <mergeCell ref="AO2:AR2"/>
    <mergeCell ref="AS2:AV2"/>
    <mergeCell ref="AW2:AZ2"/>
  </mergeCells>
  <conditionalFormatting sqref="E6:E25">
    <cfRule type="colorScale" priority="126">
      <colorScale>
        <cfvo type="min"/>
        <cfvo type="percentile" val="50"/>
        <cfvo type="max"/>
        <color rgb="FFF8696B"/>
        <color rgb="FFFFEB84"/>
        <color rgb="FF63BE7B"/>
      </colorScale>
    </cfRule>
  </conditionalFormatting>
  <conditionalFormatting sqref="H6:H25">
    <cfRule type="colorScale" priority="124">
      <colorScale>
        <cfvo type="min"/>
        <cfvo type="percentile" val="50"/>
        <cfvo type="max"/>
        <color rgb="FFF8696B"/>
        <color rgb="FFFFEB84"/>
        <color rgb="FF63BE7B"/>
      </colorScale>
    </cfRule>
  </conditionalFormatting>
  <conditionalFormatting sqref="P5:P25">
    <cfRule type="iconSet" priority="117">
      <iconSet>
        <cfvo type="percent" val="0"/>
        <cfvo type="num" val="9.9999999999999995E-7"/>
        <cfvo type="num" val="9.9999999999999995E-7"/>
      </iconSet>
    </cfRule>
  </conditionalFormatting>
  <conditionalFormatting sqref="P5:P26">
    <cfRule type="cellIs" dxfId="30" priority="32" operator="lessThan">
      <formula>0</formula>
    </cfRule>
    <cfRule type="cellIs" dxfId="29" priority="31" operator="greaterThanOrEqual">
      <formula>0</formula>
    </cfRule>
  </conditionalFormatting>
  <conditionalFormatting sqref="P26">
    <cfRule type="iconSet" priority="33">
      <iconSet>
        <cfvo type="percent" val="0"/>
        <cfvo type="num" val="9.9999999999999995E-7"/>
        <cfvo type="num" val="9.9999999999999995E-7"/>
      </iconSet>
    </cfRule>
  </conditionalFormatting>
  <conditionalFormatting sqref="T5:T25">
    <cfRule type="iconSet" priority="111">
      <iconSet>
        <cfvo type="percent" val="0"/>
        <cfvo type="num" val="9.9999999999999995E-7"/>
        <cfvo type="num" val="9.9999999999999995E-7"/>
      </iconSet>
    </cfRule>
  </conditionalFormatting>
  <conditionalFormatting sqref="T5:T26">
    <cfRule type="cellIs" dxfId="28" priority="28" operator="greaterThanOrEqual">
      <formula>0</formula>
    </cfRule>
    <cfRule type="cellIs" dxfId="27" priority="29" operator="lessThan">
      <formula>0</formula>
    </cfRule>
  </conditionalFormatting>
  <conditionalFormatting sqref="T26">
    <cfRule type="iconSet" priority="30">
      <iconSet>
        <cfvo type="percent" val="0"/>
        <cfvo type="num" val="9.9999999999999995E-7"/>
        <cfvo type="num" val="9.9999999999999995E-7"/>
      </iconSet>
    </cfRule>
  </conditionalFormatting>
  <conditionalFormatting sqref="X5:X25">
    <cfRule type="iconSet" priority="105">
      <iconSet>
        <cfvo type="percent" val="0"/>
        <cfvo type="num" val="9.9999999999999995E-7"/>
        <cfvo type="num" val="9.9999999999999995E-7"/>
      </iconSet>
    </cfRule>
  </conditionalFormatting>
  <conditionalFormatting sqref="X5:X26">
    <cfRule type="cellIs" dxfId="26" priority="25" operator="greaterThanOrEqual">
      <formula>0</formula>
    </cfRule>
    <cfRule type="cellIs" dxfId="25" priority="26" operator="lessThan">
      <formula>0</formula>
    </cfRule>
  </conditionalFormatting>
  <conditionalFormatting sqref="X26">
    <cfRule type="iconSet" priority="27">
      <iconSet>
        <cfvo type="percent" val="0"/>
        <cfvo type="num" val="9.9999999999999995E-7"/>
        <cfvo type="num" val="9.9999999999999995E-7"/>
      </iconSet>
    </cfRule>
  </conditionalFormatting>
  <conditionalFormatting sqref="AB5:AB25">
    <cfRule type="iconSet" priority="99">
      <iconSet>
        <cfvo type="percent" val="0"/>
        <cfvo type="num" val="9.9999999999999995E-7"/>
        <cfvo type="num" val="9.9999999999999995E-7"/>
      </iconSet>
    </cfRule>
  </conditionalFormatting>
  <conditionalFormatting sqref="AB5:AB26">
    <cfRule type="cellIs" dxfId="24" priority="22" operator="greaterThanOrEqual">
      <formula>0</formula>
    </cfRule>
    <cfRule type="cellIs" dxfId="23" priority="23" operator="lessThan">
      <formula>0</formula>
    </cfRule>
  </conditionalFormatting>
  <conditionalFormatting sqref="AB26">
    <cfRule type="iconSet" priority="24">
      <iconSet>
        <cfvo type="percent" val="0"/>
        <cfvo type="num" val="9.9999999999999995E-7"/>
        <cfvo type="num" val="9.9999999999999995E-7"/>
      </iconSet>
    </cfRule>
  </conditionalFormatting>
  <conditionalFormatting sqref="AF5:AF25">
    <cfRule type="iconSet" priority="93">
      <iconSet>
        <cfvo type="percent" val="0"/>
        <cfvo type="num" val="9.9999999999999995E-7"/>
        <cfvo type="num" val="9.9999999999999995E-7"/>
      </iconSet>
    </cfRule>
  </conditionalFormatting>
  <conditionalFormatting sqref="AF5:AF26">
    <cfRule type="cellIs" dxfId="22" priority="20" operator="lessThan">
      <formula>0</formula>
    </cfRule>
    <cfRule type="cellIs" dxfId="21" priority="19" operator="greaterThanOrEqual">
      <formula>0</formula>
    </cfRule>
  </conditionalFormatting>
  <conditionalFormatting sqref="AF26">
    <cfRule type="iconSet" priority="21">
      <iconSet>
        <cfvo type="percent" val="0"/>
        <cfvo type="num" val="9.9999999999999995E-7"/>
        <cfvo type="num" val="9.9999999999999995E-7"/>
      </iconSet>
    </cfRule>
  </conditionalFormatting>
  <conditionalFormatting sqref="AJ5:AJ25">
    <cfRule type="iconSet" priority="87">
      <iconSet>
        <cfvo type="percent" val="0"/>
        <cfvo type="num" val="9.9999999999999995E-7"/>
        <cfvo type="num" val="9.9999999999999995E-7"/>
      </iconSet>
    </cfRule>
  </conditionalFormatting>
  <conditionalFormatting sqref="AJ5:AJ26">
    <cfRule type="cellIs" dxfId="20" priority="16" operator="greaterThanOrEqual">
      <formula>0</formula>
    </cfRule>
    <cfRule type="cellIs" dxfId="19" priority="17" operator="lessThan">
      <formula>0</formula>
    </cfRule>
  </conditionalFormatting>
  <conditionalFormatting sqref="AJ26">
    <cfRule type="iconSet" priority="18">
      <iconSet>
        <cfvo type="percent" val="0"/>
        <cfvo type="num" val="9.9999999999999995E-7"/>
        <cfvo type="num" val="9.9999999999999995E-7"/>
      </iconSet>
    </cfRule>
  </conditionalFormatting>
  <conditionalFormatting sqref="AN5:AN25">
    <cfRule type="iconSet" priority="81">
      <iconSet>
        <cfvo type="percent" val="0"/>
        <cfvo type="num" val="9.9999999999999995E-7"/>
        <cfvo type="num" val="9.9999999999999995E-7"/>
      </iconSet>
    </cfRule>
  </conditionalFormatting>
  <conditionalFormatting sqref="AN5:AN26">
    <cfRule type="cellIs" dxfId="18" priority="13" operator="greaterThanOrEqual">
      <formula>0</formula>
    </cfRule>
    <cfRule type="cellIs" dxfId="17" priority="14" operator="lessThan">
      <formula>0</formula>
    </cfRule>
  </conditionalFormatting>
  <conditionalFormatting sqref="AN26">
    <cfRule type="iconSet" priority="15">
      <iconSet>
        <cfvo type="percent" val="0"/>
        <cfvo type="num" val="9.9999999999999995E-7"/>
        <cfvo type="num" val="9.9999999999999995E-7"/>
      </iconSet>
    </cfRule>
  </conditionalFormatting>
  <conditionalFormatting sqref="AR5:AR25">
    <cfRule type="iconSet" priority="75">
      <iconSet>
        <cfvo type="percent" val="0"/>
        <cfvo type="num" val="9.9999999999999995E-7"/>
        <cfvo type="num" val="9.9999999999999995E-7"/>
      </iconSet>
    </cfRule>
  </conditionalFormatting>
  <conditionalFormatting sqref="AR5:AR26">
    <cfRule type="cellIs" dxfId="16" priority="11" operator="lessThan">
      <formula>0</formula>
    </cfRule>
    <cfRule type="cellIs" dxfId="15" priority="10" operator="greaterThanOrEqual">
      <formula>0</formula>
    </cfRule>
  </conditionalFormatting>
  <conditionalFormatting sqref="AR26">
    <cfRule type="iconSet" priority="12">
      <iconSet>
        <cfvo type="percent" val="0"/>
        <cfvo type="num" val="9.9999999999999995E-7"/>
        <cfvo type="num" val="9.9999999999999995E-7"/>
      </iconSet>
    </cfRule>
  </conditionalFormatting>
  <conditionalFormatting sqref="AV5:AV25">
    <cfRule type="iconSet" priority="69">
      <iconSet>
        <cfvo type="percent" val="0"/>
        <cfvo type="num" val="9.9999999999999995E-7"/>
        <cfvo type="num" val="9.9999999999999995E-7"/>
      </iconSet>
    </cfRule>
  </conditionalFormatting>
  <conditionalFormatting sqref="AV5:AV26">
    <cfRule type="cellIs" dxfId="14" priority="7" operator="greaterThanOrEqual">
      <formula>0</formula>
    </cfRule>
    <cfRule type="cellIs" dxfId="13" priority="8" operator="lessThan">
      <formula>0</formula>
    </cfRule>
  </conditionalFormatting>
  <conditionalFormatting sqref="AV26">
    <cfRule type="iconSet" priority="9">
      <iconSet>
        <cfvo type="percent" val="0"/>
        <cfvo type="num" val="9.9999999999999995E-7"/>
        <cfvo type="num" val="9.9999999999999995E-7"/>
      </iconSet>
    </cfRule>
  </conditionalFormatting>
  <conditionalFormatting sqref="AZ5:AZ25">
    <cfRule type="iconSet" priority="63">
      <iconSet>
        <cfvo type="percent" val="0"/>
        <cfvo type="num" val="9.9999999999999995E-7"/>
        <cfvo type="num" val="9.9999999999999995E-7"/>
      </iconSet>
    </cfRule>
  </conditionalFormatting>
  <conditionalFormatting sqref="AZ5:AZ26">
    <cfRule type="cellIs" dxfId="12" priority="4" operator="greaterThanOrEqual">
      <formula>0</formula>
    </cfRule>
    <cfRule type="cellIs" dxfId="11" priority="5" operator="lessThan">
      <formula>0</formula>
    </cfRule>
  </conditionalFormatting>
  <conditionalFormatting sqref="AZ26">
    <cfRule type="iconSet" priority="6">
      <iconSet>
        <cfvo type="percent" val="0"/>
        <cfvo type="num" val="9.9999999999999995E-7"/>
        <cfvo type="num" val="9.9999999999999995E-7"/>
      </iconSet>
    </cfRule>
  </conditionalFormatting>
  <conditionalFormatting sqref="BD5:BD25">
    <cfRule type="iconSet" priority="57">
      <iconSet>
        <cfvo type="percent" val="0"/>
        <cfvo type="num" val="9.9999999999999995E-7"/>
        <cfvo type="num" val="9.9999999999999995E-7"/>
      </iconSet>
    </cfRule>
  </conditionalFormatting>
  <conditionalFormatting sqref="BD5:BD26">
    <cfRule type="cellIs" dxfId="10" priority="2" operator="lessThan">
      <formula>0</formula>
    </cfRule>
    <cfRule type="cellIs" dxfId="9" priority="1" operator="greaterThanOrEqual">
      <formula>0</formula>
    </cfRule>
  </conditionalFormatting>
  <conditionalFormatting sqref="BD26">
    <cfRule type="iconSet" priority="3">
      <iconSet>
        <cfvo type="percent" val="0"/>
        <cfvo type="num" val="9.9999999999999995E-7"/>
        <cfvo type="num" val="9.9999999999999995E-7"/>
      </iconSet>
    </cfRule>
  </conditionalFormatting>
  <conditionalFormatting sqref="BH5:BH25">
    <cfRule type="iconSet" priority="51">
      <iconSet>
        <cfvo type="percent" val="0"/>
        <cfvo type="num" val="9.9999999999999995E-7"/>
        <cfvo type="num" val="9.9999999999999995E-7"/>
      </iconSet>
    </cfRule>
  </conditionalFormatting>
  <conditionalFormatting sqref="BH5:BH26">
    <cfRule type="cellIs" dxfId="8" priority="37" operator="greaterThanOrEqual">
      <formula>0</formula>
    </cfRule>
    <cfRule type="cellIs" dxfId="7" priority="38" operator="lessThan">
      <formula>0</formula>
    </cfRule>
  </conditionalFormatting>
  <conditionalFormatting sqref="BH26">
    <cfRule type="iconSet" priority="39">
      <iconSet>
        <cfvo type="percent" val="0"/>
        <cfvo type="num" val="9.9999999999999995E-7"/>
        <cfvo type="num" val="9.9999999999999995E-7"/>
      </iconSet>
    </cfRule>
  </conditionalFormatting>
  <conditionalFormatting sqref="BL5:BL25">
    <cfRule type="iconSet" priority="42">
      <iconSet>
        <cfvo type="percent" val="0"/>
        <cfvo type="num" val="9.9999999999999995E-7"/>
        <cfvo type="num" val="9.9999999999999995E-7"/>
      </iconSet>
    </cfRule>
  </conditionalFormatting>
  <conditionalFormatting sqref="BL5:BL26">
    <cfRule type="cellIs" dxfId="6" priority="41" operator="lessThan">
      <formula>0</formula>
    </cfRule>
    <cfRule type="cellIs" dxfId="5" priority="40" operator="greaterThanOrEqual">
      <formula>0</formula>
    </cfRule>
  </conditionalFormatting>
  <conditionalFormatting sqref="BL6:BL25">
    <cfRule type="cellIs" dxfId="4" priority="200" operator="lessThanOrEqual">
      <formula>0</formula>
    </cfRule>
    <cfRule type="cellIs" dxfId="3" priority="201" operator="greaterThan">
      <formula>0</formula>
    </cfRule>
    <cfRule type="iconSet" priority="202">
      <iconSet reverse="1">
        <cfvo type="percent" val="0"/>
        <cfvo type="num" val="9.9999999999999995E-7"/>
        <cfvo type="num" val="9.9999999999999995E-7"/>
      </iconSet>
    </cfRule>
  </conditionalFormatting>
  <conditionalFormatting sqref="BL26">
    <cfRule type="iconSet" priority="45">
      <iconSet>
        <cfvo type="percent" val="0"/>
        <cfvo type="num" val="9.9999999999999995E-7"/>
        <cfvo type="num" val="9.9999999999999995E-7"/>
      </iconSet>
    </cfRule>
  </conditionalFormatting>
  <dataValidations count="1">
    <dataValidation type="date" allowBlank="1" showInputMessage="1" showErrorMessage="1" errorTitle="Atenção" error="Insira uma data válida" sqref="M2 Q2 U2 Y2 AC2 AG2 AK2 AO2 AS2 AW2 BA2 BE2" xr:uid="{761AB7A8-9D7D-40AD-A82F-C843E47D33BA}">
      <formula1>43466</formula1>
      <formula2>1132254</formula2>
    </dataValidation>
  </dataValidations>
  <hyperlinks>
    <hyperlink ref="B2" location="PAINEL!A1" display="&lt;&lt; VOLTAR AO PAINEL DE CONTROLE" xr:uid="{838DADBC-AA19-4ECA-B7B3-1889616B4A27}"/>
  </hyperlinks>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6EC9-2D25-4A22-B943-F922B11514EB}">
  <sheetPr>
    <tabColor theme="0" tint="-4.9989318521683403E-2"/>
  </sheetPr>
  <dimension ref="C1:AA31"/>
  <sheetViews>
    <sheetView showGridLines="0" zoomScale="50" zoomScaleNormal="50" workbookViewId="0">
      <pane xSplit="3" ySplit="5" topLeftCell="D6" activePane="bottomRight" state="frozen"/>
      <selection activeCell="B5" sqref="B5:B9"/>
      <selection pane="topRight" activeCell="B5" sqref="B5:B9"/>
      <selection pane="bottomLeft" activeCell="B5" sqref="B5:B9"/>
      <selection pane="bottomRight"/>
    </sheetView>
  </sheetViews>
  <sheetFormatPr defaultColWidth="9.1796875" defaultRowHeight="12" x14ac:dyDescent="0.3"/>
  <cols>
    <col min="1" max="2" width="1.453125" style="276" customWidth="1"/>
    <col min="3" max="3" width="30.81640625" style="276" customWidth="1"/>
    <col min="4" max="4" width="12.54296875" style="276" customWidth="1"/>
    <col min="5" max="5" width="13.26953125" style="276" customWidth="1"/>
    <col min="6" max="6" width="14.54296875" style="276" bestFit="1" customWidth="1"/>
    <col min="7" max="7" width="13" style="276" customWidth="1"/>
    <col min="8" max="8" width="12.81640625" style="276" bestFit="1" customWidth="1"/>
    <col min="9" max="9" width="8.26953125" style="276" customWidth="1"/>
    <col min="10" max="10" width="12.54296875" style="276" bestFit="1" customWidth="1"/>
    <col min="11" max="11" width="8.26953125" style="276" customWidth="1"/>
    <col min="12" max="12" width="12.54296875" style="276" bestFit="1" customWidth="1"/>
    <col min="13" max="13" width="17.1796875" style="276" customWidth="1"/>
    <col min="14" max="14" width="11.7265625" style="276" bestFit="1" customWidth="1"/>
    <col min="15" max="15" width="13.26953125" style="276" customWidth="1"/>
    <col min="16" max="16" width="11.7265625" style="276" bestFit="1" customWidth="1"/>
    <col min="17" max="17" width="8.26953125" style="276" customWidth="1"/>
    <col min="18" max="18" width="11.7265625" style="276" bestFit="1" customWidth="1"/>
    <col min="19" max="19" width="8.26953125" style="276" customWidth="1"/>
    <col min="20" max="20" width="11.7265625" style="276" bestFit="1" customWidth="1"/>
    <col min="21" max="21" width="8.26953125" style="276" customWidth="1"/>
    <col min="22" max="22" width="11.7265625" style="276" bestFit="1" customWidth="1"/>
    <col min="23" max="23" width="8.26953125" style="276" customWidth="1"/>
    <col min="24" max="24" width="11.7265625" style="276" bestFit="1" customWidth="1"/>
    <col min="25" max="25" width="8.26953125" style="276" customWidth="1"/>
    <col min="26" max="26" width="11.7265625" style="276" bestFit="1" customWidth="1"/>
    <col min="27" max="27" width="8.26953125" style="276" customWidth="1"/>
    <col min="28" max="16384" width="9.1796875" style="276"/>
  </cols>
  <sheetData>
    <row r="1" spans="3:27" ht="6.75" customHeight="1" x14ac:dyDescent="0.3"/>
    <row r="2" spans="3:27" s="277" customFormat="1" ht="56.25" customHeight="1" x14ac:dyDescent="0.6">
      <c r="C2" s="294" t="s">
        <v>147</v>
      </c>
      <c r="D2" s="502" t="s">
        <v>140</v>
      </c>
      <c r="E2" s="503"/>
      <c r="F2" s="503"/>
      <c r="G2" s="503"/>
      <c r="H2" s="503"/>
      <c r="I2" s="503"/>
      <c r="J2" s="503"/>
      <c r="K2" s="503"/>
      <c r="L2" s="503"/>
      <c r="M2" s="503"/>
      <c r="N2" s="503"/>
      <c r="O2" s="503"/>
      <c r="P2" s="503"/>
      <c r="Q2" s="503"/>
      <c r="R2" s="503"/>
      <c r="S2" s="503"/>
      <c r="T2" s="503"/>
      <c r="U2" s="503"/>
      <c r="V2" s="503"/>
      <c r="W2" s="503"/>
      <c r="X2" s="503"/>
      <c r="Y2" s="503"/>
      <c r="Z2" s="503"/>
      <c r="AA2" s="504"/>
    </row>
    <row r="3" spans="3:27" ht="4" customHeight="1" thickBot="1" x14ac:dyDescent="0.35">
      <c r="C3" s="278"/>
      <c r="D3" s="278"/>
      <c r="E3" s="278"/>
      <c r="F3" s="278"/>
      <c r="G3" s="278"/>
      <c r="H3" s="278"/>
      <c r="I3" s="278"/>
      <c r="J3" s="278"/>
      <c r="K3" s="278"/>
      <c r="L3" s="278"/>
      <c r="M3" s="278"/>
      <c r="N3" s="278"/>
      <c r="O3" s="278"/>
      <c r="P3" s="278"/>
      <c r="Q3" s="278"/>
      <c r="R3" s="278"/>
      <c r="S3" s="278"/>
      <c r="T3" s="278"/>
      <c r="U3" s="278"/>
      <c r="V3" s="278"/>
      <c r="W3" s="278"/>
      <c r="X3" s="278"/>
      <c r="Y3" s="278"/>
      <c r="Z3" s="278"/>
      <c r="AA3" s="278"/>
    </row>
    <row r="4" spans="3:27" s="279" customFormat="1" ht="37" customHeight="1" x14ac:dyDescent="0.35">
      <c r="C4" s="282" t="s">
        <v>913</v>
      </c>
      <c r="D4" s="283" t="s">
        <v>914</v>
      </c>
      <c r="E4" s="284"/>
      <c r="F4" s="283" t="s">
        <v>915</v>
      </c>
      <c r="G4" s="284"/>
      <c r="H4" s="283" t="s">
        <v>916</v>
      </c>
      <c r="I4" s="284"/>
      <c r="J4" s="283" t="s">
        <v>917</v>
      </c>
      <c r="K4" s="284"/>
      <c r="L4" s="283" t="s">
        <v>918</v>
      </c>
      <c r="M4" s="284"/>
      <c r="N4" s="283" t="s">
        <v>919</v>
      </c>
      <c r="O4" s="284"/>
      <c r="P4" s="283" t="s">
        <v>920</v>
      </c>
      <c r="Q4" s="284"/>
      <c r="R4" s="283" t="s">
        <v>921</v>
      </c>
      <c r="S4" s="284"/>
      <c r="T4" s="283" t="s">
        <v>922</v>
      </c>
      <c r="U4" s="284"/>
      <c r="V4" s="283" t="s">
        <v>923</v>
      </c>
      <c r="W4" s="284"/>
      <c r="X4" s="283" t="s">
        <v>924</v>
      </c>
      <c r="Y4" s="284"/>
      <c r="Z4" s="283" t="s">
        <v>925</v>
      </c>
      <c r="AA4" s="284"/>
    </row>
    <row r="5" spans="3:27" s="280" customFormat="1" ht="15" customHeight="1" x14ac:dyDescent="0.3">
      <c r="C5" s="293"/>
      <c r="D5" s="291" t="s">
        <v>87</v>
      </c>
      <c r="E5" s="292" t="s">
        <v>926</v>
      </c>
      <c r="F5" s="291" t="s">
        <v>87</v>
      </c>
      <c r="G5" s="292" t="s">
        <v>926</v>
      </c>
      <c r="H5" s="291" t="s">
        <v>87</v>
      </c>
      <c r="I5" s="292" t="s">
        <v>926</v>
      </c>
      <c r="J5" s="291" t="s">
        <v>87</v>
      </c>
      <c r="K5" s="292" t="s">
        <v>926</v>
      </c>
      <c r="L5" s="291" t="s">
        <v>87</v>
      </c>
      <c r="M5" s="292" t="s">
        <v>926</v>
      </c>
      <c r="N5" s="291" t="s">
        <v>87</v>
      </c>
      <c r="O5" s="292" t="s">
        <v>926</v>
      </c>
      <c r="P5" s="291" t="s">
        <v>87</v>
      </c>
      <c r="Q5" s="292" t="s">
        <v>926</v>
      </c>
      <c r="R5" s="291" t="s">
        <v>87</v>
      </c>
      <c r="S5" s="292" t="s">
        <v>926</v>
      </c>
      <c r="T5" s="291" t="s">
        <v>87</v>
      </c>
      <c r="U5" s="292" t="s">
        <v>926</v>
      </c>
      <c r="V5" s="291" t="s">
        <v>87</v>
      </c>
      <c r="W5" s="292" t="s">
        <v>926</v>
      </c>
      <c r="X5" s="291" t="s">
        <v>87</v>
      </c>
      <c r="Y5" s="292" t="s">
        <v>926</v>
      </c>
      <c r="Z5" s="291" t="s">
        <v>87</v>
      </c>
      <c r="AA5" s="292" t="s">
        <v>926</v>
      </c>
    </row>
    <row r="6" spans="3:27" ht="18" customHeight="1" x14ac:dyDescent="0.3">
      <c r="C6" s="285" t="s">
        <v>927</v>
      </c>
      <c r="D6" s="286"/>
      <c r="E6" s="286"/>
      <c r="F6" s="286"/>
      <c r="G6" s="286"/>
      <c r="H6" s="286"/>
      <c r="I6" s="286"/>
      <c r="J6" s="286"/>
      <c r="K6" s="286"/>
      <c r="L6" s="286"/>
      <c r="M6" s="286"/>
      <c r="N6" s="286"/>
      <c r="O6" s="286"/>
      <c r="P6" s="286"/>
      <c r="Q6" s="286"/>
      <c r="R6" s="286"/>
      <c r="S6" s="286"/>
      <c r="T6" s="286"/>
      <c r="U6" s="286"/>
      <c r="V6" s="286"/>
      <c r="W6" s="286"/>
      <c r="X6" s="286"/>
      <c r="Y6" s="286"/>
      <c r="Z6" s="286"/>
      <c r="AA6" s="286"/>
    </row>
    <row r="7" spans="3:27" ht="18" customHeight="1" x14ac:dyDescent="0.3">
      <c r="C7" s="297" t="s">
        <v>928</v>
      </c>
      <c r="D7" s="344">
        <v>200000</v>
      </c>
      <c r="E7" s="344">
        <v>200000</v>
      </c>
      <c r="F7" s="299"/>
      <c r="G7" s="299"/>
      <c r="H7" s="299"/>
      <c r="I7" s="299"/>
      <c r="J7" s="299"/>
      <c r="K7" s="299"/>
      <c r="L7" s="299"/>
      <c r="M7" s="299"/>
      <c r="N7" s="299"/>
      <c r="O7" s="299"/>
      <c r="P7" s="299"/>
      <c r="Q7" s="299"/>
      <c r="R7" s="299"/>
      <c r="S7" s="299"/>
      <c r="T7" s="299"/>
      <c r="U7" s="299"/>
      <c r="V7" s="299"/>
      <c r="W7" s="299"/>
      <c r="X7" s="299"/>
      <c r="Y7" s="299"/>
      <c r="Z7" s="299"/>
      <c r="AA7" s="299"/>
    </row>
    <row r="8" spans="3:27" ht="18" customHeight="1" x14ac:dyDescent="0.3">
      <c r="C8" s="297" t="s">
        <v>929</v>
      </c>
      <c r="D8" s="344">
        <v>100000</v>
      </c>
      <c r="E8" s="298">
        <v>100000</v>
      </c>
      <c r="F8" s="299">
        <v>20000</v>
      </c>
      <c r="G8" s="299">
        <v>22000</v>
      </c>
      <c r="H8" s="299">
        <v>20000</v>
      </c>
      <c r="I8" s="299"/>
      <c r="J8" s="299">
        <v>20000</v>
      </c>
      <c r="K8" s="299"/>
      <c r="L8" s="299">
        <v>20000</v>
      </c>
      <c r="M8" s="359">
        <v>15000</v>
      </c>
      <c r="N8" s="299">
        <v>20000</v>
      </c>
      <c r="O8" s="359">
        <v>25000</v>
      </c>
      <c r="P8" s="299">
        <v>20000</v>
      </c>
      <c r="Q8" s="299"/>
      <c r="R8" s="299">
        <v>20000</v>
      </c>
      <c r="S8" s="299"/>
      <c r="T8" s="299">
        <v>20000</v>
      </c>
      <c r="U8" s="299"/>
      <c r="V8" s="299">
        <v>20000</v>
      </c>
      <c r="W8" s="299"/>
      <c r="X8" s="299">
        <v>20000</v>
      </c>
      <c r="Y8" s="299"/>
      <c r="Z8" s="299">
        <v>20000</v>
      </c>
      <c r="AA8" s="299"/>
    </row>
    <row r="9" spans="3:27" ht="18" customHeight="1" x14ac:dyDescent="0.3">
      <c r="C9" s="297" t="s">
        <v>930</v>
      </c>
      <c r="D9" s="344">
        <v>100000</v>
      </c>
      <c r="E9" s="298">
        <v>100000</v>
      </c>
      <c r="F9" s="299"/>
      <c r="G9" s="299"/>
      <c r="H9" s="299"/>
      <c r="I9" s="299"/>
      <c r="J9" s="299"/>
      <c r="K9" s="299"/>
      <c r="L9" s="299"/>
      <c r="M9" s="299"/>
      <c r="N9" s="299"/>
      <c r="O9" s="299"/>
      <c r="P9" s="299"/>
      <c r="Q9" s="299"/>
      <c r="R9" s="299"/>
      <c r="S9" s="299"/>
      <c r="T9" s="299"/>
      <c r="U9" s="299"/>
      <c r="V9" s="299"/>
      <c r="W9" s="299"/>
      <c r="X9" s="299"/>
      <c r="Y9" s="299"/>
      <c r="Z9" s="299"/>
      <c r="AA9" s="299"/>
    </row>
    <row r="10" spans="3:27" ht="29.15" customHeight="1" x14ac:dyDescent="0.3">
      <c r="C10" s="305" t="s">
        <v>931</v>
      </c>
      <c r="D10" s="345">
        <f>SUM(D7:D9)</f>
        <v>400000</v>
      </c>
      <c r="E10" s="345">
        <f>SUM(E7:E9)</f>
        <v>400000</v>
      </c>
      <c r="F10" s="306">
        <f t="shared" ref="F10:AA10" si="0">SUM(F7:F9)</f>
        <v>20000</v>
      </c>
      <c r="G10" s="306">
        <f t="shared" si="0"/>
        <v>22000</v>
      </c>
      <c r="H10" s="306">
        <f t="shared" si="0"/>
        <v>20000</v>
      </c>
      <c r="I10" s="306">
        <f>SUM(I7:I9)</f>
        <v>0</v>
      </c>
      <c r="J10" s="306">
        <f t="shared" si="0"/>
        <v>20000</v>
      </c>
      <c r="K10" s="306">
        <f t="shared" si="0"/>
        <v>0</v>
      </c>
      <c r="L10" s="306">
        <f t="shared" si="0"/>
        <v>20000</v>
      </c>
      <c r="M10" s="306">
        <f t="shared" si="0"/>
        <v>15000</v>
      </c>
      <c r="N10" s="306">
        <f t="shared" si="0"/>
        <v>20000</v>
      </c>
      <c r="O10" s="306">
        <f t="shared" si="0"/>
        <v>25000</v>
      </c>
      <c r="P10" s="306">
        <f t="shared" si="0"/>
        <v>20000</v>
      </c>
      <c r="Q10" s="306">
        <f t="shared" si="0"/>
        <v>0</v>
      </c>
      <c r="R10" s="306">
        <f t="shared" si="0"/>
        <v>20000</v>
      </c>
      <c r="S10" s="306">
        <f t="shared" si="0"/>
        <v>0</v>
      </c>
      <c r="T10" s="306">
        <f t="shared" si="0"/>
        <v>20000</v>
      </c>
      <c r="U10" s="306">
        <f t="shared" si="0"/>
        <v>0</v>
      </c>
      <c r="V10" s="306">
        <f t="shared" si="0"/>
        <v>20000</v>
      </c>
      <c r="W10" s="306">
        <f t="shared" si="0"/>
        <v>0</v>
      </c>
      <c r="X10" s="306">
        <f t="shared" si="0"/>
        <v>20000</v>
      </c>
      <c r="Y10" s="306">
        <f t="shared" si="0"/>
        <v>0</v>
      </c>
      <c r="Z10" s="306">
        <f t="shared" si="0"/>
        <v>20000</v>
      </c>
      <c r="AA10" s="306">
        <f t="shared" si="0"/>
        <v>0</v>
      </c>
    </row>
    <row r="11" spans="3:27" s="281" customFormat="1" ht="18" customHeight="1" x14ac:dyDescent="0.3">
      <c r="C11" s="287" t="s">
        <v>932</v>
      </c>
      <c r="D11" s="288"/>
      <c r="E11" s="288"/>
      <c r="F11" s="288"/>
      <c r="G11" s="288"/>
      <c r="H11" s="288"/>
      <c r="I11" s="288"/>
      <c r="J11" s="288"/>
      <c r="K11" s="288"/>
      <c r="L11" s="288"/>
      <c r="M11" s="288"/>
      <c r="N11" s="288"/>
      <c r="O11" s="288"/>
      <c r="P11" s="288"/>
      <c r="Q11" s="288"/>
      <c r="R11" s="288"/>
      <c r="S11" s="288"/>
      <c r="T11" s="288"/>
      <c r="U11" s="288"/>
      <c r="V11" s="288"/>
      <c r="W11" s="288"/>
      <c r="X11" s="288"/>
      <c r="Y11" s="288"/>
      <c r="Z11" s="288"/>
      <c r="AA11" s="288"/>
    </row>
    <row r="12" spans="3:27" ht="18" customHeight="1" x14ac:dyDescent="0.3">
      <c r="C12" s="300" t="s">
        <v>933</v>
      </c>
      <c r="D12" s="344">
        <v>200000</v>
      </c>
      <c r="E12" s="344">
        <v>250000</v>
      </c>
      <c r="F12" s="344">
        <v>200000</v>
      </c>
      <c r="G12" s="342"/>
      <c r="H12" s="344">
        <v>200000</v>
      </c>
      <c r="I12" s="342"/>
      <c r="J12" s="344">
        <v>200000</v>
      </c>
      <c r="K12" s="342"/>
      <c r="L12" s="344">
        <v>200000</v>
      </c>
      <c r="M12" s="342"/>
      <c r="N12" s="344">
        <v>200000</v>
      </c>
      <c r="O12" s="342"/>
      <c r="P12" s="344">
        <v>200000</v>
      </c>
      <c r="Q12" s="342"/>
      <c r="R12" s="344">
        <v>230000</v>
      </c>
      <c r="S12" s="342"/>
      <c r="T12" s="344">
        <v>230000</v>
      </c>
      <c r="U12" s="342"/>
      <c r="V12" s="344">
        <v>230000</v>
      </c>
      <c r="W12" s="342"/>
      <c r="X12" s="344">
        <v>230000</v>
      </c>
      <c r="Y12" s="342"/>
      <c r="Z12" s="344">
        <v>230000</v>
      </c>
      <c r="AA12" s="342"/>
    </row>
    <row r="13" spans="3:27" ht="18" customHeight="1" x14ac:dyDescent="0.3">
      <c r="C13" s="300" t="s">
        <v>934</v>
      </c>
      <c r="D13" s="344">
        <v>1500</v>
      </c>
      <c r="E13" s="344">
        <v>1500</v>
      </c>
      <c r="F13" s="342"/>
      <c r="G13" s="342"/>
      <c r="H13" s="342"/>
      <c r="I13" s="342"/>
      <c r="J13" s="342"/>
      <c r="K13" s="342"/>
      <c r="L13" s="342"/>
      <c r="M13" s="342"/>
      <c r="N13" s="342"/>
      <c r="O13" s="342"/>
      <c r="P13" s="342"/>
      <c r="Q13" s="342"/>
      <c r="R13" s="342"/>
      <c r="S13" s="342"/>
      <c r="T13" s="342"/>
      <c r="U13" s="342"/>
      <c r="V13" s="342"/>
      <c r="W13" s="342"/>
      <c r="X13" s="342"/>
      <c r="Y13" s="342"/>
      <c r="Z13" s="342"/>
      <c r="AA13" s="342"/>
    </row>
    <row r="14" spans="3:27" ht="18" customHeight="1" x14ac:dyDescent="0.3">
      <c r="C14" s="300" t="s">
        <v>935</v>
      </c>
      <c r="D14" s="344">
        <v>5000</v>
      </c>
      <c r="E14" s="344">
        <v>5000</v>
      </c>
      <c r="F14" s="344">
        <v>5000</v>
      </c>
      <c r="G14" s="342"/>
      <c r="H14" s="344">
        <v>5000</v>
      </c>
      <c r="I14" s="342"/>
      <c r="J14" s="344">
        <v>15000</v>
      </c>
      <c r="K14" s="342"/>
      <c r="L14" s="344">
        <v>15000</v>
      </c>
      <c r="M14" s="342"/>
      <c r="N14" s="344">
        <v>15000</v>
      </c>
      <c r="O14" s="342"/>
      <c r="P14" s="344">
        <v>15000</v>
      </c>
      <c r="Q14" s="342"/>
      <c r="R14" s="344">
        <v>15000</v>
      </c>
      <c r="S14" s="342"/>
      <c r="T14" s="344">
        <v>15000</v>
      </c>
      <c r="U14" s="342"/>
      <c r="V14" s="344">
        <v>15000</v>
      </c>
      <c r="W14" s="342"/>
      <c r="X14" s="344">
        <v>15000</v>
      </c>
      <c r="Y14" s="342"/>
      <c r="Z14" s="344">
        <v>15000</v>
      </c>
      <c r="AA14" s="342"/>
    </row>
    <row r="15" spans="3:27" ht="18" customHeight="1" x14ac:dyDescent="0.3">
      <c r="C15" s="300" t="s">
        <v>936</v>
      </c>
      <c r="D15" s="344">
        <v>2500</v>
      </c>
      <c r="E15" s="344">
        <v>2500</v>
      </c>
      <c r="F15" s="342"/>
      <c r="G15" s="342"/>
      <c r="H15" s="342"/>
      <c r="I15" s="342"/>
      <c r="J15" s="342"/>
      <c r="K15" s="342"/>
      <c r="L15" s="342"/>
      <c r="M15" s="342"/>
      <c r="N15" s="342"/>
      <c r="O15" s="342"/>
      <c r="P15" s="342"/>
      <c r="Q15" s="342"/>
      <c r="R15" s="342"/>
      <c r="S15" s="342"/>
      <c r="T15" s="342"/>
      <c r="U15" s="342"/>
      <c r="V15" s="342"/>
      <c r="W15" s="342"/>
      <c r="X15" s="342"/>
      <c r="Y15" s="342"/>
      <c r="Z15" s="342"/>
      <c r="AA15" s="342"/>
    </row>
    <row r="16" spans="3:27" ht="18" customHeight="1" x14ac:dyDescent="0.3">
      <c r="C16" s="300" t="s">
        <v>937</v>
      </c>
      <c r="D16" s="344">
        <v>1500</v>
      </c>
      <c r="E16" s="344">
        <v>1500</v>
      </c>
      <c r="F16" s="343"/>
      <c r="G16" s="342"/>
      <c r="H16" s="343"/>
      <c r="I16" s="342"/>
      <c r="J16" s="343"/>
      <c r="K16" s="342"/>
      <c r="L16" s="343"/>
      <c r="M16" s="342"/>
      <c r="N16" s="343"/>
      <c r="O16" s="342"/>
      <c r="P16" s="343"/>
      <c r="Q16" s="342"/>
      <c r="R16" s="343"/>
      <c r="S16" s="342"/>
      <c r="T16" s="343"/>
      <c r="U16" s="342"/>
      <c r="V16" s="343"/>
      <c r="W16" s="342"/>
      <c r="X16" s="343"/>
      <c r="Y16" s="342"/>
      <c r="Z16" s="343"/>
      <c r="AA16" s="342"/>
    </row>
    <row r="17" spans="3:27" ht="18" customHeight="1" x14ac:dyDescent="0.3">
      <c r="C17" s="300" t="s">
        <v>938</v>
      </c>
      <c r="D17" s="344">
        <v>1000</v>
      </c>
      <c r="E17" s="344">
        <v>1000</v>
      </c>
      <c r="F17" s="342"/>
      <c r="G17" s="342"/>
      <c r="H17" s="342"/>
      <c r="I17" s="342"/>
      <c r="J17" s="342"/>
      <c r="K17" s="342"/>
      <c r="L17" s="342"/>
      <c r="M17" s="342"/>
      <c r="N17" s="342"/>
      <c r="O17" s="342"/>
      <c r="P17" s="342"/>
      <c r="Q17" s="342"/>
      <c r="R17" s="342"/>
      <c r="S17" s="342"/>
      <c r="T17" s="342"/>
      <c r="U17" s="342"/>
      <c r="V17" s="342"/>
      <c r="W17" s="342"/>
      <c r="X17" s="342"/>
      <c r="Y17" s="342"/>
      <c r="Z17" s="342"/>
      <c r="AA17" s="342"/>
    </row>
    <row r="18" spans="3:27" ht="18" customHeight="1" x14ac:dyDescent="0.3">
      <c r="C18" s="300" t="s">
        <v>930</v>
      </c>
      <c r="D18" s="344">
        <v>3000</v>
      </c>
      <c r="E18" s="344">
        <v>3000</v>
      </c>
      <c r="F18" s="342"/>
      <c r="G18" s="342"/>
      <c r="H18" s="342"/>
      <c r="I18" s="342"/>
      <c r="J18" s="342"/>
      <c r="K18" s="342"/>
      <c r="L18" s="342"/>
      <c r="M18" s="342"/>
      <c r="N18" s="342"/>
      <c r="O18" s="342"/>
      <c r="P18" s="342"/>
      <c r="Q18" s="342"/>
      <c r="R18" s="342"/>
      <c r="S18" s="342"/>
      <c r="T18" s="342"/>
      <c r="U18" s="342"/>
      <c r="V18" s="342"/>
      <c r="W18" s="342"/>
      <c r="X18" s="342"/>
      <c r="Y18" s="342"/>
      <c r="Z18" s="342"/>
      <c r="AA18" s="342"/>
    </row>
    <row r="19" spans="3:27" ht="18" customHeight="1" x14ac:dyDescent="0.3">
      <c r="C19" s="300" t="s">
        <v>939</v>
      </c>
      <c r="D19" s="344">
        <v>900</v>
      </c>
      <c r="E19" s="344">
        <v>900</v>
      </c>
      <c r="F19" s="342"/>
      <c r="G19" s="342"/>
      <c r="H19" s="342"/>
      <c r="I19" s="342"/>
      <c r="J19" s="342"/>
      <c r="K19" s="342"/>
      <c r="L19" s="342"/>
      <c r="M19" s="342"/>
      <c r="N19" s="342"/>
      <c r="O19" s="342"/>
      <c r="P19" s="342"/>
      <c r="Q19" s="342"/>
      <c r="R19" s="342"/>
      <c r="S19" s="342"/>
      <c r="T19" s="342"/>
      <c r="U19" s="342"/>
      <c r="V19" s="342"/>
      <c r="W19" s="342"/>
      <c r="X19" s="342"/>
      <c r="Y19" s="342"/>
      <c r="Z19" s="342"/>
      <c r="AA19" s="342"/>
    </row>
    <row r="20" spans="3:27" ht="18" customHeight="1" x14ac:dyDescent="0.3">
      <c r="C20" s="300" t="s">
        <v>940</v>
      </c>
      <c r="D20" s="344">
        <v>2300</v>
      </c>
      <c r="E20" s="344">
        <v>2300</v>
      </c>
      <c r="F20" s="342"/>
      <c r="G20" s="342"/>
      <c r="H20" s="342"/>
      <c r="I20" s="342"/>
      <c r="J20" s="342"/>
      <c r="K20" s="342"/>
      <c r="L20" s="342"/>
      <c r="M20" s="342"/>
      <c r="N20" s="342"/>
      <c r="O20" s="342"/>
      <c r="P20" s="342"/>
      <c r="Q20" s="342"/>
      <c r="R20" s="342"/>
      <c r="S20" s="342"/>
      <c r="T20" s="342"/>
      <c r="U20" s="342"/>
      <c r="V20" s="342"/>
      <c r="W20" s="342"/>
      <c r="X20" s="342"/>
      <c r="Y20" s="342"/>
      <c r="Z20" s="342"/>
      <c r="AA20" s="342"/>
    </row>
    <row r="21" spans="3:27" ht="18" customHeight="1" x14ac:dyDescent="0.3">
      <c r="C21" s="300" t="s">
        <v>941</v>
      </c>
      <c r="D21" s="344">
        <v>3000</v>
      </c>
      <c r="E21" s="344">
        <v>3000</v>
      </c>
      <c r="F21" s="342"/>
      <c r="G21" s="342"/>
      <c r="H21" s="342"/>
      <c r="I21" s="342"/>
      <c r="J21" s="342"/>
      <c r="K21" s="342"/>
      <c r="L21" s="342"/>
      <c r="M21" s="342"/>
      <c r="N21" s="342"/>
      <c r="O21" s="342"/>
      <c r="P21" s="342"/>
      <c r="Q21" s="342"/>
      <c r="R21" s="342"/>
      <c r="S21" s="342"/>
      <c r="T21" s="342"/>
      <c r="U21" s="342"/>
      <c r="V21" s="342"/>
      <c r="W21" s="342"/>
      <c r="X21" s="342"/>
      <c r="Y21" s="342"/>
      <c r="Z21" s="342"/>
      <c r="AA21" s="342"/>
    </row>
    <row r="22" spans="3:27" ht="18" customHeight="1" x14ac:dyDescent="0.3">
      <c r="C22" s="300" t="s">
        <v>942</v>
      </c>
      <c r="D22" s="344">
        <v>2000</v>
      </c>
      <c r="E22" s="344">
        <v>2000</v>
      </c>
      <c r="F22" s="301"/>
      <c r="G22" s="301"/>
      <c r="H22" s="301"/>
      <c r="I22" s="301"/>
      <c r="J22" s="301"/>
      <c r="K22" s="301"/>
      <c r="L22" s="301"/>
      <c r="M22" s="301"/>
      <c r="N22" s="301"/>
      <c r="O22" s="301"/>
      <c r="P22" s="301"/>
      <c r="Q22" s="301"/>
      <c r="R22" s="301"/>
      <c r="S22" s="301"/>
      <c r="T22" s="301"/>
      <c r="U22" s="301"/>
      <c r="V22" s="301"/>
      <c r="W22" s="301"/>
      <c r="X22" s="301"/>
      <c r="Y22" s="301"/>
      <c r="Z22" s="301"/>
      <c r="AA22" s="301"/>
    </row>
    <row r="23" spans="3:27" ht="18" customHeight="1" x14ac:dyDescent="0.3">
      <c r="C23" s="300" t="s">
        <v>943</v>
      </c>
      <c r="D23" s="344">
        <v>45000</v>
      </c>
      <c r="E23" s="344">
        <v>100000</v>
      </c>
      <c r="F23" s="301"/>
      <c r="G23" s="301"/>
      <c r="H23" s="301"/>
      <c r="I23" s="301"/>
      <c r="J23" s="301"/>
      <c r="K23" s="301"/>
      <c r="L23" s="301"/>
      <c r="M23" s="301"/>
      <c r="N23" s="301"/>
      <c r="O23" s="301"/>
      <c r="P23" s="301"/>
      <c r="Q23" s="301"/>
      <c r="R23" s="301"/>
      <c r="S23" s="301"/>
      <c r="T23" s="301"/>
      <c r="U23" s="301"/>
      <c r="V23" s="301"/>
      <c r="W23" s="301"/>
      <c r="X23" s="301"/>
      <c r="Y23" s="301"/>
      <c r="Z23" s="301"/>
      <c r="AA23" s="301"/>
    </row>
    <row r="24" spans="3:27" ht="18" customHeight="1" x14ac:dyDescent="0.3">
      <c r="C24" s="300" t="s">
        <v>944</v>
      </c>
      <c r="D24" s="344">
        <v>5000</v>
      </c>
      <c r="E24" s="344">
        <v>5000</v>
      </c>
      <c r="F24" s="301"/>
      <c r="G24" s="301"/>
      <c r="H24" s="301"/>
      <c r="I24" s="301"/>
      <c r="J24" s="301"/>
      <c r="K24" s="301"/>
      <c r="L24" s="301"/>
      <c r="M24" s="301"/>
      <c r="N24" s="301"/>
      <c r="O24" s="301"/>
      <c r="P24" s="301"/>
      <c r="Q24" s="301"/>
      <c r="R24" s="301"/>
      <c r="S24" s="301"/>
      <c r="T24" s="301"/>
      <c r="U24" s="301"/>
      <c r="V24" s="301"/>
      <c r="W24" s="301"/>
      <c r="X24" s="301"/>
      <c r="Y24" s="301"/>
      <c r="Z24" s="301"/>
      <c r="AA24" s="301"/>
    </row>
    <row r="25" spans="3:27" ht="18" customHeight="1" x14ac:dyDescent="0.3">
      <c r="C25" s="300" t="s">
        <v>945</v>
      </c>
      <c r="D25" s="344">
        <v>1200</v>
      </c>
      <c r="E25" s="344">
        <v>1200</v>
      </c>
      <c r="F25" s="301"/>
      <c r="G25" s="301"/>
      <c r="H25" s="301"/>
      <c r="I25" s="301"/>
      <c r="J25" s="301"/>
      <c r="K25" s="301"/>
      <c r="L25" s="301"/>
      <c r="M25" s="301"/>
      <c r="N25" s="301"/>
      <c r="O25" s="301"/>
      <c r="P25" s="301"/>
      <c r="Q25" s="301"/>
      <c r="R25" s="301"/>
      <c r="S25" s="301"/>
      <c r="T25" s="301"/>
      <c r="U25" s="301"/>
      <c r="V25" s="301"/>
      <c r="W25" s="301"/>
      <c r="X25" s="301"/>
      <c r="Y25" s="301"/>
      <c r="Z25" s="301"/>
      <c r="AA25" s="301"/>
    </row>
    <row r="26" spans="3:27" ht="18" customHeight="1" x14ac:dyDescent="0.3">
      <c r="C26" s="300" t="s">
        <v>946</v>
      </c>
      <c r="D26" s="344">
        <v>2900</v>
      </c>
      <c r="E26" s="344">
        <v>2900</v>
      </c>
      <c r="F26" s="301"/>
      <c r="G26" s="301"/>
      <c r="H26" s="301"/>
      <c r="I26" s="301"/>
      <c r="J26" s="301"/>
      <c r="K26" s="301"/>
      <c r="L26" s="301"/>
      <c r="M26" s="301"/>
      <c r="N26" s="301"/>
      <c r="O26" s="301"/>
      <c r="P26" s="301"/>
      <c r="Q26" s="301"/>
      <c r="R26" s="301"/>
      <c r="S26" s="301"/>
      <c r="T26" s="301"/>
      <c r="U26" s="301"/>
      <c r="V26" s="301"/>
      <c r="W26" s="301"/>
      <c r="X26" s="301"/>
      <c r="Y26" s="301"/>
      <c r="Z26" s="301"/>
      <c r="AA26" s="301"/>
    </row>
    <row r="27" spans="3:27" ht="18" customHeight="1" x14ac:dyDescent="0.3">
      <c r="C27" s="300" t="s">
        <v>947</v>
      </c>
      <c r="D27" s="344">
        <v>1200</v>
      </c>
      <c r="E27" s="344">
        <v>1200</v>
      </c>
      <c r="F27" s="301"/>
      <c r="G27" s="301"/>
      <c r="H27" s="301"/>
      <c r="I27" s="301"/>
      <c r="J27" s="301"/>
      <c r="K27" s="301"/>
      <c r="L27" s="301"/>
      <c r="M27" s="301"/>
      <c r="N27" s="301"/>
      <c r="O27" s="301"/>
      <c r="P27" s="301"/>
      <c r="Q27" s="301"/>
      <c r="R27" s="301"/>
      <c r="S27" s="301"/>
      <c r="T27" s="301"/>
      <c r="U27" s="301"/>
      <c r="V27" s="301"/>
      <c r="W27" s="301"/>
      <c r="X27" s="301"/>
      <c r="Y27" s="301"/>
      <c r="Z27" s="301"/>
      <c r="AA27" s="301"/>
    </row>
    <row r="28" spans="3:27" ht="18" customHeight="1" thickBot="1" x14ac:dyDescent="0.35">
      <c r="C28" s="302" t="s">
        <v>948</v>
      </c>
      <c r="D28" s="303">
        <f>SUM(D12:D27)</f>
        <v>278000</v>
      </c>
      <c r="E28" s="304">
        <f>SUM(E12:E27)</f>
        <v>383000</v>
      </c>
      <c r="F28" s="303">
        <f t="shared" ref="F28:AA28" si="1">SUM(F12:F27)</f>
        <v>205000</v>
      </c>
      <c r="G28" s="304">
        <f t="shared" si="1"/>
        <v>0</v>
      </c>
      <c r="H28" s="303">
        <f t="shared" si="1"/>
        <v>205000</v>
      </c>
      <c r="I28" s="304">
        <f t="shared" si="1"/>
        <v>0</v>
      </c>
      <c r="J28" s="303">
        <f t="shared" si="1"/>
        <v>215000</v>
      </c>
      <c r="K28" s="304">
        <f t="shared" si="1"/>
        <v>0</v>
      </c>
      <c r="L28" s="303">
        <f t="shared" si="1"/>
        <v>215000</v>
      </c>
      <c r="M28" s="304">
        <f t="shared" si="1"/>
        <v>0</v>
      </c>
      <c r="N28" s="303">
        <f t="shared" si="1"/>
        <v>215000</v>
      </c>
      <c r="O28" s="304">
        <f t="shared" si="1"/>
        <v>0</v>
      </c>
      <c r="P28" s="303">
        <f t="shared" si="1"/>
        <v>215000</v>
      </c>
      <c r="Q28" s="304">
        <f t="shared" si="1"/>
        <v>0</v>
      </c>
      <c r="R28" s="303">
        <f t="shared" si="1"/>
        <v>245000</v>
      </c>
      <c r="S28" s="304">
        <f t="shared" si="1"/>
        <v>0</v>
      </c>
      <c r="T28" s="303">
        <f t="shared" si="1"/>
        <v>245000</v>
      </c>
      <c r="U28" s="304">
        <f t="shared" si="1"/>
        <v>0</v>
      </c>
      <c r="V28" s="303">
        <f t="shared" si="1"/>
        <v>245000</v>
      </c>
      <c r="W28" s="304">
        <f t="shared" si="1"/>
        <v>0</v>
      </c>
      <c r="X28" s="303">
        <f t="shared" si="1"/>
        <v>245000</v>
      </c>
      <c r="Y28" s="304">
        <f t="shared" si="1"/>
        <v>0</v>
      </c>
      <c r="Z28" s="303">
        <f t="shared" si="1"/>
        <v>245000</v>
      </c>
      <c r="AA28" s="304">
        <f t="shared" si="1"/>
        <v>0</v>
      </c>
    </row>
    <row r="29" spans="3:27" ht="10.5" customHeight="1" thickBot="1" x14ac:dyDescent="0.35"/>
    <row r="30" spans="3:27" ht="19" thickBot="1" x14ac:dyDescent="0.5">
      <c r="C30" s="496" t="s">
        <v>949</v>
      </c>
      <c r="D30" s="289" t="s">
        <v>914</v>
      </c>
      <c r="E30" s="290"/>
      <c r="F30" s="289" t="s">
        <v>915</v>
      </c>
      <c r="G30" s="290"/>
      <c r="H30" s="289" t="s">
        <v>916</v>
      </c>
      <c r="I30" s="290"/>
      <c r="J30" s="289" t="s">
        <v>917</v>
      </c>
      <c r="K30" s="290"/>
      <c r="L30" s="289" t="s">
        <v>918</v>
      </c>
      <c r="M30" s="290"/>
      <c r="N30" s="289" t="s">
        <v>919</v>
      </c>
      <c r="O30" s="290"/>
      <c r="P30" s="289" t="s">
        <v>920</v>
      </c>
      <c r="Q30" s="290"/>
      <c r="R30" s="289" t="s">
        <v>921</v>
      </c>
      <c r="S30" s="290"/>
      <c r="T30" s="289" t="s">
        <v>922</v>
      </c>
      <c r="U30" s="290"/>
      <c r="V30" s="289" t="s">
        <v>923</v>
      </c>
      <c r="W30" s="290"/>
      <c r="X30" s="289" t="s">
        <v>924</v>
      </c>
      <c r="Y30" s="290"/>
      <c r="Z30" s="289" t="s">
        <v>925</v>
      </c>
      <c r="AA30" s="290"/>
    </row>
    <row r="31" spans="3:27" ht="32.5" customHeight="1" thickBot="1" x14ac:dyDescent="0.35">
      <c r="C31" s="497"/>
      <c r="D31" s="498">
        <f>E10-E28</f>
        <v>17000</v>
      </c>
      <c r="E31" s="499"/>
      <c r="F31" s="500">
        <f>G10-G28</f>
        <v>22000</v>
      </c>
      <c r="G31" s="501"/>
      <c r="H31" s="500">
        <f>I10-I28</f>
        <v>0</v>
      </c>
      <c r="I31" s="501"/>
      <c r="J31" s="500">
        <f>K10-K28</f>
        <v>0</v>
      </c>
      <c r="K31" s="501"/>
      <c r="L31" s="500">
        <f>M10-M28</f>
        <v>15000</v>
      </c>
      <c r="M31" s="501"/>
      <c r="N31" s="500">
        <f>O10-O28</f>
        <v>25000</v>
      </c>
      <c r="O31" s="501"/>
      <c r="P31" s="500">
        <f>Q10-Q28</f>
        <v>0</v>
      </c>
      <c r="Q31" s="501"/>
      <c r="R31" s="500">
        <f>S10-S28</f>
        <v>0</v>
      </c>
      <c r="S31" s="501"/>
      <c r="T31" s="500">
        <f>U10-U28</f>
        <v>0</v>
      </c>
      <c r="U31" s="501"/>
      <c r="V31" s="500">
        <f>W10-W28</f>
        <v>0</v>
      </c>
      <c r="W31" s="501"/>
      <c r="X31" s="500">
        <f>Y10-Y28</f>
        <v>0</v>
      </c>
      <c r="Y31" s="501"/>
      <c r="Z31" s="500">
        <f>AA10-AA28</f>
        <v>0</v>
      </c>
      <c r="AA31" s="501"/>
    </row>
  </sheetData>
  <sheetProtection formatCells="0" formatColumns="0" formatRows="0" deleteColumns="0" deleteRows="0" selectLockedCells="1" sort="0"/>
  <mergeCells count="14">
    <mergeCell ref="Z31:AA31"/>
    <mergeCell ref="D2:AA2"/>
    <mergeCell ref="N31:O31"/>
    <mergeCell ref="P31:Q31"/>
    <mergeCell ref="R31:S31"/>
    <mergeCell ref="T31:U31"/>
    <mergeCell ref="V31:W31"/>
    <mergeCell ref="X31:Y31"/>
    <mergeCell ref="L31:M31"/>
    <mergeCell ref="C30:C31"/>
    <mergeCell ref="D31:E31"/>
    <mergeCell ref="F31:G31"/>
    <mergeCell ref="H31:I31"/>
    <mergeCell ref="J31:K31"/>
  </mergeCells>
  <conditionalFormatting sqref="D31:AA31">
    <cfRule type="cellIs" dxfId="2" priority="2" operator="lessThan">
      <formula>0</formula>
    </cfRule>
    <cfRule type="cellIs" dxfId="1" priority="3" operator="greaterThan">
      <formula>0</formula>
    </cfRule>
  </conditionalFormatting>
  <conditionalFormatting sqref="F10:AA10">
    <cfRule type="cellIs" dxfId="0" priority="4" operator="greaterThan">
      <formula>0</formula>
    </cfRule>
  </conditionalFormatting>
  <hyperlinks>
    <hyperlink ref="C2" location="PAINEL!A1" display="&lt;&lt; VOLTAR AO PAINEL DE CONTROLE" xr:uid="{742F08F8-D297-4512-9EEB-B92BD4803B60}"/>
  </hyperlinks>
  <pageMargins left="0.511811024" right="0.511811024" top="0.78740157499999996" bottom="0.78740157499999996" header="0.31496062000000002" footer="0.31496062000000002"/>
  <pageSetup paperSize="9" orientation="portrait" r:id="rId1"/>
  <headerFooter>
    <oddHeader>&amp;L&amp;"Calibri"&amp;10&amp;K000000 CONFIDENCIAL&amp;1#_x000D_</oddHeader>
  </headerFooter>
  <extLst>
    <ext xmlns:x14="http://schemas.microsoft.com/office/spreadsheetml/2009/9/main" uri="{78C0D931-6437-407d-A8EE-F0AAD7539E65}">
      <x14:conditionalFormattings>
        <x14:conditionalFormatting xmlns:xm="http://schemas.microsoft.com/office/excel/2006/main">
          <x14:cfRule type="iconSet" priority="1" id="{BD3CFD07-B97F-4D56-9E44-40DEC480F7C7}">
            <x14:iconSet iconSet="3Triangles">
              <x14:cfvo type="percent">
                <xm:f>0</xm:f>
              </x14:cfvo>
              <x14:cfvo type="num">
                <xm:f>0</xm:f>
              </x14:cfvo>
              <x14:cfvo type="num">
                <xm:f>1</xm:f>
              </x14:cfvo>
            </x14:iconSet>
          </x14:cfRule>
          <xm:sqref>D31:AA31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33</vt:i4>
      </vt:variant>
      <vt:variant>
        <vt:lpstr>Intervalos Nomeados</vt:lpstr>
      </vt:variant>
      <vt:variant>
        <vt:i4>2</vt:i4>
      </vt:variant>
    </vt:vector>
  </HeadingPairs>
  <TitlesOfParts>
    <vt:vector size="35" baseType="lpstr">
      <vt:lpstr>TEMPOS</vt:lpstr>
      <vt:lpstr>PAINEL</vt:lpstr>
      <vt:lpstr>0.1</vt:lpstr>
      <vt:lpstr>0.2</vt:lpstr>
      <vt:lpstr>0.3</vt:lpstr>
      <vt:lpstr>0.4</vt:lpstr>
      <vt:lpstr>0.5</vt:lpstr>
      <vt:lpstr>1.1</vt:lpstr>
      <vt:lpstr>1.2</vt:lpstr>
      <vt:lpstr>1.3</vt:lpstr>
      <vt:lpstr>1.5</vt:lpstr>
      <vt:lpstr>1.6</vt:lpstr>
      <vt:lpstr>1.7</vt:lpstr>
      <vt:lpstr>1.8</vt:lpstr>
      <vt:lpstr>2.1</vt:lpstr>
      <vt:lpstr>2.2</vt:lpstr>
      <vt:lpstr>2.3</vt:lpstr>
      <vt:lpstr>2.4</vt:lpstr>
      <vt:lpstr>3.1</vt:lpstr>
      <vt:lpstr>3.2</vt:lpstr>
      <vt:lpstr>3.3</vt:lpstr>
      <vt:lpstr>3.4</vt:lpstr>
      <vt:lpstr>3.5</vt:lpstr>
      <vt:lpstr>4.1</vt:lpstr>
      <vt:lpstr>4.2</vt:lpstr>
      <vt:lpstr>4.3</vt:lpstr>
      <vt:lpstr>4.4</vt:lpstr>
      <vt:lpstr>4.5</vt:lpstr>
      <vt:lpstr>4.6</vt:lpstr>
      <vt:lpstr>4.7</vt:lpstr>
      <vt:lpstr>5.1</vt:lpstr>
      <vt:lpstr>5.2</vt:lpstr>
      <vt:lpstr>5.3</vt:lpstr>
      <vt:lpstr>'2.3'!Area_de_impressao</vt:lpstr>
      <vt:lpstr>'2.4'!Area_de_impressao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Reiche</dc:creator>
  <cp:lastModifiedBy>Daniel Reiche</cp:lastModifiedBy>
  <dcterms:created xsi:type="dcterms:W3CDTF">2015-06-05T18:19:34Z</dcterms:created>
  <dcterms:modified xsi:type="dcterms:W3CDTF">2025-10-21T15:12:43Z</dcterms:modified>
</cp:coreProperties>
</file>