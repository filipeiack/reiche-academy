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ie\OneDrive\Desktop\"/>
    </mc:Choice>
  </mc:AlternateContent>
  <xr:revisionPtr revIDLastSave="0" documentId="13_ncr:1_{F84A84EB-93AA-455E-A2CD-E6F5208F1C9B}" xr6:coauthVersionLast="47" xr6:coauthVersionMax="47" xr10:uidLastSave="{00000000-0000-0000-0000-000000000000}"/>
  <bookViews>
    <workbookView xWindow="-110" yWindow="-110" windowWidth="19420" windowHeight="10300" tabRatio="817" xr2:uid="{00000000-000D-0000-FFFF-FFFF00000000}"/>
  </bookViews>
  <sheets>
    <sheet name="CONTEXTO DOS PILARES" sheetId="1" r:id="rId1"/>
    <sheet name="ROTINAS DOS PILARES" sheetId="2" r:id="rId2"/>
    <sheet name="INDICADORES" sheetId="6" r:id="rId3"/>
    <sheet name="TABELA RESUMO DO COCKPIT" sheetId="7" r:id="rId4"/>
    <sheet name="PLANO DE AÇÃO" sheetId="4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KEY2" hidden="1">[1]COMPPROD!#REF!</definedName>
    <definedName name="_____KEY2" hidden="1">[1]COMPPROD!#REF!</definedName>
    <definedName name="___KEY2" hidden="1">[1]COMPPROD!#REF!</definedName>
    <definedName name="___thinkcellWUMAAAAAAAAAAAAA7Bc7ZHo6d0e5LJFBo3Hg9g" hidden="1">[2]Link!$A$20:$C$23</definedName>
    <definedName name="___thinkcellWUMAAAAAAAAAAAAAKKRynGzK50G1rFxZa_HDxA" hidden="1">[2]Link!$A$38:$D$45</definedName>
    <definedName name="___thinkcellWUMAAAAAAAACAAAAegWaRZ6Vo0CKr.kcUzmglA" hidden="1">[2]Link!$A$12:$C$15</definedName>
    <definedName name="___thinkcellWUMAAAAAAAADAAAA3noVFmgFpUGVRRVKeaEs5w" hidden="1">[2]Link!$A$47:$B$48</definedName>
    <definedName name="___thinkcellWUMAAAAAAAAEAAAAr5ktaG6.40Wx2AzkgkL_zg" hidden="1">[2]Link!$A$27:$G$33</definedName>
    <definedName name="___thinkcellWUMAAAEAAAAAAAAA3TTb3XQgTEmiRjIURXRuew" hidden="1">[2]Link!$A$2:$D$5</definedName>
    <definedName name="___thinkcellWUMAAAEAAAAAAAAA656ESEq_lEu6K35KDqB5MQ" hidden="1">[2]Link!$A$51:$B$54</definedName>
    <definedName name="___thinkcellWUMAAAEAAAAAAAAAHioTx9KWm0KPZOjXlIyOnA" hidden="1">[2]Link!$A$61:$B$64</definedName>
    <definedName name="___thinkcellWUMAAAEAAAAAAAAAnt_BkBjK8EC8NnYJV4n.Yg" hidden="1">[2]Link!$A$56:$B$59</definedName>
    <definedName name="___thinkcellWUMAAAEAAAACAAAAD0gF2f.tiU69n5bpFCvCaA" hidden="1">[2]Link!$A$51:$B$54</definedName>
    <definedName name="___thinkcellWUMAAAEAAAACAAAAOFPmKCo_7km37ujhJRhMTw" hidden="1">[2]Link!$A$56:$B$59</definedName>
    <definedName name="__KEY2" hidden="1">[1]COMPPROD!#REF!</definedName>
    <definedName name="_2" hidden="1">'[3]RESUMO DO DBASE PARA O VIVEIRO'!#REF!</definedName>
    <definedName name="_bat67" hidden="1">{#N/A,#N/A,FALSE,"Tabl. D1";#N/A,#N/A,FALSE,"Tabl. D1 b";#N/A,#N/A,FALSE,"Tabl. D2";#N/A,#N/A,FALSE,"Tabl. D2 b";#N/A,#N/A,FALSE,"Tabl. D3";#N/A,#N/A,FALSE,"Tabl. D4";#N/A,#N/A,FALSE,"Tabl. D5"}</definedName>
    <definedName name="_ffffffff" hidden="1">[1]COMPPROD!#REF!</definedName>
    <definedName name="_g111" hidden="1">{#N/A,#N/A,FALSE,"PREÇO.CPV.CA60";#N/A,#N/A,FALSE,"PREÇO.CPV.TREFILADOS";#N/A,#N/A,FALSE,"PREÇO.CPV.CA50";#N/A,#N/A,FALSE,"PREÇO.CPV.FM";#N/A,#N/A,FALSE,"PREÇO-FOB"}</definedName>
    <definedName name="_K3" hidden="1">[1]COMPPROD!#REF!</definedName>
    <definedName name="_Key1" hidden="1">'[3]RESUMO DO DBASE PARA O VIVEIRO'!#REF!</definedName>
    <definedName name="_KEY2" hidden="1">[1]COMPPROD!#REF!</definedName>
    <definedName name="_M2" hidden="1">{#N/A,#N/A,FALSE,"Tabl. G1";#N/A,#N/A,FALSE,"Tabl. G2"}</definedName>
    <definedName name="_mrn2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_NM09" hidden="1">{#N/A,#N/A,FALSE,"Tabl. D1";#N/A,#N/A,FALSE,"Tabl. D1 b";#N/A,#N/A,FALSE,"Tabl. D2";#N/A,#N/A,FALSE,"Tabl. D2 b";#N/A,#N/A,FALSE,"Tabl. D3";#N/A,#N/A,FALSE,"Tabl. D4";#N/A,#N/A,FALSE,"Tabl. D5"}</definedName>
    <definedName name="_Order1" hidden="1">255</definedName>
    <definedName name="_S1" hidden="1">#REF!</definedName>
    <definedName name="_Sort" hidden="1">#REF!</definedName>
    <definedName name="_ss2" hidden="1">{"'RR'!$A$2:$E$81"}</definedName>
    <definedName name="_sss" hidden="1">[4]COMPPROD!#REF!</definedName>
    <definedName name="_taa34" hidden="1">{#N/A,#N/A,FALSE,"Tabl. G1";#N/A,#N/A,FALSE,"Tabl. G2"}</definedName>
    <definedName name="_tab09" hidden="1">{#N/A,#N/A,FALSE,"Tabl. FB300";#N/A,#N/A,FALSE,"Tabl. FB350";#N/A,#N/A,FALSE,"Tabl. FB400";#N/A,#N/A,FALSE,"Tabl. FB500";#N/A,#N/A,FALSE,"Tabl. FS090"}</definedName>
    <definedName name="_tab1" hidden="1">{#N/A,#N/A,FALSE,"Tabl. H1";#N/A,#N/A,FALSE,"Tabl. H2"}</definedName>
    <definedName name="_tab11" hidden="1">{#N/A,#N/A,FALSE,"Tabl. G1";#N/A,#N/A,FALSE,"Tabl. G2"}</definedName>
    <definedName name="_TAB120" hidden="1">{#N/A,#N/A,FALSE,"Tabl. FB300";#N/A,#N/A,FALSE,"Tabl. FB350";#N/A,#N/A,FALSE,"Tabl. FB400";#N/A,#N/A,FALSE,"Tabl. FB500";#N/A,#N/A,FALSE,"Tabl. FS090"}</definedName>
    <definedName name="_tab14" hidden="1">{#N/A,#N/A,FALSE,"Tabl. FB300";#N/A,#N/A,FALSE,"Tabl. FB350";#N/A,#N/A,FALSE,"Tabl. FB400";#N/A,#N/A,FALSE,"Tabl. FB500";#N/A,#N/A,FALSE,"Tabl. FS090"}</definedName>
    <definedName name="_tab15" hidden="1">{#N/A,#N/A,FALSE,"Tabl. A1";#N/A,#N/A,FALSE,"Tabl. A1 b";#N/A,#N/A,FALSE,"Tabl. A2";#N/A,#N/A,FALSE,"Tabl. A2-1";#N/A,#N/A,FALSE,"Tabl. A2-2"}</definedName>
    <definedName name="_TAB20" hidden="1">{#N/A,#N/A,FALSE,"Tabl. D1";#N/A,#N/A,FALSE,"Tabl. D1 b";#N/A,#N/A,FALSE,"Tabl. D2";#N/A,#N/A,FALSE,"Tabl. D2 b";#N/A,#N/A,FALSE,"Tabl. D3";#N/A,#N/A,FALSE,"Tabl. D4";#N/A,#N/A,FALSE,"Tabl. D5"}</definedName>
    <definedName name="_tab2341" hidden="1">{#N/A,#N/A,FALSE,"Tabl. FB300";#N/A,#N/A,FALSE,"Tabl. FB350";#N/A,#N/A,FALSE,"Tabl. FB400";#N/A,#N/A,FALSE,"Tabl. FB500";#N/A,#N/A,FALSE,"Tabl. FS090"}</definedName>
    <definedName name="_tab26" hidden="1">{#N/A,#N/A,FALSE,"Tabl. H1";#N/A,#N/A,FALSE,"Tabl. H2"}</definedName>
    <definedName name="_tab27" hidden="1">{#N/A,#N/A,FALSE,"Tabl. D1";#N/A,#N/A,FALSE,"Tabl. D1 b";#N/A,#N/A,FALSE,"Tabl. D2";#N/A,#N/A,FALSE,"Tabl. D2 b";#N/A,#N/A,FALSE,"Tabl. D3";#N/A,#N/A,FALSE,"Tabl. D4";#N/A,#N/A,FALSE,"Tabl. D5"}</definedName>
    <definedName name="_TAB3" hidden="1">{#N/A,#N/A,FALSE,"Tabl. FB300";#N/A,#N/A,FALSE,"Tabl. FB350";#N/A,#N/A,FALSE,"Tabl. FB400";#N/A,#N/A,FALSE,"Tabl. FB500";#N/A,#N/A,FALSE,"Tabl. FS090"}</definedName>
    <definedName name="_tab32" hidden="1">{#N/A,#N/A,FALSE,"Tabl. H1";#N/A,#N/A,FALSE,"Tabl. H2"}</definedName>
    <definedName name="_tab36" hidden="1">{#N/A,#N/A,FALSE,"Tabl. A1";#N/A,#N/A,FALSE,"Tabl. A1 b";#N/A,#N/A,FALSE,"Tabl. A2";#N/A,#N/A,FALSE,"Tabl. A2-1";#N/A,#N/A,FALSE,"Tabl. A2-2"}</definedName>
    <definedName name="_tab37" hidden="1">{#N/A,#N/A,FALSE,"Tabl. G1";#N/A,#N/A,FALSE,"Tabl. G2"}</definedName>
    <definedName name="_tab4" hidden="1">{#N/A,#N/A,FALSE,"Tabl. FB300";#N/A,#N/A,FALSE,"Tabl. FB350";#N/A,#N/A,FALSE,"Tabl. FB400";#N/A,#N/A,FALSE,"Tabl. FB500";#N/A,#N/A,FALSE,"Tabl. FS090"}</definedName>
    <definedName name="_tab40" hidden="1">{#N/A,#N/A,FALSE,"Tabl. FB300";#N/A,#N/A,FALSE,"Tabl. FB350";#N/A,#N/A,FALSE,"Tabl. FB400";#N/A,#N/A,FALSE,"Tabl. FB500";#N/A,#N/A,FALSE,"Tabl. FS090"}</definedName>
    <definedName name="_tab43" hidden="1">{#N/A,#N/A,FALSE,"Tabl. D1";#N/A,#N/A,FALSE,"Tabl. D1 b";#N/A,#N/A,FALSE,"Tabl. D2";#N/A,#N/A,FALSE,"Tabl. D2 b";#N/A,#N/A,FALSE,"Tabl. D3";#N/A,#N/A,FALSE,"Tabl. D4";#N/A,#N/A,FALSE,"Tabl. D5"}</definedName>
    <definedName name="_tab45" hidden="1">{#N/A,#N/A,FALSE,"Tabl. A1";#N/A,#N/A,FALSE,"Tabl. A1 b";#N/A,#N/A,FALSE,"Tabl. A2";#N/A,#N/A,FALSE,"Tabl. A2-1";#N/A,#N/A,FALSE,"Tabl. A2-2"}</definedName>
    <definedName name="_tab5" hidden="1">{#N/A,#N/A,FALSE,"Tabl. FB300";#N/A,#N/A,FALSE,"Tabl. FB350";#N/A,#N/A,FALSE,"Tabl. FB400";#N/A,#N/A,FALSE,"Tabl. FB500";#N/A,#N/A,FALSE,"Tabl. FS090"}</definedName>
    <definedName name="_tab6" hidden="1">{#N/A,#N/A,FALSE,"Tabl. FB300";#N/A,#N/A,FALSE,"Tabl. FB350";#N/A,#N/A,FALSE,"Tabl. FB400";#N/A,#N/A,FALSE,"Tabl. FB500";#N/A,#N/A,FALSE,"Tabl. FS090"}</definedName>
    <definedName name="_tab653" hidden="1">{#N/A,#N/A,FALSE,"Tabl. G1";#N/A,#N/A,FALSE,"Tabl. G2"}</definedName>
    <definedName name="_TAB67" hidden="1">{#N/A,#N/A,FALSE,"Tabl. A1";#N/A,#N/A,FALSE,"Tabl. A1 b";#N/A,#N/A,FALSE,"Tabl. A2";#N/A,#N/A,FALSE,"Tabl. A2-1";#N/A,#N/A,FALSE,"Tabl. A2-2"}</definedName>
    <definedName name="_tab678" hidden="1">{#N/A,#N/A,FALSE,"Tabl. FB300";#N/A,#N/A,FALSE,"Tabl. FB350";#N/A,#N/A,FALSE,"Tabl. FB400";#N/A,#N/A,FALSE,"Tabl. FB500";#N/A,#N/A,FALSE,"Tabl. FS090"}</definedName>
    <definedName name="_tab7" hidden="1">{#N/A,#N/A,FALSE,"Tabl. FB300";#N/A,#N/A,FALSE,"Tabl. FB350";#N/A,#N/A,FALSE,"Tabl. FB400";#N/A,#N/A,FALSE,"Tabl. FB500";#N/A,#N/A,FALSE,"Tabl. FS090"}</definedName>
    <definedName name="_tab78" hidden="1">{#N/A,#N/A,FALSE,"Tabl. D1";#N/A,#N/A,FALSE,"Tabl. D1 b";#N/A,#N/A,FALSE,"Tabl. D2";#N/A,#N/A,FALSE,"Tabl. D2 b";#N/A,#N/A,FALSE,"Tabl. D3";#N/A,#N/A,FALSE,"Tabl. D4";#N/A,#N/A,FALSE,"Tabl. D5"}</definedName>
    <definedName name="_TAB8" hidden="1">{#N/A,#N/A,FALSE,"Tabl. FB300";#N/A,#N/A,FALSE,"Tabl. FB350";#N/A,#N/A,FALSE,"Tabl. FB400";#N/A,#N/A,FALSE,"Tabl. FB500";#N/A,#N/A,FALSE,"Tabl. FS090"}</definedName>
    <definedName name="_tab80" hidden="1">{#N/A,#N/A,FALSE,"Tabl. FB300";#N/A,#N/A,FALSE,"Tabl. FB350";#N/A,#N/A,FALSE,"Tabl. FB400";#N/A,#N/A,FALSE,"Tabl. FB500";#N/A,#N/A,FALSE,"Tabl. FS090"}</definedName>
    <definedName name="_tab9" hidden="1">{#N/A,#N/A,FALSE,"Tabl. D1";#N/A,#N/A,FALSE,"Tabl. D1 b";#N/A,#N/A,FALSE,"Tabl. D2";#N/A,#N/A,FALSE,"Tabl. D2 b";#N/A,#N/A,FALSE,"Tabl. D3";#N/A,#N/A,FALSE,"Tabl. D4";#N/A,#N/A,FALSE,"Tabl. D5"}</definedName>
    <definedName name="_TAB90" hidden="1">{#N/A,#N/A,FALSE,"Tabl. H1";#N/A,#N/A,FALSE,"Tabl. H2"}</definedName>
    <definedName name="_tab98" hidden="1">{#N/A,#N/A,FALSE,"Tabl. A1";#N/A,#N/A,FALSE,"Tabl. A1 b";#N/A,#N/A,FALSE,"Tabl. A2";#N/A,#N/A,FALSE,"Tabl. A2-1";#N/A,#N/A,FALSE,"Tabl. A2-2"}</definedName>
    <definedName name="_tab987" hidden="1">{#N/A,#N/A,FALSE,"Tabl. G1";#N/A,#N/A,FALSE,"Tabl. G2"}</definedName>
    <definedName name="_x1" hidden="1">{#N/A,#N/A,FALSE,"SGP";#N/A,#N/A,FALSE,"SGI";#N/A,#N/A,FALSE,"SGC";#N/A,#N/A,FALSE,"SGS";#N/A,#N/A,FALSE,"SGB"}</definedName>
    <definedName name="_x2" hidden="1">{#N/A,#N/A,FALSE,"SGP";#N/A,#N/A,FALSE,"SGI";#N/A,#N/A,FALSE,"SGC";#N/A,#N/A,FALSE,"SGS";#N/A,#N/A,FALSE,"SGB"}</definedName>
    <definedName name="_xxxxxxxx" hidden="1">[1]COMPPROD!#REF!</definedName>
    <definedName name="a" hidden="1">{#N/A,#N/A,FALSE,"PREÇO.CPV.CA60";#N/A,#N/A,FALSE,"PREÇO.CPV.TREFILADOS";#N/A,#N/A,FALSE,"PREÇO.CPV.CA50";#N/A,#N/A,FALSE,"PREÇO.CPV.FM";#N/A,#N/A,FALSE,"PREÇO-FOB"}</definedName>
    <definedName name="aaa" hidden="1">{"'RR'!$A$2:$E$81"}</definedName>
    <definedName name="aaqa" hidden="1">{#N/A,#N/A,FALSE,"PREÇO.CPV.CA60";#N/A,#N/A,FALSE,"PREÇO.CPV.TREFILADOS";#N/A,#N/A,FALSE,"PREÇO.CPV.CA50";#N/A,#N/A,FALSE,"PREÇO.CPV.FM";#N/A,#N/A,FALSE,"PREÇO-FOB"}</definedName>
    <definedName name="aaqa2" hidden="1">{#N/A,#N/A,FALSE,"PREÇO.CPV.CA60";#N/A,#N/A,FALSE,"PREÇO.CPV.TREFILADOS";#N/A,#N/A,FALSE,"PREÇO.CPV.CA50";#N/A,#N/A,FALSE,"PREÇO.CPV.FM";#N/A,#N/A,FALSE,"PREÇO-FOB"}</definedName>
    <definedName name="abc" hidden="1">{#N/A,#N/A,FALSE,"O&amp;I Worksheet"}</definedName>
    <definedName name="ac" hidden="1">{#N/A,#N/A,FALSE,"CONSOL. 5";#N/A,#N/A,FALSE,"CONSOL. ACUM. 6";#N/A,#N/A,FALSE,"CAP. EMPREG. 7";#N/A,#N/A,FALSE,"ORIGENS E APLICAÇÕES 9"}</definedName>
    <definedName name="addd" hidden="1">{#N/A,#N/A,FALSE,"Radar CONS Mês e Acum  3";#N/A,#N/A,FALSE,"Radar CONS Acum 4"}</definedName>
    <definedName name="as" hidden="1">47</definedName>
    <definedName name="ase" hidden="1">{#N/A,#N/A,FALSE,"PREÇO.CPV.CA60";#N/A,#N/A,FALSE,"PREÇO.CPV.TREFILADOS";#N/A,#N/A,FALSE,"PREÇO.CPV.CA50";#N/A,#N/A,FALSE,"PREÇO.CPV.FM";#N/A,#N/A,FALSE,"PREÇO-FOB"}</definedName>
    <definedName name="b" hidden="1">{#N/A,#N/A,FALSE,"Tabl. D1";#N/A,#N/A,FALSE,"Tabl. D1 b";#N/A,#N/A,FALSE,"Tabl. D2";#N/A,#N/A,FALSE,"Tabl. D2 b";#N/A,#N/A,FALSE,"Tabl. D3";#N/A,#N/A,FALSE,"Tabl. D4";#N/A,#N/A,FALSE,"Tabl. D5"}</definedName>
    <definedName name="BATEAU" hidden="1">{#N/A,#N/A,FALSE,"Tabl. G1";#N/A,#N/A,FALSE,"Tabl. G2"}</definedName>
    <definedName name="bbb" hidden="1">{#N/A,#N/A,FALSE,"Tabl. G1";#N/A,#N/A,FALSE,"Tabl. G2"}</definedName>
    <definedName name="bnn" hidden="1">{#N/A,#N/A,FALSE,"Tabl. FB300";#N/A,#N/A,FALSE,"Tabl. FB350";#N/A,#N/A,FALSE,"Tabl. FB400";#N/A,#N/A,FALSE,"Tabl. FB500";#N/A,#N/A,FALSE,"Tabl. FS090"}</definedName>
    <definedName name="canot" hidden="1">{#N/A,#N/A,FALSE,"Tabl. FB300";#N/A,#N/A,FALSE,"Tabl. FB350";#N/A,#N/A,FALSE,"Tabl. FB400";#N/A,#N/A,FALSE,"Tabl. FB500";#N/A,#N/A,FALSE,"Tabl. FS090"}</definedName>
    <definedName name="ccc" hidden="1">{#N/A,#N/A,FALSE,"Tabl. FB300";#N/A,#N/A,FALSE,"Tabl. FB350";#N/A,#N/A,FALSE,"Tabl. FB400";#N/A,#N/A,FALSE,"Tabl. FB500";#N/A,#N/A,FALSE,"Tabl. FS090"}</definedName>
    <definedName name="ççç" hidden="1">{#N/A,#N/A,FALSE,"SGP";#N/A,#N/A,FALSE,"SGI";#N/A,#N/A,FALSE,"SGC";#N/A,#N/A,FALSE,"SGS";#N/A,#N/A,FALSE,"SGB"}</definedName>
    <definedName name="champ" hidden="1">{#N/A,#N/A,FALSE,"Tabl. G1";#N/A,#N/A,FALSE,"Tabl. G2"}</definedName>
    <definedName name="Chun" hidden="1">{#N/A,#N/A,FALSE,"ORÇADOxREAL %M.P.";#N/A,#N/A,FALSE,"ORÇADOxREAL";#N/A,#N/A,FALSE,"Receb. Clientes";#N/A,#N/A,FALSE,"Pgto Fornecedores";#N/A,#N/A,FALSE,"% M.P.";#N/A,#N/A,FALSE,"Faturamento M²";#N/A,#N/A,FALSE,"IC"}</definedName>
    <definedName name="CV" hidden="1">{#N/A,#N/A,FALSE,"Tabl. G1";#N/A,#N/A,FALSE,"Tabl. G2"}</definedName>
    <definedName name="Dados" hidden="1">[1]COMPPROD!#REF!</definedName>
    <definedName name="ddd" hidden="1">{#N/A,#N/A,FALSE,"Tabl. G1";#N/A,#N/A,FALSE,"Tabl. G2"}</definedName>
    <definedName name="dddddd" hidden="1">{#N/A,#N/A,FALSE,"Tabl. FB300";#N/A,#N/A,FALSE,"Tabl. FB350";#N/A,#N/A,FALSE,"Tabl. FB400";#N/A,#N/A,FALSE,"Tabl. FB500";#N/A,#N/A,FALSE,"Tabl. FS090"}</definedName>
    <definedName name="DEIP_Atual" hidden="1">{"'RR'!$A$2:$E$81"}</definedName>
    <definedName name="DESVIOMETA_FM_CRU_IJC" hidden="1">{#N/A,#N/A,FALSE,"RAINHA TOPPER CONSOL 16";#N/A,#N/A,FALSE,"BOLAS 17";#N/A,#N/A,FALSE,"VESTUÁRIO 18";#N/A,#N/A,FALSE,"Rainha Topper Mês e Acum 19";#N/A,#N/A,FALSE,"Rainha Topper Acum 20"}</definedName>
    <definedName name="e.3.1.a" hidden="1">{#N/A,#N/A,FALSE,"Tabl. G1";#N/A,#N/A,FALSE,"Tabl. G2"}</definedName>
    <definedName name="eee" hidden="1">{#N/A,#N/A,FALSE,"Tabl. H1";#N/A,#N/A,FALSE,"Tabl. H2"}</definedName>
    <definedName name="eeeeee" hidden="1">{#N/A,#N/A,FALSE,"SGP";#N/A,#N/A,FALSE,"SGI";#N/A,#N/A,FALSE,"SGC";#N/A,#N/A,FALSE,"SGS";#N/A,#N/A,FALSE,"SGB"}</definedName>
    <definedName name="Estrat" hidden="1">#REF!</definedName>
    <definedName name="FD" hidden="1">{#N/A,#N/A,FALSE,"HAVAIANAS 24";#N/A,#N/A,FALSE,"Havaianas Mês e Acum 25";#N/A,#N/A,FALSE,"Havaianas Acum 26";#N/A,#N/A,FALSE,"GRANDES VOLUMES 27";#N/A,#N/A,FALSE,"GDV Mês e Acum 28";#N/A,#N/A,FALSE,"GDV Acum 29"}</definedName>
    <definedName name="fluxo" hidden="1">{"'RR'!$A$2:$E$81"}</definedName>
    <definedName name="Fluxo_Atual_1" hidden="1">{#N/A,#N/A,FALSE,"O&amp;I Worksheet"}</definedName>
    <definedName name="Fluxo_elaborado" hidden="1">{#N/A,#N/A,FALSE,"HAVAIANAS 24";#N/A,#N/A,FALSE,"Havaianas Mês e Acum 25";#N/A,#N/A,FALSE,"Havaianas Acum 26";#N/A,#N/A,FALSE,"GRANDES VOLUMES 27";#N/A,#N/A,FALSE,"GDV Mês e Acum 28";#N/A,#N/A,FALSE,"GDV Acum 29"}</definedName>
    <definedName name="fluxoatual" hidden="1">{"'RR'!$A$2:$E$81"}</definedName>
    <definedName name="gfdgd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gg" hidden="1">{#N/A,#N/A,FALSE,"PREÇO.CPV.CA60";#N/A,#N/A,FALSE,"PREÇO.CPV.TREFILADOS";#N/A,#N/A,FALSE,"PREÇO.CPV.CA50";#N/A,#N/A,FALSE,"PREÇO.CPV.FM";#N/A,#N/A,FALSE,"PREÇO-FOB"}</definedName>
    <definedName name="GGF" hidden="1">{#N/A,#N/A,FALSE,"COBERTURAS 30";#N/A,#N/A,FALSE,"COBERTURAS Mês e Acum 31";#N/A,#N/A,FALSE,"COBERTURAS Acum 32"}</definedName>
    <definedName name="GGF." hidden="1">{#N/A,#N/A,FALSE,"MIZUNO 21";#N/A,#N/A,FALSE,"Mizuno Mês e Acum 22";#N/A,#N/A,FALSE,"Mizuno Acum 23"}</definedName>
    <definedName name="ggg" hidden="1">{#N/A,#N/A,FALSE,"Tabl. G1";#N/A,#N/A,FALSE,"Tabl. G2"}</definedName>
    <definedName name="hhh" hidden="1">{#N/A,#N/A,FALSE,"Tabl. D1";#N/A,#N/A,FALSE,"Tabl. D1 b";#N/A,#N/A,FALSE,"Tabl. D2";#N/A,#N/A,FALSE,"Tabl. D2 b";#N/A,#N/A,FALSE,"Tabl. D3";#N/A,#N/A,FALSE,"Tabl. D4";#N/A,#N/A,FALSE,"Tabl. D5"}</definedName>
    <definedName name="hkjhjkhkj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hr_ini">#REF!</definedName>
    <definedName name="hr_limite">#REF!</definedName>
    <definedName name="HTML_CodePage" hidden="1">1252</definedName>
    <definedName name="HTML_Control" hidden="1">{"'RR'!$A$2:$E$81"}</definedName>
    <definedName name="HTML_Control2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jjj" hidden="1">{#N/A,#N/A,FALSE,"Tabl. D1";#N/A,#N/A,FALSE,"Tabl. D1 b";#N/A,#N/A,FALSE,"Tabl. D2";#N/A,#N/A,FALSE,"Tabl. D2 b";#N/A,#N/A,FALSE,"Tabl. D3";#N/A,#N/A,FALSE,"Tabl. D4";#N/A,#N/A,FALSE,"Tabl. D5"}</definedName>
    <definedName name="KGIRO1" hidden="1">{#N/A,#N/A,FALSE,"Tabl. D1";#N/A,#N/A,FALSE,"Tabl. D1 b";#N/A,#N/A,FALSE,"Tabl. D2";#N/A,#N/A,FALSE,"Tabl. D2 b";#N/A,#N/A,FALSE,"Tabl. D3";#N/A,#N/A,FALSE,"Tabl. D4";#N/A,#N/A,FALSE,"Tabl. D5"}</definedName>
    <definedName name="kjkjkjkj" hidden="1">{#N/A,#N/A,FALSE,"Tabl. FB300";#N/A,#N/A,FALSE,"Tabl. FB350";#N/A,#N/A,FALSE,"Tabl. FB400";#N/A,#N/A,FALSE,"Tabl. FB500";#N/A,#N/A,FALSE,"Tabl. FS090"}</definedName>
    <definedName name="kkk" hidden="1">{#N/A,#N/A,FALSE,"Tabl. G1";#N/A,#N/A,FALSE,"Tabl. G2"}</definedName>
    <definedName name="lista_causa">#REF!</definedName>
    <definedName name="lll" hidden="1">{#N/A,#N/A,FALSE,"Tabl. H1";#N/A,#N/A,FALSE,"Tabl. H2"}</definedName>
    <definedName name="logo">#REF!</definedName>
    <definedName name="Manutenção" hidden="1">{#N/A,#N/A,FALSE,"CONSOL. 5";#N/A,#N/A,FALSE,"CONSOL. ACUM. 6";#N/A,#N/A,FALSE,"CAP. EMPREG. 7";#N/A,#N/A,FALSE,"ORIGENS E APLICAÇÕES 9"}</definedName>
    <definedName name="mmm" hidden="1">{#N/A,#N/A,FALSE,"Tabl. A1";#N/A,#N/A,FALSE,"Tabl. A1 b";#N/A,#N/A,FALSE,"Tabl. A2";#N/A,#N/A,FALSE,"Tabl. A2-1";#N/A,#N/A,FALSE,"Tabl. A2-2"}</definedName>
    <definedName name="mrn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n" hidden="1">{"'Estimativa de Lançamento-JAN'!$A$1:$AI$85"}</definedName>
    <definedName name="nnn" hidden="1">{#N/A,#N/A,FALSE,"Tabl. FB300";#N/A,#N/A,FALSE,"Tabl. FB350";#N/A,#N/A,FALSE,"Tabl. FB400";#N/A,#N/A,FALSE,"Tabl. FB500";#N/A,#N/A,FALSE,"Tabl. FS090"}</definedName>
    <definedName name="nr_salas">#REF!</definedName>
    <definedName name="Página5" hidden="1">{#N/A,#N/A,FALSE,"O&amp;I Worksheet"}</definedName>
    <definedName name="Pasta" hidden="1">{#N/A,#N/A,FALSE,"CONSOL. 5";#N/A,#N/A,FALSE,"CONSOL. ACUM. 6";#N/A,#N/A,FALSE,"CAP. EMPREG. 7";#N/A,#N/A,FALSE,"ORIGENS E APLICAÇÕES 9"}</definedName>
    <definedName name="Plante" hidden="1">{#N/A,#N/A,FALSE,"Tabl. G1";#N/A,#N/A,FALSE,"Tabl. G2"}</definedName>
    <definedName name="pluie" hidden="1">{#N/A,#N/A,FALSE,"Tabl. H1";#N/A,#N/A,FALSE,"Tabl. H2"}</definedName>
    <definedName name="ppp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produtos">[5]Cad!$B$12:$B$511</definedName>
    <definedName name="prop" hidden="1">'[3]RESUMO DO DBASE PARA O VIVEIRO'!#REF!</definedName>
    <definedName name="qqq" hidden="1">{#N/A,#N/A,FALSE,"Tabl. D1";#N/A,#N/A,FALSE,"Tabl. D1 b";#N/A,#N/A,FALSE,"Tabl. D2";#N/A,#N/A,FALSE,"Tabl. D2 b";#N/A,#N/A,FALSE,"Tabl. D3";#N/A,#N/A,FALSE,"Tabl. D4";#N/A,#N/A,FALSE,"Tabl. D5"}</definedName>
    <definedName name="responsável">#REF!</definedName>
    <definedName name="rrr" hidden="1">{#N/A,#N/A,FALSE,"Tabl. FB300";#N/A,#N/A,FALSE,"Tabl. FB350";#N/A,#N/A,FALSE,"Tabl. FB400";#N/A,#N/A,FALSE,"Tabl. FB500";#N/A,#N/A,FALSE,"Tabl. FS090"}</definedName>
    <definedName name="SAPBEXrevision" hidden="1">19</definedName>
    <definedName name="SAPBEXsysID" hidden="1">"BWP"</definedName>
    <definedName name="SAPBEXwbID" hidden="1">"07QM73PI84UL6KXIIWQMBHZCH"</definedName>
    <definedName name="sasasasa" hidden="1">{#N/A,#N/A,FALSE,"Tabl. FB300";#N/A,#N/A,FALSE,"Tabl. FB350";#N/A,#N/A,FALSE,"Tabl. FB400";#N/A,#N/A,FALSE,"Tabl. FB500";#N/A,#N/A,FALSE,"Tabl. FS090"}</definedName>
    <definedName name="SD" hidden="1">{#N/A,#N/A,FALSE,"COBERTURAS 30";#N/A,#N/A,FALSE,"COBERTURAS Mês e Acum 31";#N/A,#N/A,FALSE,"COBERTURAS Acum 32"}</definedName>
    <definedName name="ss" hidden="1">{"'RR'!$A$2:$E$81"}</definedName>
    <definedName name="SSD" hidden="1">{#N/A,#N/A,FALSE,"CONSOL. 5";#N/A,#N/A,FALSE,"CONSOL. ACUM. 6";#N/A,#N/A,FALSE,"CAP. EMPREG. 7";#N/A,#N/A,FALSE,"ORIGENS E APLICAÇÕES 9"}</definedName>
    <definedName name="sssss" hidden="1">[6]COMPPROD!#REF!</definedName>
    <definedName name="Sumário" hidden="1">{#N/A,#N/A,FALSE,"SGP";#N/A,#N/A,FALSE,"SGI";#N/A,#N/A,FALSE,"SGC";#N/A,#N/A,FALSE,"SGS";#N/A,#N/A,FALSE,"SGB"}</definedName>
    <definedName name="tab" hidden="1">{#N/A,#N/A,FALSE,"Tabl. G1";#N/A,#N/A,FALSE,"Tabl. G2"}</definedName>
    <definedName name="TABL00" hidden="1">{#N/A,#N/A,FALSE,"Tabl. D1";#N/A,#N/A,FALSE,"Tabl. D1 b";#N/A,#N/A,FALSE,"Tabl. D2";#N/A,#N/A,FALSE,"Tabl. D2 b";#N/A,#N/A,FALSE,"Tabl. D3";#N/A,#N/A,FALSE,"Tabl. D4";#N/A,#N/A,FALSE,"Tabl. D5"}</definedName>
    <definedName name="tableé" hidden="1">{#N/A,#N/A,FALSE,"Tabl. G1";#N/A,#N/A,FALSE,"Tabl. G2"}</definedName>
    <definedName name="TESTE" hidden="1">{#N/A,#N/A,FALSE,"O&amp;I Worksheet"}</definedName>
    <definedName name="tttttt" hidden="1">{#N/A,#N/A,FALSE,"Tabl. G1";#N/A,#N/A,FALSE,"Tabl. G2"}</definedName>
    <definedName name="vale" hidden="1">{#N/A,#N/A,FALSE,"Tabl. FB300";#N/A,#N/A,FALSE,"Tabl. FB350";#N/A,#N/A,FALSE,"Tabl. FB400";#N/A,#N/A,FALSE,"Tabl. FB500";#N/A,#N/A,FALSE,"Tabl. FS090"}</definedName>
    <definedName name="VANES" hidden="1">{#N/A,#N/A,FALSE,"Tabl. A1";#N/A,#N/A,FALSE,"Tabl. A1 b";#N/A,#N/A,FALSE,"Tabl. A2";#N/A,#N/A,FALSE,"Tabl. A2-1";#N/A,#N/A,FALSE,"Tabl. A2-2"}</definedName>
    <definedName name="vannes" hidden="1">{#N/A,#N/A,FALSE,"Tabl. G1";#N/A,#N/A,FALSE,"Tabl. G2"}</definedName>
    <definedName name="vvv" hidden="1">{#N/A,#N/A,FALSE,"Tabl. H1";#N/A,#N/A,FALSE,"Tabl. H2"}</definedName>
    <definedName name="wrn.1." hidden="1">{#N/A,#N/A,FALSE,"AOPESSOA2";#N/A,#N/A,FALSE,"AOPESSOA";#N/A,#N/A,FALSE,"AOPRODUC2";#N/A,#N/A,FALSE,"GRÁFICO3";#N/A,#N/A,FALSE,"AOCUSDIR12"}</definedName>
    <definedName name="wrn.14." hidden="1">{#N/A,#N/A,FALSE,"Desp.Indir";#N/A,#N/A,FALSE,"Estoq"}</definedName>
    <definedName name="wrn.acmp." hidden="1">{#N/A,#N/A,FALSE,"SGP";#N/A,#N/A,FALSE,"SGI";#N/A,#N/A,FALSE,"SGC";#N/A,#N/A,FALSE,"SGS";#N/A,#N/A,FALSE,"SGB"}</definedName>
    <definedName name="wrn.ACOMP." hidden="1">{#N/A,#N/A,FALSE,"AOPOSEST";#N/A,#N/A,FALSE,"GRAFRB10";#N/A,#N/A,FALSE,"GRAFCOMP11 (2)";#N/A,#N/A,FALSE,"AOCUSDIR12";#N/A,#N/A,FALSE,"AODPINDI12";#N/A,#N/A,FALSE,"AOPESSOA13";#N/A,#N/A,FALSE,"ENDIV";#N/A,#N/A,FALSE,"AOVINTEC14";#N/A,#N/A,FALSE,"AOFLUXO18";#N/A,#N/A,FALSE,"BALPATRIM"}</definedName>
    <definedName name="wrn.Advanced._.Material." hidden="1">{#N/A,#N/A,FALSE,"CAPA";#N/A,#N/A,FALSE,"CONSOL. 2";#N/A,#N/A,FALSE,"CONSOL. 5";#N/A,#N/A,FALSE,"CONSOL. ACUM. 6";#N/A,#N/A,FALSE,"CAP. EMPREG. 7"}</definedName>
    <definedName name="wrn.ALTA._.ADM.._.DOLAR." hidden="1">{#N/A,#N/A,FALSE,"PREÇO.CPV.CA60";#N/A,#N/A,FALSE,"PREÇO.CPV.TREFILADOS";#N/A,#N/A,FALSE,"PREÇO.CPV.CA50";#N/A,#N/A,FALSE,"PREÇO.CPV.FM";#N/A,#N/A,FALSE,"PREÇO-FOB"}</definedName>
    <definedName name="wrn.ALTA._.ADMINISTRAÇÃO." hidden="1">{#N/A,#N/A,FALSE,"PREÇO.CPV.CA60";#N/A,#N/A,FALSE,"PREÇO.CPV.TREFILADOS";#N/A,#N/A,FALSE,"PREÇO.CPV.CA50";#N/A,#N/A,FALSE,"PREÇO.CPV.FM";#N/A,#N/A,FALSE,"PREÇO-FOB"}</definedName>
    <definedName name="wrn.Caderno._.Sem._.Radares." hidden="1">{#N/A,#N/A,FALSE,"CAPA";#N/A,#N/A,FALSE,"ÍNDICE 1";#N/A,#N/A,FALSE,"CONSOL. 2";#N/A,#N/A,FALSE,"CONSOL. 5";#N/A,#N/A,FALSE,"CONSOL. ACUM. 6";#N/A,#N/A,FALSE,"CAP. EMPREG. 7";#N/A,#N/A,FALSE,"ESTOQUES 8";#N/A,#N/A,FALSE,"ORIGENS E APLICAÇÕES 9";#N/A,#N/A,FALSE,"POS FIN LÍQ 10";#N/A,#N/A,FALSE,"CX. EMPRÉST 11";#N/A,#N/A,FALSE,"ANÁLISE CLIENTES 12";#N/A,#N/A,FALSE,"QD PESSOAL 13";#N/A,#N/A,FALSE,"OUTRAS REC OPER 14";#N/A,#N/A,FALSE,"UNID NEGÓCIO 15";#N/A,#N/A,FALSE,"RAINHA TOPPER CONSOL 16";#N/A,#N/A,FALSE,"BOLAS 17";#N/A,#N/A,FALSE,"VESTUÁRIO 18";#N/A,#N/A,FALSE,"MIZUNO 21";#N/A,#N/A,FALSE,"HAVAIANAS 24";#N/A,#N/A,FALSE,"GRANDES VOLUMES 27";#N/A,#N/A,FALSE,"COBERTURAS 30";#N/A,#N/A,FALSE,"TIMBERLAND 33";#N/A,#N/A,FALSE,"MEGGASHOP 36";#N/A,#N/A,FALSE,"EXPORTAÇÃO 39"}</definedName>
    <definedName name="wrn.Coberturas." hidden="1">{#N/A,#N/A,FALSE,"COBERTURAS 30";#N/A,#N/A,FALSE,"COBERTURAS Mês e Acum 31";#N/A,#N/A,FALSE,"COBERTURAS Acum 32"}</definedName>
    <definedName name="wrn.Consolidado." hidden="1">{#N/A,#N/A,FALSE,"CONSOL. 5";#N/A,#N/A,FALSE,"CONSOL. ACUM. 6";#N/A,#N/A,FALSE,"CAP. EMPREG. 7";#N/A,#N/A,FALSE,"ORIGENS E APLICAÇÕES 9"}</definedName>
    <definedName name="wrn.EVENTUAL." hidden="1">{#N/A,#N/A,FALSE,"PREÇO.CPV.CA60";#N/A,#N/A,FALSE,"GALVANIZADOS";#N/A,#N/A,FALSE,"OVALADOS";#N/A,#N/A,FALSE,"TREF IND.";#N/A,#N/A,FALSE,"PREGOS";#N/A,#N/A,FALSE,"RECOZIDOS";#N/A,#N/A,FALSE,"FARPADOS";#N/A,#N/A,FALSE,"SEG INDÚSTRIA";#N/A,#N/A,FALSE,"SEG AGROPECUÁRIA";#N/A,#N/A,FALSE,"SEG CONST.CIVIL"}</definedName>
    <definedName name="wrn.Havaianas._.e._.GDV." hidden="1">{#N/A,#N/A,FALSE,"HAVAIANAS 24";#N/A,#N/A,FALSE,"Havaianas Mês e Acum 25";#N/A,#N/A,FALSE,"Havaianas Acum 26";#N/A,#N/A,FALSE,"GRANDES VOLUMES 27";#N/A,#N/A,FALSE,"GDV Mês e Acum 28";#N/A,#N/A,FALSE,"GDV Acum 29"}</definedName>
    <definedName name="wrn.INVESTIMENTOS." hidden="1">{#N/A,#N/A,FALSE,"DIPRE";#N/A,#N/A,FALSE,"DIVIP";#N/A,#N/A,FALSE,"DIRAD";#N/A,#N/A,FALSE,"DIFIR";#N/A,#N/A,FALSE,"DIDEN";#N/A,#N/A,FALSE,"SGP";#N/A,#N/A,FALSE,"SGS";#N/A,#N/A,FALSE,"SGI";#N/A,#N/A,FALSE,"SGC";#N/A,#N/A,FALSE,"SGB"}</definedName>
    <definedName name="wrn.ITENS._.DE._.CONTROLES." hidden="1">{#N/A,#N/A,FALSE,"ORÇADOxREAL %M.P.";#N/A,#N/A,FALSE,"ORÇADOxREAL";#N/A,#N/A,FALSE,"Receb. Clientes";#N/A,#N/A,FALSE,"Pgto Fornecedores";#N/A,#N/A,FALSE,"% M.P.";#N/A,#N/A,FALSE,"Faturamento M²";#N/A,#N/A,FALSE,"IC"}</definedName>
    <definedName name="wrn.Meggashop." hidden="1">{#N/A,#N/A,FALSE,"MEGGASHOP 36";#N/A,#N/A,FALSE,"MEGGASHOP Mês e Acum 37";#N/A,#N/A,FALSE,"MEGGASHOP Acum 38"}</definedName>
    <definedName name="wrn.Mizuno." hidden="1">{#N/A,#N/A,FALSE,"MIZUNO 21";#N/A,#N/A,FALSE,"Mizuno Mês e Acum 22";#N/A,#N/A,FALSE,"Mizuno Acum 23"}</definedName>
    <definedName name="wrn.O._.and._.I._.Worksheet." hidden="1">{#N/A,#N/A,FALSE,"O&amp;I Worksheet"}</definedName>
    <definedName name="wrn.Orçamento." hidden="1">{#N/A,#N/A,FALSE,"C.Direto";#N/A,#N/A,FALSE,"Evolução";#N/A,#N/A,FALSE,"C.Direto Prod";#N/A,#N/A,FALSE,"C.Indireto";#N/A,#N/A,FALSE,"Mobra";#N/A,#N/A,FALSE,"Orç.Inv.";#N/A,#N/A,FALSE,"Equiv. US$";#N/A,#N/A,FALSE,"NewFin";#N/A,#N/A,FALSE,"Ev.Receita";#N/A,#N/A,FALSE,"Ev.Venda"}</definedName>
    <definedName name="wrn.P.._.Orç.._.Módulo._.1." hidden="1">{#N/A,#N/A,FALSE,"Índice";#N/A,#N/A,FALSE,"Result.Ec.";#N/A,#N/A,FALSE,"Par.Conj. ";#N/A,#N/A,FALSE,"Prod.Fis";#N/A,#N/A,FALSE,"Est.Físico";#N/A,#N/A,FALSE,"Mix";#N/A,#N/A,FALSE,"P.Médio";#N/A,#N/A,FALSE,"Rec.Bruta";#N/A,#N/A,FALSE,"Vendas.4";#N/A,#N/A,FALSE,"C.Dir.Vend"}</definedName>
    <definedName name="wrn.P.Orç.._.Módulo._.2." hidden="1">{#N/A,#N/A,FALSE,"C.Direto";#N/A,#N/A,FALSE,"Evolução";#N/A,#N/A,FALSE,"C.Direto Prod";#N/A,#N/A,FALSE,"C.Indireto";#N/A,#N/A,FALSE,"Mobra";#N/A,#N/A,FALSE,"Orç.Inv.";#N/A,#N/A,FALSE,"Eq.Patrim";#N/A,#N/A,FALSE,"Equiv. US$";#N/A,#N/A,FALSE,"NewFin";#N/A,#N/A,FALSE,"Ev.Receita";#N/A,#N/A,FALSE,"Ev.Venda"}</definedName>
    <definedName name="wrn.processo." hidden="1">{#N/A,#N/A,FALSE,"PAG16";#N/A,#N/A,FALSE,"PAG15";#N/A,#N/A,FALSE,"PAG14";#N/A,#N/A,FALSE,"PAG13";#N/A,#N/A,FALSE,"PAG12";#N/A,#N/A,FALSE,"PAG11";#N/A,#N/A,FALSE,"PAG10";#N/A,#N/A,FALSE,"PAG09";#N/A,#N/A,FALSE,"PAG08";#N/A,#N/A,FALSE,"PAG07";#N/A,#N/A,FALSE,"PAG06";#N/A,#N/A,FALSE,"PAG05";#N/A,#N/A,FALSE,"PAG04";#N/A,#N/A,FALSE,"PAG03";#N/A,#N/A,FALSE,"PAG02";#N/A,#N/A,FALSE,"PAG01";#N/A,#N/A,FALSE,"Índice";#N/A,#N/A,FALSE,"CAPA"}</definedName>
    <definedName name="wrn.projeto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jetos." hidden="1">{#N/A,#N/A,FALSE,"Investimentos";#N/A,#N/A,FALSE,"Resumo";#N/A,#N/A,FALSE,"42";#N/A,#N/A,FALSE,"AF A";#N/A,#N/A,FALSE,"Inj Carvão";#N/A,#N/A,FALSE,"Coke";#N/A,#N/A,FALSE,"MLC";#N/A,#N/A,FALSE,"43";#N/A,#N/A,FALSE,"Barras";#N/A,#N/A,FALSE,"DPCC";#N/A,#N/A,FALSE,"41";#N/A,#N/A,FALSE,"Gás";#N/A,#N/A,FALSE,"Desempoei";#N/A,#N/A,FALSE,"ETA aciari";#N/A,#N/A,FALSE,"ETA lamina";#N/A,#N/A,FALSE,"SAP"}</definedName>
    <definedName name="wrn.prop2." hidden="1">{#N/A,#N/A,FALSE,"C.Direto";#N/A,#N/A,FALSE,"Evolução";#N/A,#N/A,FALSE,"C.Indireto";#N/A,#N/A,FALSE,"Mobra";#N/A,#N/A,FALSE,"Equiv. US$";#N/A,#N/A,FALSE,"NewFin"}</definedName>
    <definedName name="wrn.Proposta._.2." hidden="1">{#N/A,#N/A,FALSE,"Evolução";#N/A,#N/A,FALSE,"C.Direto Prod";#N/A,#N/A,FALSE,"C.Indireto";#N/A,#N/A,FALSE,"Mobra";#N/A,#N/A,FALSE,"Orç.Inv.";#N/A,#N/A,FALSE,"Eq.Patrim"}</definedName>
    <definedName name="wrn.Radar._.Consolidado." hidden="1">{#N/A,#N/A,FALSE,"Radar CONS Mês e Acum  3";#N/A,#N/A,FALSE,"Radar CONS Acum 4"}</definedName>
    <definedName name="wrn.Radares._.Todos." hidden="1">{#N/A,#N/A,FALSE,"Radar CONS Mês e Acum  3";#N/A,#N/A,FALSE,"Radar CONS Acum 4";#N/A,#N/A,FALSE,"Rainha Topper Mês e Acum 19";#N/A,#N/A,FALSE,"Rainha Topper Acum 20";#N/A,#N/A,FALSE,"Mizuno Mês e Acum 22";#N/A,#N/A,FALSE,"Mizuno Acum 23";#N/A,#N/A,FALSE,"Havaianas Mês e Acum 25";#N/A,#N/A,FALSE,"Havaianas Acum 26";#N/A,#N/A,FALSE,"GDV Mês e Acum 28";#N/A,#N/A,FALSE,"GDV Acum 29";#N/A,#N/A,FALSE,"COBERTURAS Mês e Acum 31";#N/A,#N/A,FALSE,"COBERTURAS Acum 32";#N/A,#N/A,FALSE,"TIMBERLAND Mês e Acum 34";#N/A,#N/A,FALSE,"TIMBERLAND Acum 35";#N/A,#N/A,FALSE,"MEGGASHOP Mês e Acum 37";#N/A,#N/A,FALSE,"MEGGASHOP Acum 38"}</definedName>
    <definedName name="wrn.Rainha._.e._.Topper." hidden="1">{#N/A,#N/A,FALSE,"RAINHA TOPPER CONSOL 16";#N/A,#N/A,FALSE,"BOLAS 17";#N/A,#N/A,FALSE,"VESTUÁRIO 18";#N/A,#N/A,FALSE,"Rainha Topper Mês e Acum 19";#N/A,#N/A,FALSE,"Rainha Topper Acum 20"}</definedName>
    <definedName name="wrn.REMO." hidden="1">{#N/A,#N/A,FALSE,"Desp.Indir";#N/A,#N/A,FALSE,"DPindir";#N/A,#N/A,FALSE,"D.Ind.Op";#N/A,#N/A,FALSE,"Estoq";#N/A,#N/A,FALSE,"Estoq Ger.";#N/A,#N/A,FALSE,"Estoq.R$";#N/A,#N/A,FALSE,"Receita";#N/A,#N/A,FALSE,"Vendas_Ton";#N/A,#N/A,FALSE,"P.Médio";#N/A,#N/A,FALSE,"PMDet";#N/A,#N/A,FALSE,"Inv_Barras"}</definedName>
    <definedName name="wrn.Tableaux._.A." hidden="1">{#N/A,#N/A,FALSE,"Tabl. A1";#N/A,#N/A,FALSE,"Tabl. A1 b";#N/A,#N/A,FALSE,"Tabl. A2";#N/A,#N/A,FALSE,"Tabl. A2-1";#N/A,#N/A,FALSE,"Tabl. A2-2"}</definedName>
    <definedName name="wrn.Tableaux._.D." hidden="1">{#N/A,#N/A,FALSE,"Tabl. D1";#N/A,#N/A,FALSE,"Tabl. D1 b";#N/A,#N/A,FALSE,"Tabl. D2";#N/A,#N/A,FALSE,"Tabl. D2 b";#N/A,#N/A,FALSE,"Tabl. D3";#N/A,#N/A,FALSE,"Tabl. D4";#N/A,#N/A,FALSE,"Tabl. D5"}</definedName>
    <definedName name="wrn.Tableaux._.F." hidden="1">{#N/A,#N/A,FALSE,"Tabl. FB300";#N/A,#N/A,FALSE,"Tabl. FB350";#N/A,#N/A,FALSE,"Tabl. FB400";#N/A,#N/A,FALSE,"Tabl. FB500";#N/A,#N/A,FALSE,"Tabl. FS090"}</definedName>
    <definedName name="wrn.Tableaux._.G." hidden="1">{#N/A,#N/A,FALSE,"Tabl. G1";#N/A,#N/A,FALSE,"Tabl. G2"}</definedName>
    <definedName name="wrn.Tableaux._.H." hidden="1">{#N/A,#N/A,FALSE,"Tabl. H1";#N/A,#N/A,FALSE,"Tabl. H2"}</definedName>
    <definedName name="wrn.temp." hidden="1">{#N/A,#N/A,FALSE,"AOESTOQ4";#N/A,#N/A,FALSE,"POSEST";#N/A,#N/A,FALSE,"CARBLIG";#N/A,#N/A,FALSE,"EV.PREÇO";#N/A,#N/A,FALSE,"AOQTDMIX7";#N/A,#N/A,FALSE,"AOPREÇO8";#N/A,#N/A,FALSE,"GRAFMIX9";#N/A,#N/A,FALSE,"GRAFRB10";#N/A,#N/A,FALSE,"GRAFCOMP11";#N/A,#N/A,FALSE,"AODPINDI12"}</definedName>
    <definedName name="wrn.TEMPO." hidden="1">{#N/A,#N/A,FALSE,"Par.Conj.";#N/A,#N/A,FALSE,"Prod.Fis";#N/A,#N/A,FALSE,"Est.Físico";#N/A,#N/A,FALSE,"Mix";#N/A,#N/A,FALSE,"P.Médio";#N/A,#N/A,FALSE,"Rec.Bruta"}</definedName>
    <definedName name="wrn.Timberland." hidden="1">{#N/A,#N/A,FALSE,"TIMBERLAND 33";#N/A,#N/A,FALSE,"TIMBERLAND Mês e Acum 34";#N/A,#N/A,FALSE,"TIMBERLAND Acum 35"}</definedName>
    <definedName name="wrn.Usinor.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www" hidden="1">{#N/A,#N/A,FALSE,"Tabl. FB300";#N/A,#N/A,FALSE,"Tabl. FB350";#N/A,#N/A,FALSE,"Tabl. FB400";#N/A,#N/A,FALSE,"Tabl. FB500";#N/A,#N/A,FALSE,"Tabl. FS090"}</definedName>
    <definedName name="wwwww" hidden="1">{#N/A,#N/A,FALSE,"Tabl. G1";#N/A,#N/A,FALSE,"Tabl. G2"}</definedName>
    <definedName name="x" hidden="1">{#N/A,#N/A,FALSE,"Introduction";#N/A,#N/A,FALSE,"A";#N/A,#N/A,FALSE,"SumExe1";#N/A,#N/A,FALSE,"SumExe2";#N/A,#N/A,FALSE,"B";#N/A,#N/A,FALSE,"MixTotal";#N/A,#N/A,FALSE,"MixDomestic";#N/A,#N/A,FALSE,"MixForeign";#N/A,#N/A,FALSE,"Evolução";#N/A,#N/A,FALSE,"Receita";#N/A,#N/A,FALSE,"PMDet";#N/A,#N/A,FALSE,"C";#N/A,#N/A,FALSE,"Gráf_Prod";#N/A,#N/A,FALSE,"Produção";#N/A,#N/A,FALSE,"Invest";#N/A,#N/A,FALSE,"D";#N/A,#N/A,FALSE,"Mão_Obra";#N/A,#N/A,FALSE,"WorkSafety";#N/A,#N/A,FALSE,"E";#N/A,#N/A,FALSE,"Custo_Prod";#N/A,#N/A,FALSE,"DespInd_Graf";#N/A,#N/A,FALSE,"Desp_Ind";#N/A,#N/A,FALSE,"F";#N/A,#N/A,FALSE,"G.Op.Cx";#N/A,#N/A,FALSE,"Fluxo Cxa";#N/A,#N/A,FALSE,"Endiv";#N/A,#N/A,FALSE,"Ações";#N/A,#N/A,FALSE,"G";#N/A,#N/A,FALSE,"Working";#N/A,#N/A,FALSE,"Working_1";#N/A,#N/A,FALSE,"Est_Valor";#N/A,#N/A,FALSE,"Est_Ton";#N/A,#N/A,FALSE,"Fluxo";#N/A,#N/A,FALSE,"Plan1"}</definedName>
    <definedName name="xxx" hidden="1">{#N/A,#N/A,FALSE,"Tabl. G1";#N/A,#N/A,FALSE,"Tabl. G2"}</definedName>
    <definedName name="xxxx" hidden="1">{#N/A,#N/A,FALSE,"Tabl. D1";#N/A,#N/A,FALSE,"Tabl. D1 b";#N/A,#N/A,FALSE,"Tabl. D2";#N/A,#N/A,FALSE,"Tabl. D2 b";#N/A,#N/A,FALSE,"Tabl. D3";#N/A,#N/A,FALSE,"Tabl. D4";#N/A,#N/A,FALSE,"Tabl. D5"}</definedName>
    <definedName name="yyy" hidden="1">{#N/A,#N/A,FALSE,"Tabl. G1";#N/A,#N/A,FALSE,"Tabl. G2"}</definedName>
    <definedName name="yyyyy" hidden="1">{#N/A,#N/A,FALSE,"Tabl. D1";#N/A,#N/A,FALSE,"Tabl. D1 b";#N/A,#N/A,FALSE,"Tabl. D2";#N/A,#N/A,FALSE,"Tabl. D2 b";#N/A,#N/A,FALSE,"Tabl. D3";#N/A,#N/A,FALSE,"Tabl. D4";#N/A,#N/A,FALSE,"Tabl. D5"}</definedName>
    <definedName name="zzz" hidden="1">{#N/A,#N/A,FALSE,"Tabl. G1";#N/A,#N/A,FALSE,"Tabl. G2"}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1" i="6" l="1"/>
  <c r="J7" i="4" l="1"/>
  <c r="I7" i="4"/>
  <c r="H7" i="4"/>
  <c r="G7" i="4"/>
  <c r="K6" i="4"/>
  <c r="F22" i="4"/>
  <c r="E22" i="4"/>
  <c r="D22" i="4"/>
  <c r="C22" i="4"/>
  <c r="C10" i="4"/>
  <c r="D6" i="4" s="1"/>
  <c r="D10" i="4" l="1"/>
  <c r="D9" i="4"/>
  <c r="D8" i="4"/>
  <c r="D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Reiche</author>
  </authors>
  <commentList>
    <comment ref="E6" authorId="0" shapeId="0" xr:uid="{F4AE1EC2-4AC9-4FE0-A876-20292F3C7349}">
      <text>
        <r>
          <rPr>
            <b/>
            <sz val="14"/>
            <color indexed="81"/>
            <rFont val="Segoe UI"/>
            <family val="2"/>
          </rPr>
          <t>COMO TE AJUDAMOS AQUI?
NAS TUTORIAS AO VIVO E PLANTÕES DE DÚVIDAS COM OS DEMAIS EMPRESÁRIOS E O TIME DE MARKETING E TRÁFEGO PAGO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H6" authorId="0" shapeId="0" xr:uid="{DC7D8C4C-E755-4233-B2F1-4077E2E88CE0}">
      <text>
        <r>
          <rPr>
            <b/>
            <sz val="22"/>
            <color indexed="81"/>
            <rFont val="Segoe UI"/>
            <family val="2"/>
          </rPr>
          <t>1 - PROSPEÇÃO
2 - CONEXÃO
3 - DIAGNÓSTICO
4 - OFERTA
5- PÓS VENDA
6 - FIDELIZAÇÃO
7- RETENÇÃO
8 - NOVAS OFERTAS</t>
        </r>
      </text>
    </comment>
    <comment ref="K6" authorId="0" shapeId="0" xr:uid="{3D91E840-958F-47CB-AFD7-50CF3AB8D761}">
      <text>
        <r>
          <rPr>
            <b/>
            <sz val="14"/>
            <color indexed="81"/>
            <rFont val="Segoe UI"/>
            <family val="2"/>
          </rPr>
          <t>COMO TE AJUDAMOS AQUI?
EXISTE UM MÓDULO DE RECRUTAMENTO E SELEÇÃO COM O PASSO A PASSO DE COMO EXECUTAR TODO O PROCESSO</t>
        </r>
      </text>
    </comment>
    <comment ref="N8" authorId="0" shapeId="0" xr:uid="{C5CC5FE1-1C63-4349-9C11-BBB3EBC76A8C}">
      <text>
        <r>
          <rPr>
            <b/>
            <sz val="14"/>
            <color indexed="81"/>
            <rFont val="Segoe UI"/>
            <family val="2"/>
          </rPr>
          <t>COMO TE AJUDAMOS AQUI?
EXISTE UM MÓDULO NA ÁREA DE MEMBROS (MAPA DA MINA) COM O PASSO A PASSO PARA CONSTRUÇÃO E CONTROLE DO FLUXO DE CAIXA</t>
        </r>
      </text>
    </comment>
    <comment ref="N11" authorId="0" shapeId="0" xr:uid="{C85144CF-1E99-46FA-8F91-C1C9F544B043}">
      <text>
        <r>
          <rPr>
            <b/>
            <sz val="14"/>
            <color indexed="81"/>
            <rFont val="Segoe UI"/>
            <family val="2"/>
          </rPr>
          <t>COMO TE AJUDAMOS AQUI?
EXISTE UM MÓDULO ESPECÍFICO COM AULA E FERRAMENTA PARA CONTROLE DE CUSTOS E DESPESAS DE FORMA MATRICIAL (VER E AGIR)</t>
        </r>
      </text>
    </comment>
    <comment ref="N12" authorId="0" shapeId="0" xr:uid="{2A2F0157-6704-4B6D-821D-D5FC3EF5A7BD}">
      <text>
        <r>
          <rPr>
            <b/>
            <sz val="14"/>
            <color indexed="81"/>
            <rFont val="Segoe UI"/>
            <family val="2"/>
          </rPr>
          <t>COMO TE AJUDAMOS AQUI?
EXISTE UM MÓDULO ESPECÍFICO COM AULA E FERRAMENTA PARA CONTROLE DE RECEITAS E VENDAS DE FORMA MATRICIAL (VER E AGIR)</t>
        </r>
        <r>
          <rPr>
            <sz val="14"/>
            <color indexed="81"/>
            <rFont val="Segoe UI"/>
            <family val="2"/>
          </rPr>
          <t xml:space="preserve">
</t>
        </r>
      </text>
    </comment>
    <comment ref="K14" authorId="0" shapeId="0" xr:uid="{30565613-D4A5-4E08-9C2B-16A7FF7067B4}">
      <text>
        <r>
          <rPr>
            <b/>
            <sz val="14"/>
            <color indexed="81"/>
            <rFont val="Segoe UI"/>
            <family val="2"/>
          </rPr>
          <t>COMO TE AJUDAMOS AQUI?
EXISTE UM SCRIPT COM O PASSO A PASSO DE UMA PESQUISA DE CLIMA QUE PODE SER APLICADA EM SUA EMPRESA IMEDIATAMENTE</t>
        </r>
      </text>
    </comment>
    <comment ref="N15" authorId="0" shapeId="0" xr:uid="{1789A9AD-F249-4E3A-A3C6-31CAA005B678}">
      <text>
        <r>
          <rPr>
            <b/>
            <sz val="14"/>
            <color indexed="81"/>
            <rFont val="Segoe UI"/>
            <family val="2"/>
          </rPr>
          <t>COMO TE AJUDAMOS AQUI?
EXISTE UM MÓDULO NA ÁREA DE MEMBROS (MAPA DA MINA) COM O PASSO A PASSO PARA CONSTRUÇÃO E CONTROLE DO FUNDO DE RESERVA</t>
        </r>
      </text>
    </comment>
  </commentList>
</comments>
</file>

<file path=xl/sharedStrings.xml><?xml version="1.0" encoding="utf-8"?>
<sst xmlns="http://schemas.openxmlformats.org/spreadsheetml/2006/main" count="463" uniqueCount="191">
  <si>
    <t>MARKETING</t>
  </si>
  <si>
    <t>ENTRADAS</t>
  </si>
  <si>
    <t>SAÍDAS</t>
  </si>
  <si>
    <t>MISSÃO</t>
  </si>
  <si>
    <t>VENDAS</t>
  </si>
  <si>
    <t>ESTRATÉGICO</t>
  </si>
  <si>
    <t>PESSOAS</t>
  </si>
  <si>
    <t>FINANCEIRO</t>
  </si>
  <si>
    <t>Estudo do mercado e perfil de cliente dos sonhos</t>
  </si>
  <si>
    <t>Elaboração e execução de campanhar para captação de leads qualificados</t>
  </si>
  <si>
    <t>Gerar leads qualificados que queiram ser atendidos pela nossa empresa</t>
  </si>
  <si>
    <t>Obter leads qualificados gerados pelo marketing</t>
  </si>
  <si>
    <t>Vendas realizadas para clientes antigos e novos clientes</t>
  </si>
  <si>
    <t>Alavancar os resultados financeiros da empresa através das vendas</t>
  </si>
  <si>
    <t>Otimizar os resultados da empresa através de um time bem orientado</t>
  </si>
  <si>
    <t>Mapeamento das necessidades internas e externas em relação a pessoas</t>
  </si>
  <si>
    <t>Equipe nova treinada e orientada e membros antigos desafiados diariamente e valorizados da forma correta</t>
  </si>
  <si>
    <t>Proporcionar à liderança da empresa, fatos e dados confiáveis para tomada de decisões</t>
  </si>
  <si>
    <t>Números confiáveis para os principais indicadores que medem a saúde da empresa</t>
  </si>
  <si>
    <t>Fatos e dados referentes à tudo que a empresa gasta ou recebe diariamente</t>
  </si>
  <si>
    <t>Sonhos e alvos no médio e curto prazo por parte da liderança da empresa</t>
  </si>
  <si>
    <t>Ações, definições rotinas inegociáveis que fazem parte do dia a dia da empresa</t>
  </si>
  <si>
    <t>Criar uma cultura forte com a visão de longo prazo da liderança através de ações que irão nortear a empresa</t>
  </si>
  <si>
    <t>COMPRAS</t>
  </si>
  <si>
    <t>ESTOQUE</t>
  </si>
  <si>
    <t>Comprar bem, no tempo certo, para sustentar a operação e proteger o resultado</t>
  </si>
  <si>
    <t>Operação abastecida com custo e qualidade controlados</t>
  </si>
  <si>
    <t>Garantir disponibilidade sem excesso</t>
  </si>
  <si>
    <t>Produtos liberados para uso, venda ou produção dentro dos prazos necessários</t>
  </si>
  <si>
    <t>Gestão e execução das requisições internas e necessidades estratégicas</t>
  </si>
  <si>
    <t>Gestão dos materiais, insumos e produtos adquiridos</t>
  </si>
  <si>
    <t>DEFINIÇÃO E ALINHAMENTO COM O TIME DE 
MISSÃO, VISÃO E VALORES (DO CEO ATÉ A OPERAÇÃO)</t>
  </si>
  <si>
    <t>ALTO</t>
  </si>
  <si>
    <t>RAIO-X DO CLIENTE DOS SONHOS, ANÁLISE DA CONCORRÊNCIA E ESTUDO DE MERCADO</t>
  </si>
  <si>
    <t>ROTINAS DE RECRUTAMENTO E SELEÇÃO DE NOVOS COLABORADORES</t>
  </si>
  <si>
    <t>ROTINAS DE CONTAS A PAGAR (GESTÃO DE MULTAS E JUROS EM DIA)</t>
  </si>
  <si>
    <t>ANÁLISE E CADASTRO DE FORNECEDORES</t>
  </si>
  <si>
    <t>GESTÃO DO ORGANOGRAMA DA EMPRESA
 E MAPEAMENTO DOS CARGOS E FUNÇÕES</t>
  </si>
  <si>
    <t>GESTÃO DE PÁGINAS, SITES, GOOGLE MEU NEGÓCIO</t>
  </si>
  <si>
    <t>TREINAMENTO INTRODUTÓRIO NA CULTURA E REG. INTERNO PARA NOVOS FUNCIONÁRIOS</t>
  </si>
  <si>
    <t>ROTINAS DE CONTAS A RECEBER (GESTÃO DA CONSTRUÇÃO DE UM CAIXA FORTE)</t>
  </si>
  <si>
    <t>ELABORAÇÃO E APRESENTAÇÃO DO REGULAMENTO INTERNO PARA GARANTIR REGRAS E PADRÕES DA EMPRESA</t>
  </si>
  <si>
    <t>GESTÃO DAS REDES SOCIAIS E 
CRIAÇÃO DE CONTEÚDOS ORGÂNICOS/VIRAIS</t>
  </si>
  <si>
    <t>TREINAMENTO E CAPACITAÇÃO DE COLABORADORES NAS SUAS FUNÇÕES (COM FLUXOGRAMAS)</t>
  </si>
  <si>
    <t>DEFINIÇÃO DE METAS ANUAIS E 
DESDOBRAMENTO DE METAS MÊS A MÊS</t>
  </si>
  <si>
    <t>ROTINAS DE SOCIAL SELLER (PROSPECÇÃO ATIVA NAS REDES SOCIAIS)</t>
  </si>
  <si>
    <t>MÉDIO</t>
  </si>
  <si>
    <t>AVALIAÇÃO DE DESEMPENHODOS FUNIONÁRIOS</t>
  </si>
  <si>
    <t>FECHAMENTO MENSAL DOS RESULTADOS E ANÁLISE DA DRE DA EMPRESA</t>
  </si>
  <si>
    <t>RECEBIMENTO E CONFERENCIA DE MERCADORIAS</t>
  </si>
  <si>
    <t>ROTINA DE REUNIÃO MENSAL: PARA ANÁLISE DOS RESULTADOS (POR ÁREA E INDICADOR)</t>
  </si>
  <si>
    <t>GESTÃO DE TRÁFEGO PAGO/ANÚNCIOS ONLINE</t>
  </si>
  <si>
    <t>ROTINA DE FEEDBACKS COM FUNCIONÁRIOS (1 A 1) LÍDERES E LIDERADOS</t>
  </si>
  <si>
    <t>ROTINAS DE PRECIFICAÇÃO E ANÁLISE DAS MARGENS DE LUCRO</t>
  </si>
  <si>
    <t>ROTINA DE REUNIÃO SEMANAL:PARA ALINHAMENTO 1 A 1 (COM LÍDERES DE CADA ÁREA)</t>
  </si>
  <si>
    <t>PARCERIAS COM EMPRESAS E NEGÓCIOS ESTRATÉGICOS</t>
  </si>
  <si>
    <t>ROTINAS TREINAMENTO E CAPACITAÇÃO DAS LIDERANÇAS DA EMPRESA</t>
  </si>
  <si>
    <t>GESTÃO MATRICIAL DE CUSTOS E DESPESAS (CONTROLE LINHA A LINHA DE TODOS OS GASTOS)</t>
  </si>
  <si>
    <t>ROTINA DE REUNIÃO DIÁRIA:PARA ALINHAMENTO DO TIME (FOCO NAS ROTINAS E PADRÕES)</t>
  </si>
  <si>
    <t>GESTÃO DE GRUPO VIP NO WHATSAPP/ MENSAGENS VIA LISTA DE TRANSMISSÃO</t>
  </si>
  <si>
    <t>GESTÃO DA FOLHA DE PAGAMENTO E DA REMUNERAÇÃO VARIÁVEL</t>
  </si>
  <si>
    <t>GESTÃO MATRICIAL DE RECEITAS E VENDAS (CONTROLE DE VOLUME E LUCRO)</t>
  </si>
  <si>
    <t>ROTINA DE TREINAMENTO E FORMAÇÃO DE NOVAS LIDERANÇAS PARA AS POSIÇÕES CRÍTICAS</t>
  </si>
  <si>
    <t>AÇÕES DE PREMIAÇÃO, BONIFICAÇÃO E DE PROMOÇÃO DA MERITOCRACIA</t>
  </si>
  <si>
    <t>ROTINA DE EMISSÃO DE NOTAS FISCAIS</t>
  </si>
  <si>
    <t>BAIXO</t>
  </si>
  <si>
    <t>AÇÕES DE DESENOLVIMENTO E FORTALECIMENTO DA CULTURA ORGANIZACIONAL</t>
  </si>
  <si>
    <t>PESQUISA DE CLIMA ORGANIZACIONAL PARA PADRONIZAÇÃO DE BOAS PRÁTICAS E AÇÕES CORRETIVAS</t>
  </si>
  <si>
    <t>GESTÃO DE INADIMPLENTES</t>
  </si>
  <si>
    <t>ROTINA DE ANÁLISE DE CONCORRENTES E TENDÊNCIAS DE MERCADO PARA O SETOR (RISCOS E OPORTUNIDADES)</t>
  </si>
  <si>
    <t>ELABORAÇÃO DE MATERIAIS, FOLDERS, PANFLETOS INSTITUCIONAIS, CARTAZES, ETC</t>
  </si>
  <si>
    <t>ROTINAS DE PROCESSO DEMISSIONAL
E ENTREVISTA DE DESLIGAMENTO (SE APLICÁVEL)</t>
  </si>
  <si>
    <t>GESTÃO DO FUNDO DE RESERVA 
E PRÓ-LABORE DOS SÓCIOS</t>
  </si>
  <si>
    <t>ROTINA DE COTAÇÃO E COMPARAÇÃO DE PREÇOS</t>
  </si>
  <si>
    <t>NEGOCIAÇÃO DE PREÇOS, PRAZOS E CONDIÇÕES ESPECIAIS</t>
  </si>
  <si>
    <t>APROVAÇÃO E LIBERAÇÃO DE COMPRAS CONFORME ALÇADA</t>
  </si>
  <si>
    <t>EXECUÇÃO DO PEDIDO DE COMPRAS</t>
  </si>
  <si>
    <t>ACOMPANHAMENTO DE PEDIDOS E PRAZOS DE ENTREGA</t>
  </si>
  <si>
    <t>GESTÃO DE CONTRATOS E ACORDOS COMERCIAIS</t>
  </si>
  <si>
    <t>CONTROLE DE CUSTOS E ECONOMIAS GERADAS PELO SETOR</t>
  </si>
  <si>
    <t>ENDEREÇAMENTO E ORGANIZAÇÃO DO ESTOQUE</t>
  </si>
  <si>
    <t>CONTROLE DE ENTRADAS E SAÍDAS</t>
  </si>
  <si>
    <t>GESTÃO DE NÍVEIS MÍNIMOS, MÁXIMOS E CRÍTICOS</t>
  </si>
  <si>
    <t>SEPARAÇÃO E LIBERAÇÃO DE MATERIAIS PARA USO OU VENDA</t>
  </si>
  <si>
    <t>EXECUÇÃO DE INVENTÁRIOS PARA AJUSTE DE DIVERGÊNCIAS</t>
  </si>
  <si>
    <t>GESTÃO DE TROCAS DEVOLUÇÕES E AVARIAS</t>
  </si>
  <si>
    <t>LIMPEZA E PADRONIZAÇÃO DO ESTOQUE</t>
  </si>
  <si>
    <t>CONTROLE DE METAS E INDICADORES DA ÁREA</t>
  </si>
  <si>
    <t xml:space="preserve">PROSPECÇÃO ATIVA DE NOVOS CLIENTES </t>
  </si>
  <si>
    <t>GESTÃO DA BASE DE LEADS PARA ATENDIMENTO</t>
  </si>
  <si>
    <t>STATUS</t>
  </si>
  <si>
    <t>LIVES SHOP PARA DIVULGAÇÃO DE PRODUTOS, OFERTAS E GERAÇÃO DE AUTORIDADE</t>
  </si>
  <si>
    <t>PARCERIAS COM INFLUENCERS E PROFISSIONAIS DO SEU NICHO</t>
  </si>
  <si>
    <t>GESTÃO DO FLUXO DE CAIXA (GESTÃO DA PREVISIBILIDADE DA EMPRESA MÊS A MÊS E PRÓ LABORE DOS SÓCIOS)</t>
  </si>
  <si>
    <t>ATENDIMENTO E DIAGNÓSTICO DAS NECESSIDADES DO CLIENTE</t>
  </si>
  <si>
    <t>ELABORAÇÃO DE PROPOSTAS COMERCIAIS</t>
  </si>
  <si>
    <t>GESTÃO DAS PROPOSTAS EM ABERTO E FOLLOW UP DAS NEGOCIAÇÕES</t>
  </si>
  <si>
    <t>GESTÃO PÓS VENDA PARA ENCANTAMENTO DOS CLIENTES</t>
  </si>
  <si>
    <t>GESTÃO DA CARTEIRA DE CLIENTES PARA NOVAS OFERTAS (COMBOS, UPSELL, DOWNSELL)</t>
  </si>
  <si>
    <t>ATRASADAS</t>
  </si>
  <si>
    <t>EM ANDAMENTO</t>
  </si>
  <si>
    <t>CONCLUIDAS</t>
  </si>
  <si>
    <t>A INICIAR</t>
  </si>
  <si>
    <t># ABS</t>
  </si>
  <si>
    <t>%</t>
  </si>
  <si>
    <t>STATUS DO PLANO DE AÇÃO</t>
  </si>
  <si>
    <t>TOTAL GERAL</t>
  </si>
  <si>
    <t>FATURAMENTO GLOBAL</t>
  </si>
  <si>
    <t># VENDAS REALIZADAS</t>
  </si>
  <si>
    <t>TICKET MÉDIO DAS VENDAS REALIZADAS</t>
  </si>
  <si>
    <t>GASTO TOTAL COM ANUNCIOS</t>
  </si>
  <si>
    <t>CUSTO AQUISIÇÃO DO CLIENTE (CAC)</t>
  </si>
  <si>
    <t xml:space="preserve"># COMPRAS REALIZADAS NO MÊS </t>
  </si>
  <si>
    <t>GESTÃO DO ESTOQUE</t>
  </si>
  <si>
    <t>NOME DO INDICADOR</t>
  </si>
  <si>
    <t>TIPO DE MEDIDA</t>
  </si>
  <si>
    <t>STATUS DA MEDIÇÃO</t>
  </si>
  <si>
    <t>DONO DO INDICADOR</t>
  </si>
  <si>
    <t>MELHOR</t>
  </si>
  <si>
    <t>DESCRIÇÃO DO INDICADOR</t>
  </si>
  <si>
    <t>INDICADOR</t>
  </si>
  <si>
    <t>ANÁLISE DE CAUSAS</t>
  </si>
  <si>
    <t>AÇÃO PROPOSTA</t>
  </si>
  <si>
    <t>CAUSA1</t>
  </si>
  <si>
    <t>CAUSA2</t>
  </si>
  <si>
    <t>CAUSA3</t>
  </si>
  <si>
    <t>CAUSA4</t>
  </si>
  <si>
    <t>CAUSA5</t>
  </si>
  <si>
    <t>CONCLUÍDA</t>
  </si>
  <si>
    <t>RESPONSÁVEL: NOME</t>
  </si>
  <si>
    <t>NOME DO INDICADOR 
MÊS/AA</t>
  </si>
  <si>
    <t>DETALHAMENTO DA AÇÃO PROPOSTA</t>
  </si>
  <si>
    <t>INICIO PREVISTO</t>
  </si>
  <si>
    <t>TERMINO PREVISTO</t>
  </si>
  <si>
    <t>INICIO REAL</t>
  </si>
  <si>
    <t>TERMINO REAL</t>
  </si>
  <si>
    <t>EDIÇÃO</t>
  </si>
  <si>
    <t>BOTÕES</t>
  </si>
  <si>
    <t>PILAR</t>
  </si>
  <si>
    <t>GESTÃO DE OBRAS</t>
  </si>
  <si>
    <t>MANUTENÇÃO</t>
  </si>
  <si>
    <t>LOGÍSTICA</t>
  </si>
  <si>
    <t>TOTAL</t>
  </si>
  <si>
    <t>ABS</t>
  </si>
  <si>
    <t>TOTAL GASTO/NÚMERO DE CLIENTES ADQUIRIDOS</t>
  </si>
  <si>
    <t>R$</t>
  </si>
  <si>
    <t>QUANTIDADE</t>
  </si>
  <si>
    <t>TOTAL INVESTIDO EM ANUNCIOS NO MÊS</t>
  </si>
  <si>
    <t xml:space="preserve">TOTAL FATURADO NO MÊS </t>
  </si>
  <si>
    <t>NÚMERO DE VENDAS REALIZADAS NO MÊS</t>
  </si>
  <si>
    <t xml:space="preserve">TOTAL FATURADO NO MÊS/ NÚMERO DE VENDAS </t>
  </si>
  <si>
    <t>PRA CIMA</t>
  </si>
  <si>
    <t>PRA BAIXO</t>
  </si>
  <si>
    <t>TOTAL DE COMPRAS REALIZADAS NO MÊS</t>
  </si>
  <si>
    <t>TOTAL INVESTIDO EM COMPRAS NO MÊS</t>
  </si>
  <si>
    <t>GASTO TOTAL COM COMPRAS</t>
  </si>
  <si>
    <t>ÍNDICE DE COMPRAS EMERGENCIAIS</t>
  </si>
  <si>
    <t>TOTAL DE COMPRAS EMERGENCIAIS/ TOTAL DE COMPRAS REALIZADAS</t>
  </si>
  <si>
    <t>TEMPO MÉDIO DE COMPRA</t>
  </si>
  <si>
    <t>DIAS</t>
  </si>
  <si>
    <t>TEMPO ENTRE A SOLICITAÇÃO DA COMPRA E A CHEGADA DO ITEM</t>
  </si>
  <si>
    <t>TEMPO MÉDIO DE CONTRATAÇÃO</t>
  </si>
  <si>
    <t>TEMPO ENTRE A SOLICITAÇÃO DA PESSOA E A CHEGADA DO NOVO COLABORADOR</t>
  </si>
  <si>
    <t>% DE COLABORADORES QUE ENTRAM E SAEM DA EMPRESA</t>
  </si>
  <si>
    <t>ABSENTEÍSMO</t>
  </si>
  <si>
    <t># DE FALTAS OU ATRASOS NÃO JUSTIFICADOS</t>
  </si>
  <si>
    <t>TAXA DE CONVERSÃO</t>
  </si>
  <si>
    <t># PROPOSTAS FECHADAS / TOTAL DE PROPOSTAS ENVIADAS</t>
  </si>
  <si>
    <t>VOLUME DE LEADS QUALIFICADOS GERADOS</t>
  </si>
  <si>
    <t># POTENCIAIS CLIENTES CAPTURADOS</t>
  </si>
  <si>
    <t>ROI DE MARKETING</t>
  </si>
  <si>
    <t>FATURAMENTO TOTAL</t>
  </si>
  <si>
    <t>ENDIVIDAMENTO</t>
  </si>
  <si>
    <t>MARGEM DE LUCRO LIQUIDA</t>
  </si>
  <si>
    <t>LUCRO LÍQUIDO ÷ RECEITA BRUTA × 100</t>
  </si>
  <si>
    <t>Endividamento (%) = Passivo Total ÷ Ativo Total × 100</t>
  </si>
  <si>
    <t>FATURAMENTO MENSAL</t>
  </si>
  <si>
    <t xml:space="preserve">VALOR VENDIDO PELA EMPRESA NO MÊS </t>
  </si>
  <si>
    <t>DESPESAS FIXAS MENSAIS</t>
  </si>
  <si>
    <t xml:space="preserve">VALOR QUE A EMPRESA CUSTA POR MÊS </t>
  </si>
  <si>
    <t>CUSTO TOTAL COM HORAS EXTRAS</t>
  </si>
  <si>
    <t>TOTAL GASTO COM HORAS EXTRAS DE FUNCIONÁRIOS</t>
  </si>
  <si>
    <t>TURNOVER</t>
  </si>
  <si>
    <t>VALOR TOTAL DO ESTOQUE</t>
  </si>
  <si>
    <t>TOTAL EM R$ IMOBILIZADO EM ESTOQUE</t>
  </si>
  <si>
    <t>RUPTURA DE ESTOQUE</t>
  </si>
  <si>
    <t># DE VENDAS PERDIDAS POR FALTA DE PRODUTO</t>
  </si>
  <si>
    <t>TOTAL EM PERDAS E AVARIAS</t>
  </si>
  <si>
    <t>TOTAL GASTO COM PERDAS E AVARIAS</t>
  </si>
  <si>
    <t>TOTAL DE TROCAS E DEVOLUÇÕES</t>
  </si>
  <si>
    <t># DE TROCAS OU PRODUTOS DEVOLVIDOS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</si>
</sst>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36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24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indexed="81"/>
      <name val="Segoe UI"/>
      <family val="2"/>
    </font>
    <font>
      <sz val="9"/>
      <color indexed="81"/>
      <name val="Segoe UI"/>
      <family val="2"/>
    </font>
    <font>
      <b/>
      <sz val="22"/>
      <color indexed="81"/>
      <name val="Segoe UI"/>
      <family val="2"/>
    </font>
    <font>
      <sz val="14"/>
      <color indexed="81"/>
      <name val="Segoe UI"/>
      <family val="2"/>
    </font>
    <font>
      <b/>
      <sz val="22"/>
      <color theme="0"/>
      <name val="Calibri"/>
      <family val="2"/>
      <scheme val="minor"/>
    </font>
    <font>
      <b/>
      <sz val="22"/>
      <name val="Calibri"/>
      <family val="2"/>
      <scheme val="minor"/>
    </font>
    <font>
      <b/>
      <sz val="28"/>
      <name val="Calibri"/>
      <family val="2"/>
      <scheme val="minor"/>
    </font>
    <font>
      <b/>
      <sz val="36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theme="0"/>
      <name val="Calibri"/>
      <family val="2"/>
      <scheme val="minor"/>
    </font>
    <font>
      <sz val="24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7" fillId="0" borderId="0" xfId="2" applyFont="1" applyAlignment="1">
      <alignment vertical="center"/>
    </xf>
    <xf numFmtId="0" fontId="10" fillId="0" borderId="0" xfId="0" applyFont="1"/>
    <xf numFmtId="0" fontId="11" fillId="0" borderId="0" xfId="2" applyFont="1" applyAlignment="1">
      <alignment vertical="center"/>
    </xf>
    <xf numFmtId="0" fontId="3" fillId="0" borderId="0" xfId="2" applyFont="1" applyAlignment="1">
      <alignment horizontal="center" vertical="center"/>
    </xf>
    <xf numFmtId="0" fontId="12" fillId="5" borderId="1" xfId="2" applyFont="1" applyFill="1" applyBorder="1" applyAlignment="1">
      <alignment horizontal="left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13" fillId="5" borderId="1" xfId="2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2" applyFont="1" applyAlignment="1">
      <alignment vertical="center"/>
    </xf>
    <xf numFmtId="0" fontId="16" fillId="8" borderId="1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21" fillId="3" borderId="1" xfId="2" applyFont="1" applyFill="1" applyBorder="1" applyAlignment="1">
      <alignment horizontal="center" vertical="center" wrapText="1"/>
    </xf>
    <xf numFmtId="0" fontId="22" fillId="8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7" borderId="1" xfId="2" applyFont="1" applyFill="1" applyBorder="1" applyAlignment="1">
      <alignment horizontal="center" vertical="center" wrapText="1"/>
    </xf>
    <xf numFmtId="0" fontId="25" fillId="5" borderId="1" xfId="2" applyFont="1" applyFill="1" applyBorder="1" applyAlignment="1">
      <alignment horizontal="center" vertical="center" wrapText="1"/>
    </xf>
    <xf numFmtId="9" fontId="25" fillId="5" borderId="1" xfId="1" applyFont="1" applyFill="1" applyBorder="1" applyAlignment="1">
      <alignment horizontal="center" vertical="center" wrapText="1"/>
    </xf>
    <xf numFmtId="0" fontId="26" fillId="2" borderId="0" xfId="2" applyFont="1" applyFill="1" applyAlignment="1">
      <alignment horizontal="center" vertical="center" wrapText="1"/>
    </xf>
    <xf numFmtId="9" fontId="26" fillId="2" borderId="1" xfId="1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center" vertical="center" wrapText="1"/>
    </xf>
    <xf numFmtId="0" fontId="27" fillId="5" borderId="1" xfId="2" applyFont="1" applyFill="1" applyBorder="1" applyAlignment="1">
      <alignment horizontal="left" vertical="center" wrapText="1"/>
    </xf>
    <xf numFmtId="0" fontId="28" fillId="0" borderId="0" xfId="0" applyFont="1"/>
    <xf numFmtId="0" fontId="29" fillId="2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8" fillId="7" borderId="1" xfId="2" applyFont="1" applyFill="1" applyBorder="1" applyAlignment="1">
      <alignment horizontal="center" vertical="center" wrapText="1"/>
    </xf>
    <xf numFmtId="0" fontId="24" fillId="8" borderId="1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0" fontId="24" fillId="0" borderId="1" xfId="0" quotePrefix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9" fontId="26" fillId="2" borderId="0" xfId="2" applyNumberFormat="1" applyFont="1" applyFill="1" applyAlignment="1">
      <alignment horizontal="center" vertical="center" wrapText="1"/>
    </xf>
    <xf numFmtId="0" fontId="13" fillId="5" borderId="1" xfId="2" applyFont="1" applyFill="1" applyBorder="1" applyAlignment="1">
      <alignment horizontal="left" vertical="center" wrapText="1"/>
    </xf>
    <xf numFmtId="0" fontId="13" fillId="9" borderId="1" xfId="2" applyFont="1" applyFill="1" applyBorder="1" applyAlignment="1">
      <alignment horizontal="left" vertical="center" wrapText="1"/>
    </xf>
    <xf numFmtId="0" fontId="29" fillId="4" borderId="1" xfId="2" applyFont="1" applyFill="1" applyBorder="1" applyAlignment="1">
      <alignment horizontal="left" vertical="center" wrapText="1"/>
    </xf>
    <xf numFmtId="0" fontId="29" fillId="3" borderId="1" xfId="2" applyFont="1" applyFill="1" applyBorder="1" applyAlignment="1">
      <alignment horizontal="left" vertical="center" wrapText="1"/>
    </xf>
    <xf numFmtId="0" fontId="9" fillId="6" borderId="2" xfId="2" applyFont="1" applyFill="1" applyBorder="1" applyAlignment="1">
      <alignment horizontal="center" vertical="center" wrapText="1"/>
    </xf>
    <xf numFmtId="0" fontId="9" fillId="6" borderId="0" xfId="2" applyFont="1" applyFill="1" applyAlignment="1">
      <alignment horizontal="center"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8" fillId="6" borderId="0" xfId="2" applyFont="1" applyFill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3" fillId="5" borderId="1" xfId="2" applyFont="1" applyFill="1" applyBorder="1" applyAlignment="1">
      <alignment horizontal="left" vertical="center" wrapText="1"/>
    </xf>
  </cellXfs>
  <cellStyles count="3">
    <cellStyle name="Normal" xfId="0" builtinId="0"/>
    <cellStyle name="Normal 10 2" xfId="2" xr:uid="{4AD76C08-1A90-419D-AF52-DC75788407C6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3200" b="1"/>
              <a:t>STATUS DO PLANO DE AÇÃO - POR PILAR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'PLANO DE AÇÃO'!$B$14:$B$21</c:f>
              <c:strCache>
                <c:ptCount val="8"/>
                <c:pt idx="0">
                  <c:v>MARKETING</c:v>
                </c:pt>
                <c:pt idx="1">
                  <c:v>VENDAS</c:v>
                </c:pt>
                <c:pt idx="2">
                  <c:v>PESSOAS</c:v>
                </c:pt>
                <c:pt idx="3">
                  <c:v>FINANCEIRO</c:v>
                </c:pt>
                <c:pt idx="4">
                  <c:v>GESTÃO DE OBRAS</c:v>
                </c:pt>
                <c:pt idx="5">
                  <c:v>COMPRAS</c:v>
                </c:pt>
                <c:pt idx="6">
                  <c:v>MANUTENÇÃO</c:v>
                </c:pt>
                <c:pt idx="7">
                  <c:v>LOGÍSTICA</c:v>
                </c:pt>
              </c:strCache>
            </c:strRef>
          </c:cat>
          <c:val>
            <c:numRef>
              <c:f>'PLANO DE AÇÃO'!$C$14:$C$21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  <c:pt idx="5">
                  <c:v>8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6-4801-A7F0-3CE5A81CE636}"/>
            </c:ext>
          </c:extLst>
        </c:ser>
        <c:ser>
          <c:idx val="1"/>
          <c:order val="1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'PLANO DE AÇÃO'!$B$14:$B$21</c:f>
              <c:strCache>
                <c:ptCount val="8"/>
                <c:pt idx="0">
                  <c:v>MARKETING</c:v>
                </c:pt>
                <c:pt idx="1">
                  <c:v>VENDAS</c:v>
                </c:pt>
                <c:pt idx="2">
                  <c:v>PESSOAS</c:v>
                </c:pt>
                <c:pt idx="3">
                  <c:v>FINANCEIRO</c:v>
                </c:pt>
                <c:pt idx="4">
                  <c:v>GESTÃO DE OBRAS</c:v>
                </c:pt>
                <c:pt idx="5">
                  <c:v>COMPRAS</c:v>
                </c:pt>
                <c:pt idx="6">
                  <c:v>MANUTENÇÃO</c:v>
                </c:pt>
                <c:pt idx="7">
                  <c:v>LOGÍSTICA</c:v>
                </c:pt>
              </c:strCache>
            </c:strRef>
          </c:cat>
          <c:val>
            <c:numRef>
              <c:f>'PLANO DE AÇÃO'!$D$14:$D$21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36-4801-A7F0-3CE5A81CE636}"/>
            </c:ext>
          </c:extLst>
        </c:ser>
        <c:ser>
          <c:idx val="2"/>
          <c:order val="2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'PLANO DE AÇÃO'!$B$14:$B$21</c:f>
              <c:strCache>
                <c:ptCount val="8"/>
                <c:pt idx="0">
                  <c:v>MARKETING</c:v>
                </c:pt>
                <c:pt idx="1">
                  <c:v>VENDAS</c:v>
                </c:pt>
                <c:pt idx="2">
                  <c:v>PESSOAS</c:v>
                </c:pt>
                <c:pt idx="3">
                  <c:v>FINANCEIRO</c:v>
                </c:pt>
                <c:pt idx="4">
                  <c:v>GESTÃO DE OBRAS</c:v>
                </c:pt>
                <c:pt idx="5">
                  <c:v>COMPRAS</c:v>
                </c:pt>
                <c:pt idx="6">
                  <c:v>MANUTENÇÃO</c:v>
                </c:pt>
                <c:pt idx="7">
                  <c:v>LOGÍSTICA</c:v>
                </c:pt>
              </c:strCache>
            </c:strRef>
          </c:cat>
          <c:val>
            <c:numRef>
              <c:f>'PLANO DE AÇÃO'!$E$14:$E$21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36-4801-A7F0-3CE5A81CE636}"/>
            </c:ext>
          </c:extLst>
        </c:ser>
        <c:ser>
          <c:idx val="3"/>
          <c:order val="3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'PLANO DE AÇÃO'!$B$14:$B$21</c:f>
              <c:strCache>
                <c:ptCount val="8"/>
                <c:pt idx="0">
                  <c:v>MARKETING</c:v>
                </c:pt>
                <c:pt idx="1">
                  <c:v>VENDAS</c:v>
                </c:pt>
                <c:pt idx="2">
                  <c:v>PESSOAS</c:v>
                </c:pt>
                <c:pt idx="3">
                  <c:v>FINANCEIRO</c:v>
                </c:pt>
                <c:pt idx="4">
                  <c:v>GESTÃO DE OBRAS</c:v>
                </c:pt>
                <c:pt idx="5">
                  <c:v>COMPRAS</c:v>
                </c:pt>
                <c:pt idx="6">
                  <c:v>MANUTENÇÃO</c:v>
                </c:pt>
                <c:pt idx="7">
                  <c:v>LOGÍSTICA</c:v>
                </c:pt>
              </c:strCache>
            </c:strRef>
          </c:cat>
          <c:val>
            <c:numRef>
              <c:f>'PLANO DE AÇÃO'!$F$14:$F$21</c:f>
              <c:numCache>
                <c:formatCode>General</c:formatCode>
                <c:ptCount val="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836-4801-A7F0-3CE5A81CE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45335344"/>
        <c:axId val="2145325744"/>
      </c:barChart>
      <c:catAx>
        <c:axId val="214533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45325744"/>
        <c:crosses val="autoZero"/>
        <c:auto val="1"/>
        <c:lblAlgn val="ctr"/>
        <c:lblOffset val="100"/>
        <c:noMultiLvlLbl val="0"/>
      </c:catAx>
      <c:valAx>
        <c:axId val="2145325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4533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21</xdr:row>
      <xdr:rowOff>114300</xdr:rowOff>
    </xdr:from>
    <xdr:to>
      <xdr:col>4</xdr:col>
      <xdr:colOff>1466850</xdr:colOff>
      <xdr:row>29</xdr:row>
      <xdr:rowOff>127489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F906D4-B9AF-FA5C-8643-3DCE92567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100" y="2006600"/>
          <a:ext cx="5918200" cy="1486389"/>
        </a:xfrm>
        <a:prstGeom prst="rect">
          <a:avLst/>
        </a:prstGeom>
      </xdr:spPr>
    </xdr:pic>
    <xdr:clientData/>
  </xdr:twoCellAnchor>
  <xdr:twoCellAnchor>
    <xdr:from>
      <xdr:col>0</xdr:col>
      <xdr:colOff>330200</xdr:colOff>
      <xdr:row>1</xdr:row>
      <xdr:rowOff>69850</xdr:rowOff>
    </xdr:from>
    <xdr:to>
      <xdr:col>7</xdr:col>
      <xdr:colOff>6350</xdr:colOff>
      <xdr:row>13</xdr:row>
      <xdr:rowOff>6350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3D1331D4-6747-F0AC-92C7-4A6EDB607D65}"/>
            </a:ext>
          </a:extLst>
        </xdr:cNvPr>
        <xdr:cNvSpPr/>
      </xdr:nvSpPr>
      <xdr:spPr>
        <a:xfrm>
          <a:off x="330200" y="146050"/>
          <a:ext cx="8451850" cy="8509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1041399</xdr:colOff>
      <xdr:row>1</xdr:row>
      <xdr:rowOff>46116</xdr:rowOff>
    </xdr:from>
    <xdr:to>
      <xdr:col>4</xdr:col>
      <xdr:colOff>1460500</xdr:colOff>
      <xdr:row>13</xdr:row>
      <xdr:rowOff>15403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09FA8B-670E-D2AE-6D5D-FD716F59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6799" y="122316"/>
          <a:ext cx="4502151" cy="8836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277813</xdr:colOff>
      <xdr:row>11</xdr:row>
      <xdr:rowOff>168275</xdr:rowOff>
    </xdr:from>
    <xdr:to>
      <xdr:col>19</xdr:col>
      <xdr:colOff>460375</xdr:colOff>
      <xdr:row>22</xdr:row>
      <xdr:rowOff>15875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12CF674-5C7B-A8D2-C431-ACBBD6BE1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CELPAV/NOV96/CELPAV/COMPPRO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4D0BFC2\Link%20Salto%20Pil&#227;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Marcoabs\Meus%20Documentos\Meus%20Documentos\RESUMO%20DO%20DBASE%20PARA%20O%20VIVEI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UARIO/Downloads/CONSULTORIAS/CONSULTORIA%20EINSTEIN/3)%20MATERIAIS%20CONSULTOR/FERRAMENTAS/Vcp_la_110/c/CELPAV/NOV96/CELPAV/COMPPRO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nsultor/Downloads/calculo_de_ponto_de_equilibrio_15_02_2022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2eb811e401631d4/Documentos/2019/PESSOAL/EINSTEIN/MATERIAL%20TREINAMENTO%20EINSTEIN/Vcp_la_110/c/CELPAV/NOV96/CELPAV/COMPPRO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Apoi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nk"/>
    </sheetNames>
    <sheetDataSet>
      <sheetData sheetId="0" refreshError="1">
        <row r="2">
          <cell r="C2" t="str">
            <v>Series</v>
          </cell>
          <cell r="D2" t="str">
            <v>Series</v>
          </cell>
        </row>
        <row r="3">
          <cell r="A3" t="str">
            <v>Contratual</v>
          </cell>
          <cell r="C3">
            <v>0.4763</v>
          </cell>
          <cell r="D3">
            <v>0.52370000000000005</v>
          </cell>
        </row>
        <row r="4">
          <cell r="A4" t="str">
            <v>Reprog. Orçam.</v>
          </cell>
          <cell r="C4">
            <v>0.55742957456172493</v>
          </cell>
          <cell r="D4">
            <v>0.44257042543827507</v>
          </cell>
        </row>
        <row r="5">
          <cell r="A5" t="str">
            <v>Real</v>
          </cell>
          <cell r="C5">
            <v>0.51600000000000001</v>
          </cell>
          <cell r="D5">
            <v>0.48399999999999999</v>
          </cell>
        </row>
        <row r="12">
          <cell r="B12" t="str">
            <v>Contratual</v>
          </cell>
          <cell r="C12" t="str">
            <v>Real</v>
          </cell>
        </row>
        <row r="13">
          <cell r="B13">
            <v>188.396764913211</v>
          </cell>
          <cell r="C13">
            <v>188.396764913211</v>
          </cell>
        </row>
        <row r="14">
          <cell r="A14" t="str">
            <v>Projeção</v>
          </cell>
          <cell r="B14">
            <v>98.663385785048604</v>
          </cell>
          <cell r="C14">
            <v>92.990767277740204</v>
          </cell>
        </row>
        <row r="15">
          <cell r="A15" t="str">
            <v>Acumulado até a data</v>
          </cell>
          <cell r="B15">
            <v>89.733379128162397</v>
          </cell>
          <cell r="C15">
            <v>95.405997635470797</v>
          </cell>
        </row>
        <row r="20">
          <cell r="B20" t="str">
            <v>Contratual</v>
          </cell>
          <cell r="C20" t="str">
            <v>Real</v>
          </cell>
        </row>
        <row r="21">
          <cell r="B21">
            <v>0</v>
          </cell>
          <cell r="C21">
            <v>36.671778419999995</v>
          </cell>
        </row>
        <row r="22">
          <cell r="A22" t="str">
            <v>Projeção</v>
          </cell>
          <cell r="B22">
            <v>0</v>
          </cell>
          <cell r="C22">
            <v>21.917291229999993</v>
          </cell>
        </row>
        <row r="23">
          <cell r="A23" t="str">
            <v>Acumulado até a data</v>
          </cell>
          <cell r="B23">
            <v>0</v>
          </cell>
          <cell r="C23">
            <v>14.754487190000003</v>
          </cell>
        </row>
        <row r="27">
          <cell r="B27" t="str">
            <v>Faturas Atrasadas</v>
          </cell>
          <cell r="C27" t="str">
            <v>FaturasaVencer</v>
          </cell>
          <cell r="D27" t="str">
            <v>ServiçosExec. ÑMedidos</v>
          </cell>
          <cell r="E27" t="str">
            <v>ServiçosMed. ÑFaturados</v>
          </cell>
          <cell r="F27" t="str">
            <v>Adianta-mentos</v>
          </cell>
          <cell r="G27" t="str">
            <v>PosiçãodeCrédito</v>
          </cell>
        </row>
        <row r="29">
          <cell r="A29" t="str">
            <v>Até 30 dias</v>
          </cell>
          <cell r="C29">
            <v>-13.013610628967099</v>
          </cell>
          <cell r="D29">
            <v>0</v>
          </cell>
          <cell r="E29">
            <v>0</v>
          </cell>
          <cell r="F29">
            <v>0</v>
          </cell>
          <cell r="G29" t="str">
            <v>e</v>
          </cell>
        </row>
        <row r="30">
          <cell r="A30" t="str">
            <v>De 30 a 90 dias</v>
          </cell>
          <cell r="B30">
            <v>0</v>
          </cell>
        </row>
        <row r="31">
          <cell r="A31" t="str">
            <v>Mais de 90 dias</v>
          </cell>
        </row>
        <row r="32">
          <cell r="A32" t="str">
            <v>Via Recibo</v>
          </cell>
        </row>
        <row r="33">
          <cell r="A33" t="str">
            <v>Via Fatura</v>
          </cell>
        </row>
        <row r="38">
          <cell r="C38" t="str">
            <v>Apresentado</v>
          </cell>
          <cell r="D38" t="str">
            <v>Label</v>
          </cell>
        </row>
        <row r="40">
          <cell r="A40" t="str">
            <v>Reprovado</v>
          </cell>
          <cell r="C40">
            <v>0</v>
          </cell>
        </row>
        <row r="41">
          <cell r="A41" t="str">
            <v>Não esperado</v>
          </cell>
          <cell r="C41">
            <v>1.5452216287262768</v>
          </cell>
        </row>
        <row r="42">
          <cell r="A42" t="str">
            <v>Esperado</v>
          </cell>
          <cell r="C42">
            <v>1.3445187631389617</v>
          </cell>
        </row>
        <row r="43">
          <cell r="A43" t="str">
            <v>Aprovado</v>
          </cell>
          <cell r="C43">
            <v>0.15</v>
          </cell>
        </row>
        <row r="44">
          <cell r="A44" t="str">
            <v>LB</v>
          </cell>
          <cell r="B44">
            <v>0.71517630642431274</v>
          </cell>
        </row>
        <row r="45">
          <cell r="A45" t="str">
            <v>Custo</v>
          </cell>
          <cell r="B45">
            <v>2.1745640854409256</v>
          </cell>
        </row>
        <row r="47">
          <cell r="A47" t="str">
            <v>Claims</v>
          </cell>
          <cell r="B47">
            <v>1</v>
          </cell>
        </row>
        <row r="48">
          <cell r="A48" t="str">
            <v>Alteraçãode Escopo</v>
          </cell>
          <cell r="B48">
            <v>0</v>
          </cell>
        </row>
        <row r="51">
          <cell r="B51" t="str">
            <v>Taxa deFreqüênciac afastam.</v>
          </cell>
        </row>
        <row r="52">
          <cell r="B52">
            <v>1.1000000000000001</v>
          </cell>
        </row>
        <row r="53">
          <cell r="A53" t="str">
            <v>Series</v>
          </cell>
          <cell r="B53">
            <v>0</v>
          </cell>
        </row>
        <row r="54">
          <cell r="A54" t="str">
            <v>Atual</v>
          </cell>
          <cell r="B54">
            <v>2</v>
          </cell>
        </row>
        <row r="56">
          <cell r="B56" t="str">
            <v>Taxa deGravidade</v>
          </cell>
        </row>
        <row r="57">
          <cell r="B57">
            <v>300</v>
          </cell>
        </row>
        <row r="58">
          <cell r="A58" t="str">
            <v>Series</v>
          </cell>
          <cell r="B58">
            <v>179</v>
          </cell>
        </row>
        <row r="59">
          <cell r="A59" t="str">
            <v>Atual</v>
          </cell>
          <cell r="B59">
            <v>121</v>
          </cell>
        </row>
        <row r="61">
          <cell r="B61" t="str">
            <v>AvaliaçãoAmbiental</v>
          </cell>
        </row>
        <row r="62">
          <cell r="B62">
            <v>8.6</v>
          </cell>
        </row>
        <row r="63">
          <cell r="A63" t="str">
            <v>Series</v>
          </cell>
          <cell r="B63">
            <v>-0.41999999999999993</v>
          </cell>
        </row>
        <row r="64">
          <cell r="A64" t="str">
            <v>Atual</v>
          </cell>
          <cell r="B64">
            <v>9.02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O DBASE PARA O VIVEIRO"/>
      <sheetName val="RESUMO_DO_DBASE_PARA_O_VIVEIRO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Cad"/>
      <sheetName val="PE"/>
      <sheetName val="AC"/>
      <sheetName val="RC"/>
      <sheetName val="GR"/>
      <sheetName val="RI"/>
      <sheetName val="Instruções"/>
      <sheetName val="GR_Dados"/>
    </sheetNames>
    <sheetDataSet>
      <sheetData sheetId="0" refreshError="1"/>
      <sheetData sheetId="1">
        <row r="12">
          <cell r="B12" t="str">
            <v>Camisa</v>
          </cell>
        </row>
        <row r="13">
          <cell r="B13" t="str">
            <v>Calça</v>
          </cell>
        </row>
        <row r="14">
          <cell r="B14" t="str">
            <v>Camiseta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PROD"/>
      <sheetName val="Plan1"/>
      <sheetName val="Plan2"/>
      <sheetName val="Plan3"/>
      <sheetName val="Tags"/>
      <sheetName val="PI"/>
      <sheetName val="Dados Mestre"/>
      <sheetName val="Acomp. Fator"/>
      <sheetName val="Linha Fibras"/>
      <sheetName val="Difer."/>
      <sheetName val="MgSO4 e AQ"/>
      <sheetName val="Planta Química"/>
      <sheetName val="Específicos"/>
      <sheetName val="Custo Var."/>
      <sheetName val="Custo Atual"/>
      <sheetName val="H.P. - Resumo"/>
      <sheetName val="H. Paradas"/>
      <sheetName val="TPM"/>
      <sheetName val="VCP-ABS"/>
      <sheetName val="Fatos Rel."/>
      <sheetName val="Qualidade"/>
      <sheetName val="Ocorrências"/>
      <sheetName val="Cálculos AQ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5"/>
  <sheetViews>
    <sheetView showGridLines="0" tabSelected="1" topLeftCell="B1" zoomScale="90" zoomScaleNormal="90" workbookViewId="0">
      <selection activeCell="B2" sqref="B2"/>
    </sheetView>
  </sheetViews>
  <sheetFormatPr defaultRowHeight="14.5" x14ac:dyDescent="0.35"/>
  <cols>
    <col min="1" max="1" width="4.26953125" customWidth="1"/>
    <col min="2" max="2" width="13.7265625" customWidth="1"/>
    <col min="3" max="9" width="22.26953125" customWidth="1"/>
  </cols>
  <sheetData>
    <row r="2" spans="2:9" ht="18.5" x14ac:dyDescent="0.45">
      <c r="B2" s="5"/>
      <c r="C2" s="9" t="s">
        <v>5</v>
      </c>
      <c r="D2" s="9" t="s">
        <v>0</v>
      </c>
      <c r="E2" s="9" t="s">
        <v>4</v>
      </c>
      <c r="F2" s="9" t="s">
        <v>6</v>
      </c>
      <c r="G2" s="9" t="s">
        <v>7</v>
      </c>
      <c r="H2" s="9" t="s">
        <v>23</v>
      </c>
      <c r="I2" s="9" t="s">
        <v>24</v>
      </c>
    </row>
    <row r="3" spans="2:9" ht="77" customHeight="1" x14ac:dyDescent="0.35">
      <c r="B3" s="6" t="s">
        <v>1</v>
      </c>
      <c r="C3" s="3" t="s">
        <v>20</v>
      </c>
      <c r="D3" s="3" t="s">
        <v>8</v>
      </c>
      <c r="E3" s="3" t="s">
        <v>11</v>
      </c>
      <c r="F3" s="3" t="s">
        <v>15</v>
      </c>
      <c r="G3" s="3" t="s">
        <v>19</v>
      </c>
      <c r="H3" s="3" t="s">
        <v>29</v>
      </c>
      <c r="I3" s="3" t="s">
        <v>30</v>
      </c>
    </row>
    <row r="4" spans="2:9" ht="77" customHeight="1" x14ac:dyDescent="0.35">
      <c r="B4" s="7" t="s">
        <v>2</v>
      </c>
      <c r="C4" s="3" t="s">
        <v>21</v>
      </c>
      <c r="D4" s="3" t="s">
        <v>9</v>
      </c>
      <c r="E4" s="3" t="s">
        <v>12</v>
      </c>
      <c r="F4" s="3" t="s">
        <v>16</v>
      </c>
      <c r="G4" s="3" t="s">
        <v>18</v>
      </c>
      <c r="H4" s="3" t="s">
        <v>26</v>
      </c>
      <c r="I4" s="3" t="s">
        <v>28</v>
      </c>
    </row>
    <row r="5" spans="2:9" ht="77" customHeight="1" x14ac:dyDescent="0.35">
      <c r="B5" s="8" t="s">
        <v>3</v>
      </c>
      <c r="C5" s="3" t="s">
        <v>22</v>
      </c>
      <c r="D5" s="3" t="s">
        <v>10</v>
      </c>
      <c r="E5" s="3" t="s">
        <v>13</v>
      </c>
      <c r="F5" s="3" t="s">
        <v>14</v>
      </c>
      <c r="G5" s="3" t="s">
        <v>17</v>
      </c>
      <c r="H5" s="3" t="s">
        <v>25</v>
      </c>
      <c r="I5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FB71-83E1-4E08-9F01-27A291D924EF}">
  <sheetPr>
    <tabColor theme="0" tint="-0.499984740745262"/>
  </sheetPr>
  <dimension ref="B1:U18"/>
  <sheetViews>
    <sheetView showGridLines="0" topLeftCell="F1" zoomScale="40" zoomScaleNormal="40" workbookViewId="0">
      <pane ySplit="4" topLeftCell="A7" activePane="bottomLeft" state="frozen"/>
      <selection activeCell="I21" sqref="I21"/>
      <selection pane="bottomLeft" activeCell="B3" sqref="B3:U15"/>
    </sheetView>
  </sheetViews>
  <sheetFormatPr defaultColWidth="14.453125" defaultRowHeight="15.75" customHeight="1" x14ac:dyDescent="0.35"/>
  <cols>
    <col min="1" max="1" width="3.453125" style="10" customWidth="1"/>
    <col min="2" max="2" width="70.453125" customWidth="1"/>
    <col min="3" max="3" width="10.08984375" bestFit="1" customWidth="1"/>
    <col min="4" max="4" width="3.81640625" customWidth="1"/>
    <col min="5" max="5" width="64.90625" customWidth="1"/>
    <col min="6" max="6" width="10.08984375" bestFit="1" customWidth="1"/>
    <col min="7" max="7" width="3.81640625" customWidth="1"/>
    <col min="8" max="8" width="58.54296875" customWidth="1"/>
    <col min="9" max="9" width="10.08984375" bestFit="1" customWidth="1"/>
    <col min="10" max="10" width="3.81640625" customWidth="1"/>
    <col min="11" max="11" width="66.6328125" customWidth="1"/>
    <col min="12" max="12" width="10.08984375" bestFit="1" customWidth="1"/>
    <col min="13" max="13" width="3.81640625" customWidth="1"/>
    <col min="14" max="14" width="63.6328125" customWidth="1"/>
    <col min="15" max="15" width="10.08984375" bestFit="1" customWidth="1"/>
    <col min="16" max="16" width="3.81640625" customWidth="1"/>
    <col min="17" max="17" width="52.81640625" customWidth="1"/>
    <col min="18" max="18" width="10.08984375" bestFit="1" customWidth="1"/>
    <col min="19" max="19" width="3.81640625" customWidth="1"/>
    <col min="20" max="20" width="44.36328125" customWidth="1"/>
    <col min="21" max="21" width="13.08984375" customWidth="1"/>
    <col min="22" max="22" width="4.54296875" style="10" customWidth="1"/>
    <col min="23" max="16384" width="14.453125" style="10"/>
  </cols>
  <sheetData>
    <row r="1" spans="2:21" ht="5.5" customHeight="1" x14ac:dyDescent="0.35"/>
    <row r="2" spans="2:21" ht="5" customHeight="1" x14ac:dyDescent="0.35"/>
    <row r="3" spans="2:21" s="12" customFormat="1" ht="58.5" customHeight="1" x14ac:dyDescent="0.6">
      <c r="B3" s="49" t="s">
        <v>5</v>
      </c>
      <c r="C3" s="50"/>
      <c r="D3" s="11"/>
      <c r="E3" s="49" t="s">
        <v>0</v>
      </c>
      <c r="F3" s="50"/>
      <c r="G3" s="11"/>
      <c r="H3" s="49" t="s">
        <v>4</v>
      </c>
      <c r="I3" s="50"/>
      <c r="J3" s="11"/>
      <c r="K3" s="49" t="s">
        <v>6</v>
      </c>
      <c r="L3" s="50"/>
      <c r="M3" s="11"/>
      <c r="N3" s="49" t="s">
        <v>7</v>
      </c>
      <c r="O3" s="50"/>
      <c r="P3" s="11"/>
      <c r="Q3" s="49" t="s">
        <v>23</v>
      </c>
      <c r="R3" s="50"/>
      <c r="S3" s="11"/>
      <c r="T3" s="49" t="s">
        <v>113</v>
      </c>
      <c r="U3" s="50"/>
    </row>
    <row r="4" spans="2:21" ht="5.5" customHeight="1" x14ac:dyDescent="0.35"/>
    <row r="5" spans="2:21" ht="5.5" customHeight="1" x14ac:dyDescent="0.35">
      <c r="B5" s="13"/>
      <c r="C5" s="13"/>
      <c r="E5" s="13"/>
      <c r="F5" s="13"/>
      <c r="H5" s="13"/>
      <c r="I5" s="13"/>
      <c r="K5" s="13"/>
      <c r="L5" s="13"/>
      <c r="N5" s="13"/>
      <c r="O5" s="13"/>
      <c r="Q5" s="13"/>
      <c r="R5" s="13"/>
      <c r="S5" s="10"/>
      <c r="T5" s="13"/>
      <c r="U5" s="13"/>
    </row>
    <row r="6" spans="2:21" s="18" customFormat="1" ht="65" customHeight="1" x14ac:dyDescent="0.35">
      <c r="B6" s="14" t="s">
        <v>31</v>
      </c>
      <c r="C6" s="15" t="s">
        <v>32</v>
      </c>
      <c r="D6" s="17"/>
      <c r="E6" s="14" t="s">
        <v>33</v>
      </c>
      <c r="F6" s="15" t="s">
        <v>32</v>
      </c>
      <c r="G6" s="17"/>
      <c r="H6" s="14" t="s">
        <v>87</v>
      </c>
      <c r="I6" s="15" t="s">
        <v>32</v>
      </c>
      <c r="J6" s="17"/>
      <c r="K6" s="14" t="s">
        <v>34</v>
      </c>
      <c r="L6" s="15" t="s">
        <v>32</v>
      </c>
      <c r="M6" s="17"/>
      <c r="N6" s="14" t="s">
        <v>35</v>
      </c>
      <c r="O6" s="15" t="s">
        <v>32</v>
      </c>
      <c r="P6" s="17"/>
      <c r="Q6" s="14" t="s">
        <v>36</v>
      </c>
      <c r="R6" s="15" t="s">
        <v>32</v>
      </c>
      <c r="S6" s="17"/>
      <c r="T6" s="14" t="s">
        <v>49</v>
      </c>
      <c r="U6" s="15" t="s">
        <v>32</v>
      </c>
    </row>
    <row r="7" spans="2:21" s="18" customFormat="1" ht="65" customHeight="1" x14ac:dyDescent="0.35">
      <c r="B7" s="14" t="s">
        <v>37</v>
      </c>
      <c r="C7" s="15" t="s">
        <v>32</v>
      </c>
      <c r="D7" s="17"/>
      <c r="E7" s="14" t="s">
        <v>38</v>
      </c>
      <c r="F7" s="15" t="s">
        <v>32</v>
      </c>
      <c r="G7" s="17"/>
      <c r="H7" s="14" t="s">
        <v>89</v>
      </c>
      <c r="I7" s="15" t="s">
        <v>32</v>
      </c>
      <c r="J7" s="17"/>
      <c r="K7" s="14" t="s">
        <v>39</v>
      </c>
      <c r="L7" s="15" t="s">
        <v>32</v>
      </c>
      <c r="M7" s="17"/>
      <c r="N7" s="14" t="s">
        <v>40</v>
      </c>
      <c r="O7" s="15" t="s">
        <v>32</v>
      </c>
      <c r="P7" s="17"/>
      <c r="Q7" s="14" t="s">
        <v>73</v>
      </c>
      <c r="R7" s="15" t="s">
        <v>32</v>
      </c>
      <c r="S7" s="17"/>
      <c r="T7" s="14" t="s">
        <v>80</v>
      </c>
      <c r="U7" s="15" t="s">
        <v>32</v>
      </c>
    </row>
    <row r="8" spans="2:21" s="18" customFormat="1" ht="65" customHeight="1" x14ac:dyDescent="0.35">
      <c r="B8" s="14" t="s">
        <v>41</v>
      </c>
      <c r="C8" s="15" t="s">
        <v>32</v>
      </c>
      <c r="D8" s="17"/>
      <c r="E8" s="14" t="s">
        <v>42</v>
      </c>
      <c r="F8" s="15" t="s">
        <v>32</v>
      </c>
      <c r="G8" s="17"/>
      <c r="H8" s="14" t="s">
        <v>88</v>
      </c>
      <c r="I8" s="15" t="s">
        <v>32</v>
      </c>
      <c r="J8" s="17"/>
      <c r="K8" s="14" t="s">
        <v>43</v>
      </c>
      <c r="L8" s="15" t="s">
        <v>32</v>
      </c>
      <c r="M8" s="17"/>
      <c r="N8" s="14" t="s">
        <v>93</v>
      </c>
      <c r="O8" s="15" t="s">
        <v>32</v>
      </c>
      <c r="P8" s="17"/>
      <c r="Q8" s="14" t="s">
        <v>75</v>
      </c>
      <c r="R8" s="15" t="s">
        <v>32</v>
      </c>
      <c r="S8" s="17"/>
      <c r="T8" s="14" t="s">
        <v>81</v>
      </c>
      <c r="U8" s="15" t="s">
        <v>32</v>
      </c>
    </row>
    <row r="9" spans="2:21" s="18" customFormat="1" ht="65" customHeight="1" x14ac:dyDescent="0.35">
      <c r="B9" s="14" t="s">
        <v>44</v>
      </c>
      <c r="C9" s="15" t="s">
        <v>32</v>
      </c>
      <c r="D9" s="17"/>
      <c r="E9" s="14" t="s">
        <v>45</v>
      </c>
      <c r="F9" s="15" t="s">
        <v>32</v>
      </c>
      <c r="G9" s="17"/>
      <c r="H9" s="14" t="s">
        <v>94</v>
      </c>
      <c r="I9" s="15" t="s">
        <v>32</v>
      </c>
      <c r="J9" s="17"/>
      <c r="K9" s="14" t="s">
        <v>47</v>
      </c>
      <c r="L9" s="15" t="s">
        <v>32</v>
      </c>
      <c r="M9" s="17"/>
      <c r="N9" s="14" t="s">
        <v>48</v>
      </c>
      <c r="O9" s="15" t="s">
        <v>32</v>
      </c>
      <c r="P9" s="17"/>
      <c r="Q9" s="14" t="s">
        <v>74</v>
      </c>
      <c r="R9" s="15" t="s">
        <v>32</v>
      </c>
      <c r="S9" s="17"/>
      <c r="T9" s="14" t="s">
        <v>82</v>
      </c>
      <c r="U9" s="15" t="s">
        <v>32</v>
      </c>
    </row>
    <row r="10" spans="2:21" s="18" customFormat="1" ht="65" customHeight="1" x14ac:dyDescent="0.35">
      <c r="B10" s="14" t="s">
        <v>50</v>
      </c>
      <c r="C10" s="15" t="s">
        <v>32</v>
      </c>
      <c r="D10" s="17"/>
      <c r="E10" s="14" t="s">
        <v>51</v>
      </c>
      <c r="F10" s="15" t="s">
        <v>32</v>
      </c>
      <c r="G10" s="17"/>
      <c r="H10" s="14" t="s">
        <v>95</v>
      </c>
      <c r="I10" s="15" t="s">
        <v>32</v>
      </c>
      <c r="J10" s="17"/>
      <c r="K10" s="14" t="s">
        <v>52</v>
      </c>
      <c r="L10" s="15" t="s">
        <v>32</v>
      </c>
      <c r="M10" s="17"/>
      <c r="N10" s="14" t="s">
        <v>53</v>
      </c>
      <c r="O10" s="15" t="s">
        <v>32</v>
      </c>
      <c r="P10" s="17"/>
      <c r="Q10" s="14" t="s">
        <v>76</v>
      </c>
      <c r="R10" s="15" t="s">
        <v>32</v>
      </c>
      <c r="S10" s="17"/>
      <c r="T10" s="14" t="s">
        <v>83</v>
      </c>
      <c r="U10" s="15" t="s">
        <v>32</v>
      </c>
    </row>
    <row r="11" spans="2:21" s="18" customFormat="1" ht="65" customHeight="1" x14ac:dyDescent="0.35">
      <c r="B11" s="14" t="s">
        <v>54</v>
      </c>
      <c r="C11" s="15" t="s">
        <v>32</v>
      </c>
      <c r="D11" s="17"/>
      <c r="E11" s="14" t="s">
        <v>55</v>
      </c>
      <c r="F11" s="19" t="s">
        <v>46</v>
      </c>
      <c r="G11" s="17"/>
      <c r="H11" s="14" t="s">
        <v>96</v>
      </c>
      <c r="I11" s="15" t="s">
        <v>32</v>
      </c>
      <c r="J11" s="17"/>
      <c r="K11" s="14" t="s">
        <v>56</v>
      </c>
      <c r="L11" s="19" t="s">
        <v>46</v>
      </c>
      <c r="M11" s="17"/>
      <c r="N11" s="14" t="s">
        <v>57</v>
      </c>
      <c r="O11" s="15" t="s">
        <v>32</v>
      </c>
      <c r="P11" s="17"/>
      <c r="Q11" s="14" t="s">
        <v>77</v>
      </c>
      <c r="R11" s="19" t="s">
        <v>46</v>
      </c>
      <c r="S11" s="17"/>
      <c r="T11" s="14" t="s">
        <v>84</v>
      </c>
      <c r="U11" s="19" t="s">
        <v>46</v>
      </c>
    </row>
    <row r="12" spans="2:21" s="18" customFormat="1" ht="65" customHeight="1" x14ac:dyDescent="0.35">
      <c r="B12" s="14" t="s">
        <v>58</v>
      </c>
      <c r="C12" s="15" t="s">
        <v>32</v>
      </c>
      <c r="D12" s="17"/>
      <c r="E12" s="14" t="s">
        <v>59</v>
      </c>
      <c r="F12" s="19" t="s">
        <v>46</v>
      </c>
      <c r="G12" s="17"/>
      <c r="H12" s="14" t="s">
        <v>97</v>
      </c>
      <c r="I12" s="19" t="s">
        <v>46</v>
      </c>
      <c r="J12" s="17"/>
      <c r="K12" s="14" t="s">
        <v>60</v>
      </c>
      <c r="L12" s="19" t="s">
        <v>46</v>
      </c>
      <c r="M12" s="17"/>
      <c r="N12" s="14" t="s">
        <v>61</v>
      </c>
      <c r="O12" s="15" t="s">
        <v>32</v>
      </c>
      <c r="P12" s="17"/>
      <c r="Q12" s="14" t="s">
        <v>78</v>
      </c>
      <c r="R12" s="19" t="s">
        <v>46</v>
      </c>
      <c r="S12" s="17"/>
      <c r="T12" s="14" t="s">
        <v>85</v>
      </c>
      <c r="U12" s="19" t="s">
        <v>46</v>
      </c>
    </row>
    <row r="13" spans="2:21" s="18" customFormat="1" ht="65" customHeight="1" x14ac:dyDescent="0.35">
      <c r="B13" s="14" t="s">
        <v>62</v>
      </c>
      <c r="C13" s="19" t="s">
        <v>46</v>
      </c>
      <c r="D13" s="17"/>
      <c r="E13" s="14" t="s">
        <v>91</v>
      </c>
      <c r="F13" s="19" t="s">
        <v>46</v>
      </c>
      <c r="G13" s="17"/>
      <c r="H13" s="14" t="s">
        <v>98</v>
      </c>
      <c r="I13" s="19" t="s">
        <v>46</v>
      </c>
      <c r="J13" s="17"/>
      <c r="K13" s="14" t="s">
        <v>63</v>
      </c>
      <c r="L13" s="19" t="s">
        <v>46</v>
      </c>
      <c r="M13" s="17"/>
      <c r="N13" s="14" t="s">
        <v>64</v>
      </c>
      <c r="O13" s="19" t="s">
        <v>46</v>
      </c>
      <c r="P13" s="17"/>
      <c r="Q13" s="14" t="s">
        <v>79</v>
      </c>
      <c r="R13" s="20" t="s">
        <v>65</v>
      </c>
      <c r="S13" s="17"/>
      <c r="T13" s="14" t="s">
        <v>86</v>
      </c>
      <c r="U13" s="20" t="s">
        <v>65</v>
      </c>
    </row>
    <row r="14" spans="2:21" s="18" customFormat="1" ht="65" customHeight="1" x14ac:dyDescent="0.35">
      <c r="B14" s="14" t="s">
        <v>66</v>
      </c>
      <c r="C14" s="20" t="s">
        <v>65</v>
      </c>
      <c r="D14" s="17"/>
      <c r="E14" s="14" t="s">
        <v>92</v>
      </c>
      <c r="F14" s="20" t="s">
        <v>65</v>
      </c>
      <c r="G14" s="17"/>
      <c r="H14" s="14"/>
      <c r="I14" s="19" t="s">
        <v>46</v>
      </c>
      <c r="J14" s="17"/>
      <c r="K14" s="14" t="s">
        <v>67</v>
      </c>
      <c r="L14" s="19" t="s">
        <v>46</v>
      </c>
      <c r="M14" s="17"/>
      <c r="N14" s="14" t="s">
        <v>68</v>
      </c>
      <c r="O14" s="19" t="s">
        <v>46</v>
      </c>
      <c r="P14" s="17"/>
      <c r="Q14" s="14"/>
      <c r="R14" s="14"/>
      <c r="S14" s="17"/>
      <c r="T14" s="14"/>
      <c r="U14" s="16"/>
    </row>
    <row r="15" spans="2:21" s="18" customFormat="1" ht="65" customHeight="1" x14ac:dyDescent="0.35">
      <c r="B15" s="14" t="s">
        <v>69</v>
      </c>
      <c r="C15" s="20" t="s">
        <v>65</v>
      </c>
      <c r="D15" s="17"/>
      <c r="E15" s="14" t="s">
        <v>70</v>
      </c>
      <c r="F15" s="20" t="s">
        <v>65</v>
      </c>
      <c r="G15" s="17"/>
      <c r="H15" s="14"/>
      <c r="I15" s="20" t="s">
        <v>65</v>
      </c>
      <c r="J15" s="17"/>
      <c r="K15" s="14" t="s">
        <v>71</v>
      </c>
      <c r="L15" s="20" t="s">
        <v>65</v>
      </c>
      <c r="M15" s="17"/>
      <c r="N15" s="14" t="s">
        <v>72</v>
      </c>
      <c r="O15" s="20" t="s">
        <v>65</v>
      </c>
      <c r="P15" s="17"/>
      <c r="Q15" s="14"/>
      <c r="R15" s="14"/>
      <c r="S15" s="17"/>
      <c r="T15" s="14"/>
      <c r="U15" s="16"/>
    </row>
    <row r="16" spans="2:21" ht="6" customHeight="1" x14ac:dyDescent="0.35">
      <c r="R16" s="10"/>
      <c r="S16" s="10"/>
    </row>
    <row r="17" ht="14.5" x14ac:dyDescent="0.35"/>
    <row r="18" ht="14.5" x14ac:dyDescent="0.35"/>
  </sheetData>
  <mergeCells count="7">
    <mergeCell ref="Q3:R3"/>
    <mergeCell ref="T3:U3"/>
    <mergeCell ref="B3:C3"/>
    <mergeCell ref="E3:F3"/>
    <mergeCell ref="H3:I3"/>
    <mergeCell ref="K3:L3"/>
    <mergeCell ref="N3:O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9596-E8D8-4556-A1C8-E3198C351C7D}">
  <sheetPr>
    <tabColor theme="0" tint="-0.499984740745262"/>
  </sheetPr>
  <dimension ref="B1:Y32"/>
  <sheetViews>
    <sheetView showGridLines="0" topLeftCell="K1" zoomScale="30" zoomScaleNormal="30" workbookViewId="0">
      <pane ySplit="4" topLeftCell="A11" activePane="bottomLeft" state="frozen"/>
      <selection activeCell="I21" sqref="I21"/>
      <selection pane="bottomLeft" activeCell="O3" sqref="O3:Y32"/>
    </sheetView>
  </sheetViews>
  <sheetFormatPr defaultColWidth="14.453125" defaultRowHeight="15.75" customHeight="1" x14ac:dyDescent="0.35"/>
  <cols>
    <col min="1" max="1" width="3.453125" style="10" customWidth="1"/>
    <col min="2" max="2" width="3.81640625" customWidth="1"/>
    <col min="3" max="3" width="52.6328125" bestFit="1" customWidth="1"/>
    <col min="4" max="4" width="3.54296875" customWidth="1"/>
    <col min="5" max="5" width="106.453125" customWidth="1"/>
    <col min="6" max="6" width="3.81640625" customWidth="1"/>
    <col min="7" max="7" width="52.6328125" bestFit="1" customWidth="1"/>
    <col min="8" max="8" width="3.54296875" customWidth="1"/>
    <col min="9" max="9" width="106.453125" customWidth="1"/>
    <col min="10" max="10" width="3.81640625" customWidth="1"/>
    <col min="11" max="11" width="52.6328125" bestFit="1" customWidth="1"/>
    <col min="12" max="12" width="3.54296875" customWidth="1"/>
    <col min="13" max="13" width="152.54296875" customWidth="1"/>
    <col min="14" max="14" width="3.81640625" customWidth="1"/>
    <col min="15" max="15" width="52.6328125" bestFit="1" customWidth="1"/>
    <col min="16" max="16" width="3.54296875" customWidth="1"/>
    <col min="17" max="17" width="106.453125" customWidth="1"/>
    <col min="18" max="18" width="3.81640625" customWidth="1"/>
    <col min="19" max="19" width="52.6328125" bestFit="1" customWidth="1"/>
    <col min="20" max="20" width="3.54296875" customWidth="1"/>
    <col min="21" max="21" width="131.6328125" bestFit="1" customWidth="1"/>
    <col min="22" max="22" width="3.81640625" customWidth="1"/>
    <col min="23" max="23" width="52.6328125" bestFit="1" customWidth="1"/>
    <col min="24" max="24" width="3.54296875" customWidth="1"/>
    <col min="25" max="25" width="106.453125" customWidth="1"/>
    <col min="26" max="16384" width="14.453125" style="10"/>
  </cols>
  <sheetData>
    <row r="1" spans="2:25" ht="5.5" customHeight="1" x14ac:dyDescent="0.35"/>
    <row r="2" spans="2:25" ht="5" customHeight="1" x14ac:dyDescent="0.35"/>
    <row r="3" spans="2:25" s="12" customFormat="1" ht="58.5" customHeight="1" x14ac:dyDescent="0.6">
      <c r="B3" s="11"/>
      <c r="C3" s="51" t="s">
        <v>0</v>
      </c>
      <c r="D3" s="52"/>
      <c r="E3" s="52"/>
      <c r="F3" s="11"/>
      <c r="G3" s="51" t="s">
        <v>4</v>
      </c>
      <c r="H3" s="52"/>
      <c r="I3" s="52"/>
      <c r="J3" s="11"/>
      <c r="K3" s="51" t="s">
        <v>6</v>
      </c>
      <c r="L3" s="52"/>
      <c r="M3" s="52"/>
      <c r="N3" s="11"/>
      <c r="O3" s="51" t="s">
        <v>7</v>
      </c>
      <c r="P3" s="52"/>
      <c r="Q3" s="52"/>
      <c r="R3" s="11"/>
      <c r="S3" s="51" t="s">
        <v>23</v>
      </c>
      <c r="T3" s="52"/>
      <c r="U3" s="52"/>
      <c r="V3" s="11"/>
      <c r="W3" s="51" t="s">
        <v>113</v>
      </c>
      <c r="X3" s="52"/>
      <c r="Y3" s="52"/>
    </row>
    <row r="4" spans="2:25" ht="5.5" customHeight="1" x14ac:dyDescent="0.35"/>
    <row r="5" spans="2:25" ht="5.5" customHeight="1" x14ac:dyDescent="0.35">
      <c r="C5" s="13"/>
      <c r="E5" s="13"/>
      <c r="G5" s="13"/>
      <c r="I5" s="13"/>
      <c r="K5" s="13"/>
      <c r="M5" s="13"/>
      <c r="O5" s="13"/>
      <c r="Q5" s="13"/>
      <c r="S5" s="13"/>
      <c r="U5" s="13"/>
      <c r="W5" s="13"/>
      <c r="Y5" s="13"/>
    </row>
    <row r="6" spans="2:25" s="18" customFormat="1" ht="43.5" customHeight="1" x14ac:dyDescent="0.7">
      <c r="B6" s="32"/>
      <c r="C6" s="33" t="s">
        <v>114</v>
      </c>
      <c r="D6" s="32"/>
      <c r="E6" s="46" t="s">
        <v>110</v>
      </c>
      <c r="F6" s="32"/>
      <c r="G6" s="33" t="s">
        <v>114</v>
      </c>
      <c r="H6" s="32"/>
      <c r="I6" s="46" t="s">
        <v>107</v>
      </c>
      <c r="J6" s="32"/>
      <c r="K6" s="33" t="s">
        <v>114</v>
      </c>
      <c r="L6" s="32"/>
      <c r="M6" s="46" t="s">
        <v>182</v>
      </c>
      <c r="N6" s="32"/>
      <c r="O6" s="33" t="s">
        <v>114</v>
      </c>
      <c r="P6" s="32"/>
      <c r="Q6" s="46" t="s">
        <v>176</v>
      </c>
      <c r="R6" s="32"/>
      <c r="S6" s="33" t="s">
        <v>114</v>
      </c>
      <c r="T6" s="32"/>
      <c r="U6" s="46" t="s">
        <v>155</v>
      </c>
      <c r="V6" s="32"/>
      <c r="W6" s="33" t="s">
        <v>114</v>
      </c>
      <c r="X6" s="32"/>
      <c r="Y6" s="46" t="s">
        <v>183</v>
      </c>
    </row>
    <row r="7" spans="2:25" s="18" customFormat="1" ht="43.5" customHeight="1" x14ac:dyDescent="0.7">
      <c r="B7" s="32"/>
      <c r="C7" s="33" t="s">
        <v>115</v>
      </c>
      <c r="D7" s="32"/>
      <c r="E7" s="45" t="s">
        <v>145</v>
      </c>
      <c r="F7" s="32"/>
      <c r="G7" s="33" t="s">
        <v>115</v>
      </c>
      <c r="H7" s="32"/>
      <c r="I7" s="45" t="s">
        <v>145</v>
      </c>
      <c r="J7" s="32"/>
      <c r="K7" s="33" t="s">
        <v>115</v>
      </c>
      <c r="L7" s="32"/>
      <c r="M7" s="31" t="s">
        <v>104</v>
      </c>
      <c r="N7" s="32"/>
      <c r="O7" s="33" t="s">
        <v>115</v>
      </c>
      <c r="P7" s="32"/>
      <c r="Q7" s="45" t="s">
        <v>145</v>
      </c>
      <c r="R7" s="32"/>
      <c r="S7" s="33" t="s">
        <v>115</v>
      </c>
      <c r="T7" s="32"/>
      <c r="U7" s="45" t="s">
        <v>145</v>
      </c>
      <c r="V7" s="32"/>
      <c r="W7" s="33" t="s">
        <v>115</v>
      </c>
      <c r="X7" s="32"/>
      <c r="Y7" s="45" t="s">
        <v>145</v>
      </c>
    </row>
    <row r="8" spans="2:25" s="18" customFormat="1" ht="43.5" customHeight="1" x14ac:dyDescent="0.7">
      <c r="B8" s="32"/>
      <c r="C8" s="33" t="s">
        <v>116</v>
      </c>
      <c r="D8" s="32"/>
      <c r="E8" s="31"/>
      <c r="F8" s="32"/>
      <c r="G8" s="33" t="s">
        <v>116</v>
      </c>
      <c r="H8" s="32"/>
      <c r="I8" s="31"/>
      <c r="J8" s="32"/>
      <c r="K8" s="33" t="s">
        <v>116</v>
      </c>
      <c r="L8" s="32"/>
      <c r="M8" s="31"/>
      <c r="N8" s="32"/>
      <c r="O8" s="33" t="s">
        <v>116</v>
      </c>
      <c r="P8" s="32"/>
      <c r="Q8" s="31"/>
      <c r="R8" s="32"/>
      <c r="S8" s="33" t="s">
        <v>116</v>
      </c>
      <c r="T8" s="32"/>
      <c r="U8" s="31"/>
      <c r="V8" s="32"/>
      <c r="W8" s="33" t="s">
        <v>116</v>
      </c>
      <c r="X8" s="32"/>
      <c r="Y8" s="31"/>
    </row>
    <row r="9" spans="2:25" s="18" customFormat="1" ht="43.5" customHeight="1" x14ac:dyDescent="0.7">
      <c r="B9" s="32"/>
      <c r="C9" s="33" t="s">
        <v>117</v>
      </c>
      <c r="D9" s="32"/>
      <c r="E9" s="31"/>
      <c r="F9" s="32"/>
      <c r="G9" s="33" t="s">
        <v>117</v>
      </c>
      <c r="H9" s="32"/>
      <c r="I9" s="31"/>
      <c r="J9" s="32"/>
      <c r="K9" s="33" t="s">
        <v>117</v>
      </c>
      <c r="L9" s="32"/>
      <c r="M9" s="31"/>
      <c r="N9" s="32"/>
      <c r="O9" s="33" t="s">
        <v>117</v>
      </c>
      <c r="P9" s="32"/>
      <c r="Q9" s="31"/>
      <c r="R9" s="32"/>
      <c r="S9" s="33" t="s">
        <v>117</v>
      </c>
      <c r="T9" s="32"/>
      <c r="U9" s="31"/>
      <c r="V9" s="32"/>
      <c r="W9" s="33" t="s">
        <v>117</v>
      </c>
      <c r="X9" s="32"/>
      <c r="Y9" s="31"/>
    </row>
    <row r="10" spans="2:25" s="18" customFormat="1" ht="43.5" customHeight="1" x14ac:dyDescent="0.7">
      <c r="B10" s="32"/>
      <c r="C10" s="33" t="s">
        <v>118</v>
      </c>
      <c r="D10" s="32"/>
      <c r="E10" s="48" t="s">
        <v>152</v>
      </c>
      <c r="F10" s="32"/>
      <c r="G10" s="33" t="s">
        <v>118</v>
      </c>
      <c r="H10" s="32"/>
      <c r="I10" s="47" t="s">
        <v>151</v>
      </c>
      <c r="J10" s="32"/>
      <c r="K10" s="33" t="s">
        <v>118</v>
      </c>
      <c r="L10" s="32"/>
      <c r="M10" s="48" t="s">
        <v>152</v>
      </c>
      <c r="N10" s="32"/>
      <c r="O10" s="33" t="s">
        <v>118</v>
      </c>
      <c r="P10" s="32"/>
      <c r="Q10" s="47" t="s">
        <v>151</v>
      </c>
      <c r="R10" s="32"/>
      <c r="S10" s="33" t="s">
        <v>118</v>
      </c>
      <c r="T10" s="32"/>
      <c r="U10" s="48" t="s">
        <v>152</v>
      </c>
      <c r="V10" s="32"/>
      <c r="W10" s="33" t="s">
        <v>118</v>
      </c>
      <c r="X10" s="32"/>
      <c r="Y10" s="48" t="s">
        <v>152</v>
      </c>
    </row>
    <row r="11" spans="2:25" s="18" customFormat="1" ht="43.5" customHeight="1" x14ac:dyDescent="0.7">
      <c r="B11" s="32"/>
      <c r="C11" s="33" t="s">
        <v>119</v>
      </c>
      <c r="D11" s="32"/>
      <c r="E11" s="31" t="s">
        <v>147</v>
      </c>
      <c r="F11" s="32"/>
      <c r="G11" s="33" t="s">
        <v>119</v>
      </c>
      <c r="H11" s="32"/>
      <c r="I11" s="31" t="s">
        <v>148</v>
      </c>
      <c r="J11" s="32"/>
      <c r="K11" s="33" t="s">
        <v>119</v>
      </c>
      <c r="L11" s="32"/>
      <c r="M11" s="31" t="s">
        <v>163</v>
      </c>
      <c r="N11" s="32"/>
      <c r="O11" s="33" t="s">
        <v>119</v>
      </c>
      <c r="P11" s="32"/>
      <c r="Q11" s="31" t="s">
        <v>177</v>
      </c>
      <c r="R11" s="32" t="str">
        <f>UPPER(Q11)</f>
        <v xml:space="preserve">VALOR VENDIDO PELA EMPRESA NO MÊS </v>
      </c>
      <c r="S11" s="33" t="s">
        <v>119</v>
      </c>
      <c r="T11" s="32"/>
      <c r="U11" s="31" t="s">
        <v>154</v>
      </c>
      <c r="V11" s="32"/>
      <c r="W11" s="33" t="s">
        <v>119</v>
      </c>
      <c r="X11" s="32"/>
      <c r="Y11" s="31" t="s">
        <v>184</v>
      </c>
    </row>
    <row r="13" spans="2:25" s="18" customFormat="1" ht="43.5" customHeight="1" x14ac:dyDescent="0.7">
      <c r="B13" s="32"/>
      <c r="C13" s="33" t="s">
        <v>114</v>
      </c>
      <c r="D13" s="32"/>
      <c r="E13" s="46" t="s">
        <v>168</v>
      </c>
      <c r="F13" s="32"/>
      <c r="G13" s="33" t="s">
        <v>114</v>
      </c>
      <c r="H13" s="32"/>
      <c r="I13" s="46" t="s">
        <v>108</v>
      </c>
      <c r="J13" s="32"/>
      <c r="K13" s="33" t="s">
        <v>114</v>
      </c>
      <c r="L13" s="32"/>
      <c r="M13" s="46" t="s">
        <v>164</v>
      </c>
      <c r="N13" s="32"/>
      <c r="O13" s="33" t="s">
        <v>114</v>
      </c>
      <c r="P13" s="32"/>
      <c r="Q13" s="46" t="s">
        <v>178</v>
      </c>
      <c r="R13" s="32"/>
      <c r="S13" s="33" t="s">
        <v>114</v>
      </c>
      <c r="T13" s="32"/>
      <c r="U13" s="46" t="s">
        <v>112</v>
      </c>
      <c r="V13" s="32"/>
      <c r="W13" s="33" t="s">
        <v>114</v>
      </c>
      <c r="X13" s="32"/>
      <c r="Y13" s="46" t="s">
        <v>185</v>
      </c>
    </row>
    <row r="14" spans="2:25" s="18" customFormat="1" ht="43.5" customHeight="1" x14ac:dyDescent="0.7">
      <c r="B14" s="32"/>
      <c r="C14" s="33" t="s">
        <v>115</v>
      </c>
      <c r="D14" s="32"/>
      <c r="E14" s="45" t="s">
        <v>146</v>
      </c>
      <c r="F14" s="32"/>
      <c r="G14" s="33" t="s">
        <v>115</v>
      </c>
      <c r="H14" s="32"/>
      <c r="I14" s="45" t="s">
        <v>146</v>
      </c>
      <c r="J14" s="32"/>
      <c r="K14" s="33" t="s">
        <v>115</v>
      </c>
      <c r="L14" s="32"/>
      <c r="M14" s="31" t="s">
        <v>146</v>
      </c>
      <c r="N14" s="32"/>
      <c r="O14" s="33" t="s">
        <v>115</v>
      </c>
      <c r="P14" s="32"/>
      <c r="Q14" s="45" t="s">
        <v>145</v>
      </c>
      <c r="R14" s="32"/>
      <c r="S14" s="33" t="s">
        <v>115</v>
      </c>
      <c r="T14" s="32"/>
      <c r="U14" s="45" t="s">
        <v>146</v>
      </c>
      <c r="V14" s="32"/>
      <c r="W14" s="33" t="s">
        <v>115</v>
      </c>
      <c r="X14" s="32"/>
      <c r="Y14" s="45" t="s">
        <v>146</v>
      </c>
    </row>
    <row r="15" spans="2:25" s="18" customFormat="1" ht="43.5" customHeight="1" x14ac:dyDescent="0.7">
      <c r="B15" s="32"/>
      <c r="C15" s="33" t="s">
        <v>116</v>
      </c>
      <c r="D15" s="32"/>
      <c r="E15" s="31"/>
      <c r="F15" s="32"/>
      <c r="G15" s="33" t="s">
        <v>116</v>
      </c>
      <c r="H15" s="32"/>
      <c r="I15" s="31"/>
      <c r="J15" s="32"/>
      <c r="K15" s="33" t="s">
        <v>116</v>
      </c>
      <c r="L15" s="32"/>
      <c r="M15" s="31"/>
      <c r="N15" s="32"/>
      <c r="O15" s="33" t="s">
        <v>116</v>
      </c>
      <c r="P15" s="32"/>
      <c r="Q15" s="31"/>
      <c r="R15" s="32"/>
      <c r="S15" s="33" t="s">
        <v>116</v>
      </c>
      <c r="T15" s="32"/>
      <c r="U15" s="31"/>
      <c r="V15" s="32"/>
      <c r="W15" s="33" t="s">
        <v>116</v>
      </c>
      <c r="X15" s="32"/>
      <c r="Y15" s="31"/>
    </row>
    <row r="16" spans="2:25" s="18" customFormat="1" ht="43.5" customHeight="1" x14ac:dyDescent="0.7">
      <c r="B16" s="32"/>
      <c r="C16" s="33" t="s">
        <v>117</v>
      </c>
      <c r="D16" s="32"/>
      <c r="E16" s="31"/>
      <c r="F16" s="32"/>
      <c r="G16" s="33" t="s">
        <v>117</v>
      </c>
      <c r="H16" s="32"/>
      <c r="I16" s="31"/>
      <c r="J16" s="32"/>
      <c r="K16" s="33" t="s">
        <v>117</v>
      </c>
      <c r="L16" s="32"/>
      <c r="M16" s="31"/>
      <c r="N16" s="32"/>
      <c r="O16" s="33" t="s">
        <v>117</v>
      </c>
      <c r="P16" s="32"/>
      <c r="Q16" s="31"/>
      <c r="R16" s="32"/>
      <c r="S16" s="33" t="s">
        <v>117</v>
      </c>
      <c r="T16" s="32"/>
      <c r="U16" s="31"/>
      <c r="V16" s="32"/>
      <c r="W16" s="33" t="s">
        <v>117</v>
      </c>
      <c r="X16" s="32"/>
      <c r="Y16" s="31"/>
    </row>
    <row r="17" spans="2:25" s="18" customFormat="1" ht="43.5" customHeight="1" x14ac:dyDescent="0.7">
      <c r="B17" s="32"/>
      <c r="C17" s="33" t="s">
        <v>118</v>
      </c>
      <c r="D17" s="32"/>
      <c r="E17" s="47" t="s">
        <v>151</v>
      </c>
      <c r="F17" s="32"/>
      <c r="G17" s="33" t="s">
        <v>118</v>
      </c>
      <c r="H17" s="32"/>
      <c r="I17" s="47" t="s">
        <v>151</v>
      </c>
      <c r="J17" s="32"/>
      <c r="K17" s="33" t="s">
        <v>118</v>
      </c>
      <c r="L17" s="32"/>
      <c r="M17" s="48" t="s">
        <v>152</v>
      </c>
      <c r="N17" s="32"/>
      <c r="O17" s="33" t="s">
        <v>118</v>
      </c>
      <c r="P17" s="32"/>
      <c r="Q17" s="48" t="s">
        <v>152</v>
      </c>
      <c r="R17" s="32"/>
      <c r="S17" s="33" t="s">
        <v>118</v>
      </c>
      <c r="T17" s="32"/>
      <c r="U17" s="48" t="s">
        <v>152</v>
      </c>
      <c r="V17" s="32"/>
      <c r="W17" s="33" t="s">
        <v>118</v>
      </c>
      <c r="X17" s="32"/>
      <c r="Y17" s="48" t="s">
        <v>152</v>
      </c>
    </row>
    <row r="18" spans="2:25" s="18" customFormat="1" ht="43.5" customHeight="1" x14ac:dyDescent="0.7">
      <c r="B18" s="32"/>
      <c r="C18" s="33" t="s">
        <v>119</v>
      </c>
      <c r="D18" s="32"/>
      <c r="E18" s="31" t="s">
        <v>169</v>
      </c>
      <c r="F18" s="32"/>
      <c r="G18" s="33" t="s">
        <v>119</v>
      </c>
      <c r="H18" s="32"/>
      <c r="I18" s="31" t="s">
        <v>149</v>
      </c>
      <c r="J18" s="32"/>
      <c r="K18" s="33" t="s">
        <v>119</v>
      </c>
      <c r="L18" s="32"/>
      <c r="M18" s="31" t="s">
        <v>165</v>
      </c>
      <c r="N18" s="32"/>
      <c r="O18" s="33" t="s">
        <v>119</v>
      </c>
      <c r="P18" s="32"/>
      <c r="Q18" s="31" t="s">
        <v>179</v>
      </c>
      <c r="R18" s="32"/>
      <c r="S18" s="33" t="s">
        <v>119</v>
      </c>
      <c r="T18" s="32"/>
      <c r="U18" s="31" t="s">
        <v>153</v>
      </c>
      <c r="V18" s="32"/>
      <c r="W18" s="33" t="s">
        <v>119</v>
      </c>
      <c r="X18" s="32"/>
      <c r="Y18" s="31" t="s">
        <v>186</v>
      </c>
    </row>
    <row r="20" spans="2:25" s="18" customFormat="1" ht="43.5" customHeight="1" x14ac:dyDescent="0.7">
      <c r="B20" s="32"/>
      <c r="C20" s="33" t="s">
        <v>114</v>
      </c>
      <c r="D20" s="32"/>
      <c r="E20" s="46" t="s">
        <v>111</v>
      </c>
      <c r="F20" s="32"/>
      <c r="G20" s="33" t="s">
        <v>114</v>
      </c>
      <c r="H20" s="32"/>
      <c r="I20" s="46" t="s">
        <v>109</v>
      </c>
      <c r="J20" s="32"/>
      <c r="K20" s="33" t="s">
        <v>114</v>
      </c>
      <c r="L20" s="32"/>
      <c r="M20" s="46" t="s">
        <v>161</v>
      </c>
      <c r="N20" s="32"/>
      <c r="O20" s="33" t="s">
        <v>114</v>
      </c>
      <c r="P20" s="32"/>
      <c r="Q20" s="46" t="s">
        <v>173</v>
      </c>
      <c r="R20" s="32"/>
      <c r="S20" s="33" t="s">
        <v>114</v>
      </c>
      <c r="T20" s="32"/>
      <c r="U20" s="46" t="s">
        <v>156</v>
      </c>
      <c r="V20" s="32"/>
      <c r="W20" s="33" t="s">
        <v>114</v>
      </c>
      <c r="X20" s="32"/>
      <c r="Y20" s="46" t="s">
        <v>187</v>
      </c>
    </row>
    <row r="21" spans="2:25" s="18" customFormat="1" ht="43.5" customHeight="1" x14ac:dyDescent="0.7">
      <c r="B21" s="32"/>
      <c r="C21" s="33" t="s">
        <v>115</v>
      </c>
      <c r="D21" s="32"/>
      <c r="E21" s="45" t="s">
        <v>145</v>
      </c>
      <c r="F21" s="32"/>
      <c r="G21" s="33" t="s">
        <v>115</v>
      </c>
      <c r="H21" s="32"/>
      <c r="I21" s="45" t="s">
        <v>145</v>
      </c>
      <c r="J21" s="32"/>
      <c r="K21" s="33" t="s">
        <v>115</v>
      </c>
      <c r="L21" s="32"/>
      <c r="M21" s="31" t="s">
        <v>159</v>
      </c>
      <c r="N21" s="32"/>
      <c r="O21" s="33" t="s">
        <v>115</v>
      </c>
      <c r="P21" s="32"/>
      <c r="Q21" s="60" t="s">
        <v>104</v>
      </c>
      <c r="R21" s="32"/>
      <c r="S21" s="33" t="s">
        <v>115</v>
      </c>
      <c r="T21" s="32"/>
      <c r="U21" s="60" t="s">
        <v>104</v>
      </c>
      <c r="V21" s="32"/>
      <c r="W21" s="33" t="s">
        <v>115</v>
      </c>
      <c r="X21" s="32"/>
      <c r="Y21" s="45" t="s">
        <v>145</v>
      </c>
    </row>
    <row r="22" spans="2:25" s="18" customFormat="1" ht="43.5" customHeight="1" x14ac:dyDescent="0.7">
      <c r="B22" s="32"/>
      <c r="C22" s="33" t="s">
        <v>116</v>
      </c>
      <c r="D22" s="32"/>
      <c r="E22" s="31"/>
      <c r="F22" s="32"/>
      <c r="G22" s="33" t="s">
        <v>116</v>
      </c>
      <c r="H22" s="32"/>
      <c r="I22" s="31"/>
      <c r="J22" s="32"/>
      <c r="K22" s="33" t="s">
        <v>116</v>
      </c>
      <c r="L22" s="32"/>
      <c r="M22" s="31"/>
      <c r="N22" s="32"/>
      <c r="O22" s="33" t="s">
        <v>116</v>
      </c>
      <c r="P22" s="32"/>
      <c r="Q22" s="31"/>
      <c r="R22" s="32"/>
      <c r="S22" s="33" t="s">
        <v>116</v>
      </c>
      <c r="T22" s="32"/>
      <c r="U22" s="31"/>
      <c r="V22" s="32"/>
      <c r="W22" s="33" t="s">
        <v>116</v>
      </c>
      <c r="X22" s="32"/>
      <c r="Y22" s="31"/>
    </row>
    <row r="23" spans="2:25" s="18" customFormat="1" ht="43.5" customHeight="1" x14ac:dyDescent="0.7">
      <c r="B23" s="32"/>
      <c r="C23" s="33" t="s">
        <v>117</v>
      </c>
      <c r="D23" s="32"/>
      <c r="E23" s="31"/>
      <c r="F23" s="32"/>
      <c r="G23" s="33" t="s">
        <v>117</v>
      </c>
      <c r="H23" s="32"/>
      <c r="I23" s="31"/>
      <c r="J23" s="32"/>
      <c r="K23" s="33" t="s">
        <v>117</v>
      </c>
      <c r="L23" s="32"/>
      <c r="M23" s="31"/>
      <c r="N23" s="32"/>
      <c r="O23" s="33" t="s">
        <v>117</v>
      </c>
      <c r="P23" s="32"/>
      <c r="Q23" s="31"/>
      <c r="R23" s="32"/>
      <c r="S23" s="33" t="s">
        <v>117</v>
      </c>
      <c r="T23" s="32"/>
      <c r="U23" s="31"/>
      <c r="V23" s="32"/>
      <c r="W23" s="33" t="s">
        <v>117</v>
      </c>
      <c r="X23" s="32"/>
      <c r="Y23" s="31"/>
    </row>
    <row r="24" spans="2:25" s="18" customFormat="1" ht="43.5" customHeight="1" x14ac:dyDescent="0.7">
      <c r="B24" s="32"/>
      <c r="C24" s="33" t="s">
        <v>118</v>
      </c>
      <c r="D24" s="32"/>
      <c r="E24" s="47" t="s">
        <v>151</v>
      </c>
      <c r="F24" s="32"/>
      <c r="G24" s="33" t="s">
        <v>118</v>
      </c>
      <c r="H24" s="32"/>
      <c r="I24" s="47" t="s">
        <v>151</v>
      </c>
      <c r="J24" s="32"/>
      <c r="K24" s="33" t="s">
        <v>118</v>
      </c>
      <c r="L24" s="32"/>
      <c r="M24" s="48" t="s">
        <v>152</v>
      </c>
      <c r="N24" s="32"/>
      <c r="O24" s="33" t="s">
        <v>118</v>
      </c>
      <c r="P24" s="32"/>
      <c r="Q24" s="47" t="s">
        <v>151</v>
      </c>
      <c r="R24" s="32"/>
      <c r="S24" s="33" t="s">
        <v>118</v>
      </c>
      <c r="T24" s="32"/>
      <c r="U24" s="48" t="s">
        <v>152</v>
      </c>
      <c r="V24" s="32"/>
      <c r="W24" s="33" t="s">
        <v>118</v>
      </c>
      <c r="X24" s="32"/>
      <c r="Y24" s="48" t="s">
        <v>152</v>
      </c>
    </row>
    <row r="25" spans="2:25" s="18" customFormat="1" ht="43.5" customHeight="1" x14ac:dyDescent="0.7">
      <c r="B25" s="32"/>
      <c r="C25" s="33" t="s">
        <v>119</v>
      </c>
      <c r="D25" s="32"/>
      <c r="E25" s="31" t="s">
        <v>144</v>
      </c>
      <c r="F25" s="32"/>
      <c r="G25" s="33" t="s">
        <v>119</v>
      </c>
      <c r="H25" s="32"/>
      <c r="I25" s="31" t="s">
        <v>150</v>
      </c>
      <c r="J25" s="32"/>
      <c r="K25" s="33" t="s">
        <v>119</v>
      </c>
      <c r="L25" s="32"/>
      <c r="M25" s="31" t="s">
        <v>162</v>
      </c>
      <c r="N25" s="32"/>
      <c r="O25" s="33" t="s">
        <v>119</v>
      </c>
      <c r="P25" s="32"/>
      <c r="Q25" s="31" t="s">
        <v>174</v>
      </c>
      <c r="R25" s="32"/>
      <c r="S25" s="33" t="s">
        <v>119</v>
      </c>
      <c r="T25" s="32"/>
      <c r="U25" s="31" t="s">
        <v>157</v>
      </c>
      <c r="V25" s="32"/>
      <c r="W25" s="33" t="s">
        <v>119</v>
      </c>
      <c r="X25" s="32"/>
      <c r="Y25" s="31" t="s">
        <v>188</v>
      </c>
    </row>
    <row r="27" spans="2:25" s="18" customFormat="1" ht="43.5" customHeight="1" x14ac:dyDescent="0.7">
      <c r="B27" s="32"/>
      <c r="C27" s="33" t="s">
        <v>114</v>
      </c>
      <c r="D27" s="32"/>
      <c r="E27" s="46" t="s">
        <v>170</v>
      </c>
      <c r="F27" s="32"/>
      <c r="G27" s="33" t="s">
        <v>114</v>
      </c>
      <c r="H27" s="32"/>
      <c r="I27" s="46" t="s">
        <v>166</v>
      </c>
      <c r="J27" s="32"/>
      <c r="K27" s="33" t="s">
        <v>114</v>
      </c>
      <c r="L27" s="32"/>
      <c r="M27" s="46" t="s">
        <v>180</v>
      </c>
      <c r="N27" s="32"/>
      <c r="O27" s="33" t="s">
        <v>114</v>
      </c>
      <c r="P27" s="32"/>
      <c r="Q27" s="46" t="s">
        <v>172</v>
      </c>
      <c r="R27" s="32"/>
      <c r="S27" s="33" t="s">
        <v>114</v>
      </c>
      <c r="T27" s="32"/>
      <c r="U27" s="46" t="s">
        <v>158</v>
      </c>
      <c r="V27" s="32"/>
      <c r="W27" s="33" t="s">
        <v>114</v>
      </c>
      <c r="X27" s="32"/>
      <c r="Y27" s="46" t="s">
        <v>189</v>
      </c>
    </row>
    <row r="28" spans="2:25" s="18" customFormat="1" ht="43.5" customHeight="1" x14ac:dyDescent="0.7">
      <c r="B28" s="32"/>
      <c r="C28" s="33" t="s">
        <v>115</v>
      </c>
      <c r="D28" s="32"/>
      <c r="E28" s="45" t="s">
        <v>146</v>
      </c>
      <c r="F28" s="32"/>
      <c r="G28" s="33" t="s">
        <v>115</v>
      </c>
      <c r="H28" s="32"/>
      <c r="I28" s="45" t="s">
        <v>104</v>
      </c>
      <c r="J28" s="32"/>
      <c r="K28" s="33" t="s">
        <v>115</v>
      </c>
      <c r="L28" s="32"/>
      <c r="M28" s="45" t="s">
        <v>145</v>
      </c>
      <c r="N28" s="32"/>
      <c r="O28" s="33" t="s">
        <v>115</v>
      </c>
      <c r="P28" s="32"/>
      <c r="Q28" s="60" t="s">
        <v>104</v>
      </c>
      <c r="R28" s="32"/>
      <c r="S28" s="33" t="s">
        <v>115</v>
      </c>
      <c r="T28" s="32"/>
      <c r="U28" s="31" t="s">
        <v>159</v>
      </c>
      <c r="V28" s="32"/>
      <c r="W28" s="33" t="s">
        <v>115</v>
      </c>
      <c r="X28" s="32"/>
      <c r="Y28" s="45" t="s">
        <v>145</v>
      </c>
    </row>
    <row r="29" spans="2:25" s="18" customFormat="1" ht="43.5" customHeight="1" x14ac:dyDescent="0.7">
      <c r="B29" s="32"/>
      <c r="C29" s="33" t="s">
        <v>116</v>
      </c>
      <c r="D29" s="32"/>
      <c r="E29" s="31"/>
      <c r="F29" s="32"/>
      <c r="G29" s="33" t="s">
        <v>116</v>
      </c>
      <c r="H29" s="32"/>
      <c r="I29" s="31"/>
      <c r="J29" s="32"/>
      <c r="K29" s="33" t="s">
        <v>116</v>
      </c>
      <c r="L29" s="32"/>
      <c r="M29" s="31"/>
      <c r="N29" s="32"/>
      <c r="O29" s="33" t="s">
        <v>116</v>
      </c>
      <c r="P29" s="32"/>
      <c r="Q29" s="31"/>
      <c r="R29" s="32"/>
      <c r="S29" s="33" t="s">
        <v>116</v>
      </c>
      <c r="T29" s="32"/>
      <c r="U29" s="31"/>
      <c r="V29" s="32"/>
      <c r="W29" s="33" t="s">
        <v>116</v>
      </c>
      <c r="X29" s="32"/>
      <c r="Y29" s="31"/>
    </row>
    <row r="30" spans="2:25" s="18" customFormat="1" ht="43.5" customHeight="1" x14ac:dyDescent="0.7">
      <c r="B30" s="32"/>
      <c r="C30" s="33" t="s">
        <v>117</v>
      </c>
      <c r="D30" s="32"/>
      <c r="E30" s="31"/>
      <c r="F30" s="32"/>
      <c r="G30" s="33" t="s">
        <v>117</v>
      </c>
      <c r="H30" s="32"/>
      <c r="I30" s="31"/>
      <c r="J30" s="32"/>
      <c r="K30" s="33" t="s">
        <v>117</v>
      </c>
      <c r="L30" s="32"/>
      <c r="M30" s="31"/>
      <c r="N30" s="32"/>
      <c r="O30" s="33" t="s">
        <v>117</v>
      </c>
      <c r="P30" s="32"/>
      <c r="Q30" s="31"/>
      <c r="R30" s="32"/>
      <c r="S30" s="33" t="s">
        <v>117</v>
      </c>
      <c r="T30" s="32"/>
      <c r="U30" s="31"/>
      <c r="V30" s="32"/>
      <c r="W30" s="33" t="s">
        <v>117</v>
      </c>
      <c r="X30" s="32"/>
      <c r="Y30" s="31"/>
    </row>
    <row r="31" spans="2:25" s="18" customFormat="1" ht="43.5" customHeight="1" x14ac:dyDescent="0.7">
      <c r="B31" s="32"/>
      <c r="C31" s="33" t="s">
        <v>118</v>
      </c>
      <c r="D31" s="32"/>
      <c r="E31" s="47" t="s">
        <v>151</v>
      </c>
      <c r="F31" s="32"/>
      <c r="G31" s="33" t="s">
        <v>118</v>
      </c>
      <c r="H31" s="32"/>
      <c r="I31" s="47" t="s">
        <v>151</v>
      </c>
      <c r="J31" s="32"/>
      <c r="K31" s="33" t="s">
        <v>118</v>
      </c>
      <c r="L31" s="32"/>
      <c r="M31" s="48" t="s">
        <v>152</v>
      </c>
      <c r="N31" s="32"/>
      <c r="O31" s="33" t="s">
        <v>118</v>
      </c>
      <c r="P31" s="32"/>
      <c r="Q31" s="48" t="s">
        <v>152</v>
      </c>
      <c r="R31" s="32"/>
      <c r="S31" s="33" t="s">
        <v>118</v>
      </c>
      <c r="T31" s="32"/>
      <c r="U31" s="48" t="s">
        <v>152</v>
      </c>
      <c r="V31" s="32"/>
      <c r="W31" s="33" t="s">
        <v>118</v>
      </c>
      <c r="X31" s="32"/>
      <c r="Y31" s="48" t="s">
        <v>152</v>
      </c>
    </row>
    <row r="32" spans="2:25" s="18" customFormat="1" ht="43.5" customHeight="1" x14ac:dyDescent="0.7">
      <c r="B32" s="32"/>
      <c r="C32" s="33" t="s">
        <v>119</v>
      </c>
      <c r="D32" s="32"/>
      <c r="E32" s="31" t="s">
        <v>171</v>
      </c>
      <c r="F32" s="32"/>
      <c r="G32" s="33" t="s">
        <v>119</v>
      </c>
      <c r="H32" s="32"/>
      <c r="I32" s="31" t="s">
        <v>167</v>
      </c>
      <c r="J32" s="32"/>
      <c r="K32" s="33" t="s">
        <v>119</v>
      </c>
      <c r="L32" s="32"/>
      <c r="M32" s="31" t="s">
        <v>181</v>
      </c>
      <c r="N32" s="32"/>
      <c r="O32" s="33" t="s">
        <v>119</v>
      </c>
      <c r="P32" s="32"/>
      <c r="Q32" s="31" t="s">
        <v>175</v>
      </c>
      <c r="R32" s="32"/>
      <c r="S32" s="33" t="s">
        <v>119</v>
      </c>
      <c r="T32" s="32"/>
      <c r="U32" s="31" t="s">
        <v>160</v>
      </c>
      <c r="V32" s="32"/>
      <c r="W32" s="33" t="s">
        <v>119</v>
      </c>
      <c r="X32" s="32"/>
      <c r="Y32" s="31" t="s">
        <v>190</v>
      </c>
    </row>
  </sheetData>
  <mergeCells count="6">
    <mergeCell ref="W3:Y3"/>
    <mergeCell ref="C3:E3"/>
    <mergeCell ref="G3:I3"/>
    <mergeCell ref="K3:M3"/>
    <mergeCell ref="O3:Q3"/>
    <mergeCell ref="S3:U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6739-3CD0-4C8E-8152-A573382F1F95}">
  <dimension ref="B1:G21"/>
  <sheetViews>
    <sheetView showGridLines="0" workbookViewId="0">
      <selection sqref="A1:H21"/>
    </sheetView>
  </sheetViews>
  <sheetFormatPr defaultRowHeight="14.5" x14ac:dyDescent="0.35"/>
  <cols>
    <col min="1" max="1" width="5.453125" customWidth="1"/>
    <col min="2" max="2" width="13.08984375" customWidth="1"/>
    <col min="3" max="3" width="27.08984375" customWidth="1"/>
    <col min="4" max="4" width="31.36328125" customWidth="1"/>
    <col min="5" max="5" width="28.26953125" customWidth="1"/>
    <col min="6" max="6" width="12.81640625" customWidth="1"/>
    <col min="7" max="7" width="7.54296875" bestFit="1" customWidth="1"/>
  </cols>
  <sheetData>
    <row r="1" spans="2:7" ht="6" customHeight="1" x14ac:dyDescent="0.35"/>
    <row r="2" spans="2:7" ht="6" customHeight="1" x14ac:dyDescent="0.35"/>
    <row r="3" spans="2:7" ht="6" customHeight="1" x14ac:dyDescent="0.35"/>
    <row r="4" spans="2:7" ht="6" customHeight="1" x14ac:dyDescent="0.35"/>
    <row r="5" spans="2:7" ht="6" customHeight="1" x14ac:dyDescent="0.35"/>
    <row r="6" spans="2:7" ht="6" customHeight="1" x14ac:dyDescent="0.35"/>
    <row r="7" spans="2:7" ht="6" customHeight="1" x14ac:dyDescent="0.35"/>
    <row r="8" spans="2:7" ht="6" customHeight="1" x14ac:dyDescent="0.35"/>
    <row r="9" spans="2:7" ht="6" customHeight="1" x14ac:dyDescent="0.35"/>
    <row r="10" spans="2:7" ht="6" customHeight="1" x14ac:dyDescent="0.35"/>
    <row r="11" spans="2:7" ht="6" customHeight="1" x14ac:dyDescent="0.35"/>
    <row r="12" spans="2:7" ht="6" customHeight="1" x14ac:dyDescent="0.35"/>
    <row r="13" spans="2:7" ht="6" customHeight="1" x14ac:dyDescent="0.35"/>
    <row r="14" spans="2:7" ht="6" customHeight="1" x14ac:dyDescent="0.35"/>
    <row r="15" spans="2:7" ht="6" customHeight="1" x14ac:dyDescent="0.35"/>
    <row r="16" spans="2:7" x14ac:dyDescent="0.35">
      <c r="B16" s="4" t="s">
        <v>120</v>
      </c>
      <c r="C16" s="4" t="s">
        <v>121</v>
      </c>
      <c r="D16" s="4" t="s">
        <v>122</v>
      </c>
      <c r="E16" s="4"/>
      <c r="F16" s="4" t="s">
        <v>90</v>
      </c>
      <c r="G16" s="4" t="s">
        <v>136</v>
      </c>
    </row>
    <row r="17" spans="2:7" ht="24" customHeight="1" x14ac:dyDescent="0.35">
      <c r="B17" s="53" t="s">
        <v>130</v>
      </c>
      <c r="C17" s="34" t="s">
        <v>123</v>
      </c>
      <c r="D17" s="56" t="s">
        <v>131</v>
      </c>
      <c r="E17" s="2" t="s">
        <v>132</v>
      </c>
      <c r="F17" s="55" t="s">
        <v>128</v>
      </c>
      <c r="G17" s="59" t="s">
        <v>137</v>
      </c>
    </row>
    <row r="18" spans="2:7" ht="24" customHeight="1" x14ac:dyDescent="0.35">
      <c r="B18" s="54"/>
      <c r="C18" s="34" t="s">
        <v>124</v>
      </c>
      <c r="D18" s="57"/>
      <c r="E18" s="2" t="s">
        <v>133</v>
      </c>
      <c r="F18" s="55"/>
      <c r="G18" s="59"/>
    </row>
    <row r="19" spans="2:7" ht="24" customHeight="1" x14ac:dyDescent="0.35">
      <c r="B19" s="54"/>
      <c r="C19" s="34" t="s">
        <v>125</v>
      </c>
      <c r="D19" s="57"/>
      <c r="E19" s="2"/>
      <c r="F19" s="55"/>
      <c r="G19" s="59"/>
    </row>
    <row r="20" spans="2:7" ht="24" customHeight="1" x14ac:dyDescent="0.35">
      <c r="B20" s="54"/>
      <c r="C20" s="34" t="s">
        <v>126</v>
      </c>
      <c r="D20" s="58"/>
      <c r="E20" s="2" t="s">
        <v>134</v>
      </c>
      <c r="F20" s="55"/>
      <c r="G20" s="59"/>
    </row>
    <row r="21" spans="2:7" ht="24" customHeight="1" x14ac:dyDescent="0.35">
      <c r="B21" s="54"/>
      <c r="C21" s="34" t="s">
        <v>127</v>
      </c>
      <c r="D21" s="2" t="s">
        <v>129</v>
      </c>
      <c r="E21" s="2" t="s">
        <v>135</v>
      </c>
      <c r="F21" s="55"/>
      <c r="G21" s="59"/>
    </row>
  </sheetData>
  <mergeCells count="4">
    <mergeCell ref="B17:B21"/>
    <mergeCell ref="F17:F21"/>
    <mergeCell ref="D17:D20"/>
    <mergeCell ref="G17:G21"/>
  </mergeCells>
  <phoneticPr fontId="30" type="noConversion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8F2E4-FEB3-4BA0-BD64-59E37A035C0D}">
  <sheetPr>
    <tabColor theme="0" tint="-0.499984740745262"/>
  </sheetPr>
  <dimension ref="B1:K22"/>
  <sheetViews>
    <sheetView showGridLines="0" zoomScale="40" zoomScaleNormal="40" workbookViewId="0">
      <pane ySplit="4" topLeftCell="A5" activePane="bottomLeft" state="frozen"/>
      <selection activeCell="I21" sqref="I21"/>
      <selection pane="bottomLeft" activeCell="G6" sqref="G6"/>
    </sheetView>
  </sheetViews>
  <sheetFormatPr defaultColWidth="14.453125" defaultRowHeight="15.75" customHeight="1" x14ac:dyDescent="0.35"/>
  <cols>
    <col min="1" max="1" width="18.7265625" style="10" customWidth="1"/>
    <col min="2" max="2" width="63.1796875" bestFit="1" customWidth="1"/>
    <col min="3" max="4" width="31.81640625" style="1" customWidth="1"/>
    <col min="5" max="5" width="31.81640625" customWidth="1"/>
    <col min="6" max="6" width="31.81640625" style="10" customWidth="1"/>
    <col min="7" max="10" width="30.36328125" style="10" customWidth="1"/>
    <col min="11" max="11" width="22.6328125" style="10" bestFit="1" customWidth="1"/>
    <col min="12" max="16384" width="14.453125" style="10"/>
  </cols>
  <sheetData>
    <row r="1" spans="2:11" ht="5.5" customHeight="1" x14ac:dyDescent="0.35"/>
    <row r="2" spans="2:11" ht="5" customHeight="1" x14ac:dyDescent="0.35"/>
    <row r="3" spans="2:11" s="12" customFormat="1" ht="58.5" customHeight="1" x14ac:dyDescent="0.6">
      <c r="B3" s="29" t="s">
        <v>105</v>
      </c>
      <c r="C3" s="30" t="s">
        <v>103</v>
      </c>
      <c r="D3" s="30" t="s">
        <v>104</v>
      </c>
      <c r="E3" s="11"/>
      <c r="F3" s="42" t="s">
        <v>138</v>
      </c>
      <c r="G3" s="24" t="s">
        <v>102</v>
      </c>
      <c r="H3" s="22" t="s">
        <v>100</v>
      </c>
      <c r="I3" s="21" t="s">
        <v>99</v>
      </c>
      <c r="J3" s="23" t="s">
        <v>101</v>
      </c>
      <c r="K3" s="29" t="s">
        <v>106</v>
      </c>
    </row>
    <row r="4" spans="2:11" ht="5.5" customHeight="1" x14ac:dyDescent="0.35"/>
    <row r="5" spans="2:11" ht="5.5" customHeight="1" x14ac:dyDescent="0.35">
      <c r="B5" s="13"/>
      <c r="C5" s="13"/>
      <c r="D5" s="13"/>
    </row>
    <row r="6" spans="2:11" s="18" customFormat="1" ht="60" customHeight="1" x14ac:dyDescent="0.35">
      <c r="B6" s="24" t="s">
        <v>102</v>
      </c>
      <c r="C6" s="25">
        <v>4</v>
      </c>
      <c r="D6" s="26">
        <f>C6/$C$10</f>
        <v>0.18181818181818182</v>
      </c>
      <c r="E6" s="17"/>
      <c r="F6" s="42" t="s">
        <v>143</v>
      </c>
      <c r="G6" s="25">
        <v>4</v>
      </c>
      <c r="H6" s="25">
        <v>5</v>
      </c>
      <c r="I6" s="25">
        <v>6</v>
      </c>
      <c r="J6" s="25">
        <v>7</v>
      </c>
      <c r="K6" s="27">
        <f>SUM(G6:J6)</f>
        <v>22</v>
      </c>
    </row>
    <row r="7" spans="2:11" s="18" customFormat="1" ht="60" customHeight="1" x14ac:dyDescent="0.35">
      <c r="B7" s="22" t="s">
        <v>100</v>
      </c>
      <c r="C7" s="25">
        <v>5</v>
      </c>
      <c r="D7" s="26">
        <f>C7/$C$10</f>
        <v>0.22727272727272727</v>
      </c>
      <c r="E7" s="17"/>
      <c r="F7" s="42" t="s">
        <v>104</v>
      </c>
      <c r="G7" s="26">
        <f>G6/$K$6</f>
        <v>0.18181818181818182</v>
      </c>
      <c r="H7" s="26">
        <f t="shared" ref="H7:J7" si="0">H6/$K$6</f>
        <v>0.22727272727272727</v>
      </c>
      <c r="I7" s="26">
        <f t="shared" si="0"/>
        <v>0.27272727272727271</v>
      </c>
      <c r="J7" s="26">
        <f t="shared" si="0"/>
        <v>0.31818181818181818</v>
      </c>
      <c r="K7" s="44">
        <v>1</v>
      </c>
    </row>
    <row r="8" spans="2:11" s="18" customFormat="1" ht="60" customHeight="1" x14ac:dyDescent="0.35">
      <c r="B8" s="21" t="s">
        <v>99</v>
      </c>
      <c r="C8" s="25">
        <v>6</v>
      </c>
      <c r="D8" s="26">
        <f>C8/$C$10</f>
        <v>0.27272727272727271</v>
      </c>
      <c r="E8" s="17"/>
    </row>
    <row r="9" spans="2:11" s="18" customFormat="1" ht="60" customHeight="1" x14ac:dyDescent="0.35">
      <c r="B9" s="23" t="s">
        <v>101</v>
      </c>
      <c r="C9" s="25">
        <v>7</v>
      </c>
      <c r="D9" s="26">
        <f>C9/$C$10</f>
        <v>0.31818181818181818</v>
      </c>
      <c r="E9" s="17"/>
    </row>
    <row r="10" spans="2:11" ht="60" customHeight="1" x14ac:dyDescent="0.35">
      <c r="B10" s="29" t="s">
        <v>106</v>
      </c>
      <c r="C10" s="27">
        <f>SUM(C6:C9)</f>
        <v>22</v>
      </c>
      <c r="D10" s="28">
        <f>C10/$C$10</f>
        <v>1</v>
      </c>
    </row>
    <row r="13" spans="2:11" ht="67" customHeight="1" x14ac:dyDescent="0.35">
      <c r="B13" s="42" t="s">
        <v>138</v>
      </c>
      <c r="C13" s="24" t="s">
        <v>102</v>
      </c>
      <c r="D13" s="22" t="s">
        <v>100</v>
      </c>
      <c r="E13" s="21" t="s">
        <v>99</v>
      </c>
      <c r="F13" s="23" t="s">
        <v>101</v>
      </c>
    </row>
    <row r="14" spans="2:11" ht="53" customHeight="1" x14ac:dyDescent="0.35">
      <c r="B14" s="43" t="s">
        <v>0</v>
      </c>
      <c r="C14" s="36">
        <v>4</v>
      </c>
      <c r="D14" s="36">
        <v>4</v>
      </c>
      <c r="E14" s="36">
        <v>2</v>
      </c>
      <c r="F14" s="36">
        <v>2</v>
      </c>
    </row>
    <row r="15" spans="2:11" ht="53" customHeight="1" x14ac:dyDescent="0.35">
      <c r="B15" s="43" t="s">
        <v>4</v>
      </c>
      <c r="C15" s="36">
        <v>5</v>
      </c>
      <c r="D15" s="36">
        <v>5</v>
      </c>
      <c r="E15" s="36">
        <v>2</v>
      </c>
      <c r="F15" s="36">
        <v>2</v>
      </c>
    </row>
    <row r="16" spans="2:11" ht="53" customHeight="1" x14ac:dyDescent="0.35">
      <c r="B16" s="43" t="s">
        <v>6</v>
      </c>
      <c r="C16" s="36">
        <v>6</v>
      </c>
      <c r="D16" s="36">
        <v>6</v>
      </c>
      <c r="E16" s="36">
        <v>2</v>
      </c>
      <c r="F16" s="36">
        <v>2</v>
      </c>
    </row>
    <row r="17" spans="2:6" ht="53" customHeight="1" x14ac:dyDescent="0.35">
      <c r="B17" s="43" t="s">
        <v>7</v>
      </c>
      <c r="C17" s="36">
        <v>3</v>
      </c>
      <c r="D17" s="36">
        <v>3</v>
      </c>
      <c r="E17" s="36">
        <v>5</v>
      </c>
      <c r="F17" s="36">
        <v>2</v>
      </c>
    </row>
    <row r="18" spans="2:6" ht="53" customHeight="1" x14ac:dyDescent="0.35">
      <c r="B18" s="43" t="s">
        <v>139</v>
      </c>
      <c r="C18" s="36">
        <v>7</v>
      </c>
      <c r="D18" s="36">
        <v>4</v>
      </c>
      <c r="E18" s="36">
        <v>6</v>
      </c>
      <c r="F18" s="36">
        <v>5</v>
      </c>
    </row>
    <row r="19" spans="2:6" ht="53" customHeight="1" x14ac:dyDescent="0.35">
      <c r="B19" s="43" t="s">
        <v>23</v>
      </c>
      <c r="C19" s="36">
        <v>8</v>
      </c>
      <c r="D19" s="36">
        <v>4</v>
      </c>
      <c r="E19" s="36">
        <v>3</v>
      </c>
      <c r="F19" s="36">
        <v>6</v>
      </c>
    </row>
    <row r="20" spans="2:6" ht="53" customHeight="1" x14ac:dyDescent="0.35">
      <c r="B20" s="43" t="s">
        <v>140</v>
      </c>
      <c r="C20" s="36">
        <v>1</v>
      </c>
      <c r="D20" s="36">
        <v>2</v>
      </c>
      <c r="E20" s="36">
        <v>4</v>
      </c>
      <c r="F20" s="36">
        <v>3</v>
      </c>
    </row>
    <row r="21" spans="2:6" ht="53" customHeight="1" x14ac:dyDescent="0.35">
      <c r="B21" s="43" t="s">
        <v>141</v>
      </c>
      <c r="C21" s="36">
        <v>9</v>
      </c>
      <c r="D21" s="41">
        <v>1</v>
      </c>
      <c r="E21" s="36">
        <v>2</v>
      </c>
      <c r="F21" s="36">
        <v>2</v>
      </c>
    </row>
    <row r="22" spans="2:6" ht="58" customHeight="1" x14ac:dyDescent="0.35">
      <c r="B22" s="35" t="s">
        <v>142</v>
      </c>
      <c r="C22" s="37">
        <f>SUM(C14:C21)</f>
        <v>43</v>
      </c>
      <c r="D22" s="38">
        <f t="shared" ref="D22:F22" si="1">SUM(D14:D21)</f>
        <v>29</v>
      </c>
      <c r="E22" s="39">
        <f t="shared" si="1"/>
        <v>26</v>
      </c>
      <c r="F22" s="40">
        <f t="shared" si="1"/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CONTEXTO DOS PILARES</vt:lpstr>
      <vt:lpstr>ROTINAS DOS PILARES</vt:lpstr>
      <vt:lpstr>INDICADORES</vt:lpstr>
      <vt:lpstr>TABELA RESUMO DO COCKPIT</vt:lpstr>
      <vt:lpstr>PLANO DE 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Reiche</dc:creator>
  <cp:lastModifiedBy>Daniel Reiche</cp:lastModifiedBy>
  <dcterms:created xsi:type="dcterms:W3CDTF">2015-06-05T18:19:34Z</dcterms:created>
  <dcterms:modified xsi:type="dcterms:W3CDTF">2026-02-03T00:57:50Z</dcterms:modified>
</cp:coreProperties>
</file>